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\sias-soeradji\public\files\"/>
    </mc:Choice>
  </mc:AlternateContent>
  <xr:revisionPtr revIDLastSave="0" documentId="13_ncr:1_{BF37EE38-1141-4EC6-A192-78BAF7A3DD54}" xr6:coauthVersionLast="47" xr6:coauthVersionMax="47" xr10:uidLastSave="{00000000-0000-0000-0000-000000000000}"/>
  <bookViews>
    <workbookView xWindow="-120" yWindow="-120" windowWidth="20730" windowHeight="11160" xr2:uid="{5603F434-C37B-4CEC-B920-002E9B54F1C4}"/>
  </bookViews>
  <sheets>
    <sheet name="PETA PEGAWAI" sheetId="1" r:id="rId1"/>
    <sheet name="PER PENDIDIKAN" sheetId="2" state="hidden" r:id="rId2"/>
    <sheet name="PKWT" sheetId="3" state="hidden" r:id="rId3"/>
    <sheet name="MITRA" sheetId="4" r:id="rId4"/>
  </sheets>
  <externalReferences>
    <externalReference r:id="rId5"/>
  </externalReferences>
  <definedNames>
    <definedName name="_xlnm._FilterDatabase" localSheetId="0" hidden="1">'PETA PEGAWAI'!$A$1:$AL$1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258" i="1" l="1"/>
  <c r="Z1258" i="1"/>
  <c r="AD1257" i="1"/>
  <c r="Z1257" i="1"/>
  <c r="AD1256" i="1"/>
  <c r="Z1256" i="1"/>
  <c r="AD1255" i="1"/>
  <c r="Z1255" i="1"/>
  <c r="AD1254" i="1"/>
  <c r="Z1254" i="1"/>
  <c r="AD1253" i="1"/>
  <c r="Z1253" i="1"/>
  <c r="AD1252" i="1"/>
  <c r="Z1252" i="1"/>
  <c r="AD1251" i="1"/>
  <c r="Z1251" i="1"/>
  <c r="AD1250" i="1"/>
  <c r="Z1250" i="1"/>
  <c r="AD1249" i="1"/>
  <c r="Z1249" i="1"/>
  <c r="AD1248" i="1"/>
  <c r="Z1248" i="1"/>
  <c r="AD1247" i="1"/>
  <c r="Z1247" i="1"/>
  <c r="AD1246" i="1"/>
  <c r="Z1246" i="1"/>
  <c r="AD1245" i="1"/>
  <c r="Z1245" i="1"/>
  <c r="AD1244" i="1"/>
  <c r="Z1244" i="1"/>
  <c r="AD1243" i="1"/>
  <c r="Z1243" i="1"/>
  <c r="AD1242" i="1"/>
  <c r="Z1242" i="1"/>
  <c r="AD1241" i="1"/>
  <c r="Z1241" i="1"/>
  <c r="AD1240" i="1"/>
  <c r="Z1240" i="1"/>
  <c r="AD1239" i="1"/>
  <c r="Z1239" i="1"/>
  <c r="AD1238" i="1"/>
  <c r="Z1238" i="1"/>
  <c r="AD1237" i="1"/>
  <c r="Z1237" i="1"/>
  <c r="AD1236" i="1"/>
  <c r="Z1236" i="1"/>
  <c r="AD1235" i="1"/>
  <c r="Z1235" i="1"/>
  <c r="AD1234" i="1"/>
  <c r="Z1234" i="1"/>
  <c r="AD1233" i="1"/>
  <c r="Z1233" i="1"/>
  <c r="AD1232" i="1"/>
  <c r="Z1232" i="1"/>
  <c r="AD1231" i="1"/>
  <c r="Z1231" i="1"/>
  <c r="AD1230" i="1"/>
  <c r="Z1230" i="1"/>
  <c r="AD1229" i="1"/>
  <c r="Z1229" i="1"/>
  <c r="AD1228" i="1"/>
  <c r="Z1228" i="1"/>
  <c r="AD1227" i="1"/>
  <c r="Z1227" i="1"/>
  <c r="AD1226" i="1"/>
  <c r="Z1226" i="1"/>
  <c r="AD1225" i="1"/>
  <c r="Z1225" i="1"/>
  <c r="AD1224" i="1"/>
  <c r="Z1224" i="1"/>
  <c r="AD1223" i="1"/>
  <c r="Z1223" i="1"/>
  <c r="AD1222" i="1"/>
  <c r="Z1222" i="1"/>
  <c r="AD1221" i="1"/>
  <c r="Z1221" i="1"/>
  <c r="AD1220" i="1"/>
  <c r="Z1220" i="1"/>
  <c r="AD1219" i="1"/>
  <c r="Z1219" i="1"/>
  <c r="AD1218" i="1"/>
  <c r="Z1218" i="1"/>
  <c r="AD1217" i="1"/>
  <c r="Z1217" i="1"/>
  <c r="AD1216" i="1"/>
  <c r="Z1216" i="1"/>
  <c r="AD1215" i="1"/>
  <c r="Z1215" i="1"/>
  <c r="AD1214" i="1"/>
  <c r="Z1214" i="1"/>
  <c r="AD1213" i="1"/>
  <c r="Z1213" i="1"/>
  <c r="AD1212" i="1"/>
  <c r="Z1212" i="1"/>
  <c r="AD1211" i="1"/>
  <c r="Z1211" i="1"/>
  <c r="AD1210" i="1"/>
  <c r="Z1210" i="1"/>
  <c r="AD1209" i="1"/>
  <c r="Z1209" i="1"/>
  <c r="AD1208" i="1"/>
  <c r="Z1208" i="1"/>
  <c r="AD1207" i="1"/>
  <c r="Z1207" i="1"/>
  <c r="AD1206" i="1"/>
  <c r="Z1206" i="1"/>
  <c r="AD1205" i="1"/>
  <c r="Z1205" i="1"/>
  <c r="AD1204" i="1"/>
  <c r="Z1204" i="1"/>
  <c r="AD1203" i="1"/>
  <c r="Z1203" i="1"/>
  <c r="AD1202" i="1"/>
  <c r="Z1202" i="1"/>
  <c r="AD1201" i="1"/>
  <c r="Z1201" i="1"/>
  <c r="AD1200" i="1"/>
  <c r="Z1200" i="1"/>
  <c r="AD1199" i="1"/>
  <c r="Z1199" i="1"/>
  <c r="AD1198" i="1"/>
  <c r="Z1198" i="1"/>
  <c r="AD1197" i="1"/>
  <c r="Z1197" i="1"/>
  <c r="AD1196" i="1"/>
  <c r="Z1196" i="1"/>
  <c r="AD1195" i="1"/>
  <c r="Z1195" i="1"/>
  <c r="AD1194" i="1"/>
  <c r="Z1194" i="1"/>
  <c r="AD1193" i="1"/>
  <c r="Z1193" i="1"/>
  <c r="AD1192" i="1"/>
  <c r="Z1192" i="1"/>
  <c r="AD1191" i="1"/>
  <c r="Z1191" i="1"/>
  <c r="AD1190" i="1"/>
  <c r="Z1190" i="1"/>
  <c r="AD1189" i="1"/>
  <c r="Z1189" i="1"/>
  <c r="AD1188" i="1"/>
  <c r="Z1188" i="1"/>
  <c r="AD1187" i="1"/>
  <c r="Z1187" i="1"/>
  <c r="AD1186" i="1"/>
  <c r="Z1186" i="1"/>
  <c r="AD1185" i="1"/>
  <c r="Z1185" i="1"/>
  <c r="AD1184" i="1"/>
  <c r="Z1184" i="1"/>
  <c r="AD1183" i="1"/>
  <c r="Z1183" i="1"/>
  <c r="AD1182" i="1"/>
  <c r="Z1182" i="1"/>
  <c r="AD1181" i="1"/>
  <c r="Z1181" i="1"/>
  <c r="AD1180" i="1"/>
  <c r="Z1180" i="1"/>
  <c r="AD1179" i="1"/>
  <c r="Z1179" i="1"/>
  <c r="AD1178" i="1"/>
  <c r="Z1178" i="1"/>
  <c r="AD1177" i="1"/>
  <c r="Z1177" i="1"/>
  <c r="AD1176" i="1"/>
  <c r="Z1176" i="1"/>
  <c r="AD1175" i="1"/>
  <c r="Z1175" i="1"/>
  <c r="AD1174" i="1"/>
  <c r="Z1174" i="1"/>
  <c r="AD1173" i="1"/>
  <c r="Z1173" i="1"/>
  <c r="AD1172" i="1"/>
  <c r="Z1172" i="1"/>
  <c r="AD1171" i="1"/>
  <c r="Z1171" i="1"/>
  <c r="AD1170" i="1"/>
  <c r="Z1170" i="1"/>
  <c r="AD1169" i="1"/>
  <c r="Z1169" i="1"/>
  <c r="AD1168" i="1"/>
  <c r="Z1168" i="1"/>
  <c r="AD1167" i="1"/>
  <c r="Z1167" i="1"/>
  <c r="AD1166" i="1"/>
  <c r="Z1166" i="1"/>
  <c r="AD1165" i="1"/>
  <c r="Z1165" i="1"/>
  <c r="AD1164" i="1"/>
  <c r="Z1164" i="1"/>
  <c r="AD1163" i="1"/>
  <c r="Z1163" i="1"/>
  <c r="AD1162" i="1"/>
  <c r="Z1162" i="1"/>
  <c r="AD1161" i="1"/>
  <c r="Z1161" i="1"/>
  <c r="AD1160" i="1"/>
  <c r="Z1160" i="1"/>
  <c r="AD1159" i="1"/>
  <c r="Z1159" i="1"/>
  <c r="AD1158" i="1"/>
  <c r="Z1158" i="1"/>
  <c r="AD1157" i="1"/>
  <c r="Z1157" i="1"/>
  <c r="AD1156" i="1"/>
  <c r="Z1156" i="1"/>
  <c r="AD1155" i="1"/>
  <c r="Z1155" i="1"/>
  <c r="AD1154" i="1"/>
  <c r="Z1154" i="1"/>
  <c r="AD1153" i="1"/>
  <c r="Z1153" i="1"/>
  <c r="AD1152" i="1"/>
  <c r="Z1152" i="1"/>
  <c r="AD1151" i="1"/>
  <c r="Z1151" i="1"/>
  <c r="AD1150" i="1"/>
  <c r="Z1150" i="1"/>
  <c r="AD1149" i="1"/>
  <c r="Z1149" i="1"/>
  <c r="AD1148" i="1"/>
  <c r="Z1148" i="1"/>
  <c r="AD1147" i="1"/>
  <c r="Z1147" i="1"/>
  <c r="AD1146" i="1"/>
  <c r="Z1146" i="1"/>
  <c r="AD1145" i="1"/>
  <c r="Z1145" i="1"/>
  <c r="AD1144" i="1"/>
  <c r="Z1144" i="1"/>
  <c r="AD1143" i="1"/>
  <c r="Z1143" i="1"/>
  <c r="AD1142" i="1"/>
  <c r="Z1142" i="1"/>
  <c r="AD1141" i="1"/>
  <c r="Z1141" i="1"/>
  <c r="AD1140" i="1"/>
  <c r="Z1140" i="1"/>
  <c r="AD1139" i="1"/>
  <c r="Z1139" i="1"/>
  <c r="AD1138" i="1"/>
  <c r="Z1138" i="1"/>
  <c r="AD1137" i="1"/>
  <c r="Z1137" i="1"/>
  <c r="AD1136" i="1"/>
  <c r="Z1136" i="1"/>
  <c r="AD1135" i="1"/>
  <c r="Z1135" i="1"/>
  <c r="AD1134" i="1"/>
  <c r="Z1134" i="1"/>
  <c r="AD1133" i="1"/>
  <c r="Z1133" i="1"/>
  <c r="AD1132" i="1"/>
  <c r="Z1132" i="1"/>
  <c r="AD1131" i="1"/>
  <c r="Z1131" i="1"/>
  <c r="AD1130" i="1"/>
  <c r="Z1130" i="1"/>
  <c r="AD1129" i="1"/>
  <c r="Z1129" i="1"/>
  <c r="AD1128" i="1"/>
  <c r="Z1128" i="1"/>
  <c r="AD1127" i="1"/>
  <c r="Z1127" i="1"/>
  <c r="AD1126" i="1"/>
  <c r="Z1126" i="1"/>
  <c r="AD1125" i="1"/>
  <c r="Z1125" i="1"/>
  <c r="AD1124" i="1"/>
  <c r="Z1124" i="1"/>
  <c r="AD1123" i="1"/>
  <c r="Z1123" i="1"/>
  <c r="AD1122" i="1"/>
  <c r="Z1122" i="1"/>
  <c r="AD1121" i="1"/>
  <c r="Z1121" i="1"/>
  <c r="AD1120" i="1"/>
  <c r="Z1120" i="1"/>
  <c r="AD1119" i="1"/>
  <c r="Z1119" i="1"/>
  <c r="AD1118" i="1"/>
  <c r="Z1118" i="1"/>
  <c r="AD1117" i="1"/>
  <c r="Z1117" i="1"/>
  <c r="AD1116" i="1"/>
  <c r="Z1116" i="1"/>
  <c r="AD1115" i="1"/>
  <c r="Z1115" i="1"/>
  <c r="AD1114" i="1"/>
  <c r="Z1114" i="1"/>
  <c r="AD1113" i="1"/>
  <c r="Z1113" i="1"/>
  <c r="AD1112" i="1"/>
  <c r="Z1112" i="1"/>
  <c r="AD1111" i="1"/>
  <c r="Z1111" i="1"/>
  <c r="AD1110" i="1"/>
  <c r="Z1110" i="1"/>
  <c r="AD1109" i="1"/>
  <c r="Z1109" i="1"/>
  <c r="AD1108" i="1"/>
  <c r="Z1108" i="1"/>
  <c r="AD1107" i="1"/>
  <c r="Z1107" i="1"/>
  <c r="AD1106" i="1"/>
  <c r="Z1106" i="1"/>
  <c r="AD1105" i="1"/>
  <c r="Z1105" i="1"/>
  <c r="AD1104" i="1"/>
  <c r="Z1104" i="1"/>
  <c r="AD1103" i="1"/>
  <c r="Z1103" i="1"/>
  <c r="AD1102" i="1"/>
  <c r="Z1102" i="1"/>
  <c r="AD1101" i="1"/>
  <c r="Z1101" i="1"/>
  <c r="AD1100" i="1"/>
  <c r="Z1100" i="1"/>
  <c r="AD1099" i="1"/>
  <c r="Z1099" i="1"/>
  <c r="AD1098" i="1"/>
  <c r="Z1098" i="1"/>
  <c r="AD1097" i="1"/>
  <c r="Z1097" i="1"/>
  <c r="AD1096" i="1"/>
  <c r="Z1096" i="1"/>
  <c r="AD1095" i="1"/>
  <c r="Z1095" i="1"/>
  <c r="AD1094" i="1"/>
  <c r="Z1094" i="1"/>
  <c r="AD1093" i="1"/>
  <c r="Z1093" i="1"/>
  <c r="AD1092" i="1"/>
  <c r="Z1092" i="1"/>
  <c r="AD1091" i="1"/>
  <c r="Z1091" i="1"/>
  <c r="AD1090" i="1"/>
  <c r="Z1090" i="1"/>
  <c r="AD1089" i="1"/>
  <c r="Z1089" i="1"/>
  <c r="AD1088" i="1"/>
  <c r="Z1088" i="1"/>
  <c r="AD1087" i="1"/>
  <c r="Z1087" i="1"/>
  <c r="AD1086" i="1"/>
  <c r="Z1086" i="1"/>
  <c r="AD1085" i="1"/>
  <c r="Z1085" i="1"/>
  <c r="AD1084" i="1"/>
  <c r="Z1084" i="1"/>
  <c r="AD1083" i="1"/>
  <c r="Z1083" i="1"/>
  <c r="AD1082" i="1"/>
  <c r="Z1082" i="1"/>
  <c r="AD1081" i="1"/>
  <c r="Z1081" i="1"/>
  <c r="AD1080" i="1"/>
  <c r="Z1080" i="1"/>
  <c r="AD1079" i="1"/>
  <c r="Z1079" i="1"/>
  <c r="AD1078" i="1"/>
  <c r="Z1078" i="1"/>
  <c r="AD1077" i="1"/>
  <c r="Z1077" i="1"/>
  <c r="AD1076" i="1"/>
  <c r="Z1076" i="1"/>
  <c r="AD1075" i="1"/>
  <c r="Z1075" i="1"/>
  <c r="AD1074" i="1"/>
  <c r="Z1074" i="1"/>
  <c r="AD1073" i="1"/>
  <c r="Z1073" i="1"/>
  <c r="AD1072" i="1"/>
  <c r="Z1072" i="1"/>
  <c r="AD1071" i="1"/>
  <c r="Z1071" i="1"/>
  <c r="AD1070" i="1"/>
  <c r="Z1070" i="1"/>
  <c r="AD1069" i="1"/>
  <c r="Z1069" i="1"/>
  <c r="AD1068" i="1"/>
  <c r="Z1068" i="1"/>
  <c r="AD1067" i="1"/>
  <c r="Z1067" i="1"/>
  <c r="AD1066" i="1"/>
  <c r="Z1066" i="1"/>
  <c r="AD1065" i="1"/>
  <c r="Z1065" i="1"/>
  <c r="AD1064" i="1"/>
  <c r="Z1064" i="1"/>
  <c r="AD1063" i="1"/>
  <c r="Z1063" i="1"/>
  <c r="AD1062" i="1"/>
  <c r="Z1062" i="1"/>
  <c r="AD1061" i="1"/>
  <c r="Z1061" i="1"/>
  <c r="AD1060" i="1"/>
  <c r="Z1060" i="1"/>
  <c r="AD1059" i="1"/>
  <c r="Z1059" i="1"/>
  <c r="AD1058" i="1"/>
  <c r="Z1058" i="1"/>
  <c r="AD1057" i="1"/>
  <c r="Z1057" i="1"/>
  <c r="AD1056" i="1"/>
  <c r="Z1056" i="1"/>
  <c r="AD1055" i="1"/>
  <c r="Z1055" i="1"/>
  <c r="AD1054" i="1"/>
  <c r="Z1054" i="1"/>
  <c r="AD1053" i="1"/>
  <c r="Z1053" i="1"/>
  <c r="AD1052" i="1"/>
  <c r="Z1052" i="1"/>
  <c r="AD1051" i="1"/>
  <c r="Z1051" i="1"/>
  <c r="AD1050" i="1"/>
  <c r="Z1050" i="1"/>
  <c r="AD1049" i="1"/>
  <c r="Z1049" i="1"/>
  <c r="AD1048" i="1"/>
  <c r="Z1048" i="1"/>
  <c r="AD1047" i="1"/>
  <c r="Z1047" i="1"/>
  <c r="AD1046" i="1"/>
  <c r="Z1046" i="1"/>
  <c r="AD1045" i="1"/>
  <c r="Z1045" i="1"/>
  <c r="AD1044" i="1"/>
  <c r="Z1044" i="1"/>
  <c r="AD1043" i="1"/>
  <c r="Z1043" i="1"/>
  <c r="AD1042" i="1"/>
  <c r="Z1042" i="1"/>
  <c r="AD1041" i="1"/>
  <c r="Z1041" i="1"/>
  <c r="AD1040" i="1"/>
  <c r="Z1040" i="1"/>
  <c r="AD1039" i="1"/>
  <c r="Z1039" i="1"/>
  <c r="AD1038" i="1"/>
  <c r="Z1038" i="1"/>
  <c r="AD1037" i="1"/>
  <c r="Z1037" i="1"/>
  <c r="AD1036" i="1"/>
  <c r="Z1036" i="1"/>
  <c r="AD1035" i="1"/>
  <c r="Z1035" i="1"/>
  <c r="AD1034" i="1"/>
  <c r="Z1034" i="1"/>
  <c r="AD1033" i="1"/>
  <c r="Z1033" i="1"/>
  <c r="AD1032" i="1"/>
  <c r="Z1032" i="1"/>
  <c r="AD1031" i="1"/>
  <c r="Z1031" i="1"/>
  <c r="AD1030" i="1"/>
  <c r="Z1030" i="1"/>
  <c r="AD1029" i="1"/>
  <c r="Z1029" i="1"/>
  <c r="AD1028" i="1"/>
  <c r="Z1028" i="1"/>
  <c r="AD1027" i="1"/>
  <c r="Z1027" i="1"/>
  <c r="AD1026" i="1"/>
  <c r="Z1026" i="1"/>
  <c r="AD1025" i="1"/>
  <c r="Z1025" i="1"/>
  <c r="AD1024" i="1"/>
  <c r="Z1024" i="1"/>
  <c r="AD1023" i="1"/>
  <c r="Z1023" i="1"/>
  <c r="AD1022" i="1"/>
  <c r="Z1022" i="1"/>
  <c r="AD1021" i="1"/>
  <c r="Z1021" i="1"/>
  <c r="AD1020" i="1"/>
  <c r="Z1020" i="1"/>
  <c r="AD1019" i="1"/>
  <c r="Z1019" i="1"/>
  <c r="AD1018" i="1"/>
  <c r="Z1018" i="1"/>
  <c r="AD1017" i="1"/>
  <c r="Z1017" i="1"/>
  <c r="AD1016" i="1"/>
  <c r="Z1016" i="1"/>
  <c r="AD1015" i="1"/>
  <c r="Z1015" i="1"/>
  <c r="AD1014" i="1"/>
  <c r="Z1014" i="1"/>
  <c r="AD1013" i="1"/>
  <c r="Z1013" i="1"/>
  <c r="AD1012" i="1"/>
  <c r="Z1012" i="1"/>
  <c r="AD1011" i="1"/>
  <c r="Z1011" i="1"/>
  <c r="AD1010" i="1"/>
  <c r="Z1010" i="1"/>
  <c r="AD1009" i="1"/>
  <c r="Z1009" i="1"/>
  <c r="AD1008" i="1"/>
  <c r="Z1008" i="1"/>
  <c r="AD1007" i="1"/>
  <c r="Z1007" i="1"/>
  <c r="AD1006" i="1"/>
  <c r="Z1006" i="1"/>
  <c r="AD1005" i="1"/>
  <c r="Z1005" i="1"/>
  <c r="AD1004" i="1"/>
  <c r="Z1004" i="1"/>
  <c r="AD1003" i="1"/>
  <c r="Z1003" i="1"/>
  <c r="AD1002" i="1"/>
  <c r="Z1002" i="1"/>
  <c r="AD1001" i="1"/>
  <c r="Z1001" i="1"/>
  <c r="AD1000" i="1"/>
  <c r="Z1000" i="1"/>
  <c r="AD999" i="1"/>
  <c r="Z999" i="1"/>
  <c r="AD998" i="1"/>
  <c r="Z998" i="1"/>
  <c r="AD997" i="1"/>
  <c r="Z997" i="1"/>
  <c r="AD996" i="1"/>
  <c r="Z996" i="1"/>
  <c r="AD995" i="1"/>
  <c r="Z995" i="1"/>
  <c r="AD994" i="1"/>
  <c r="Z994" i="1"/>
  <c r="AD993" i="1"/>
  <c r="Z993" i="1"/>
  <c r="AD992" i="1"/>
  <c r="Z992" i="1"/>
  <c r="AD991" i="1"/>
  <c r="Z991" i="1"/>
  <c r="AD990" i="1"/>
  <c r="Z990" i="1"/>
  <c r="AD989" i="1"/>
  <c r="Z989" i="1"/>
  <c r="AD988" i="1"/>
  <c r="Z988" i="1"/>
  <c r="AD987" i="1"/>
  <c r="Z987" i="1"/>
  <c r="AD986" i="1"/>
  <c r="Z986" i="1"/>
  <c r="AD985" i="1"/>
  <c r="Z985" i="1"/>
  <c r="AD984" i="1"/>
  <c r="Z984" i="1"/>
  <c r="AD983" i="1"/>
  <c r="Z983" i="1"/>
  <c r="AD982" i="1"/>
  <c r="Z982" i="1"/>
  <c r="AD981" i="1"/>
  <c r="Z981" i="1"/>
  <c r="AD980" i="1"/>
  <c r="Z980" i="1"/>
  <c r="AD979" i="1"/>
  <c r="Z979" i="1"/>
  <c r="AD978" i="1"/>
  <c r="Z978" i="1"/>
  <c r="AD977" i="1"/>
  <c r="Z977" i="1"/>
  <c r="AD976" i="1"/>
  <c r="Z976" i="1"/>
  <c r="AD975" i="1"/>
  <c r="Z975" i="1"/>
  <c r="AD974" i="1"/>
  <c r="Z974" i="1"/>
  <c r="AD973" i="1"/>
  <c r="Z973" i="1"/>
  <c r="AD972" i="1"/>
  <c r="Z972" i="1"/>
  <c r="AD971" i="1"/>
  <c r="Z971" i="1"/>
  <c r="AD970" i="1"/>
  <c r="Z970" i="1"/>
  <c r="AD969" i="1"/>
  <c r="Z969" i="1"/>
  <c r="AD968" i="1"/>
  <c r="Z968" i="1"/>
  <c r="AD967" i="1"/>
  <c r="Z967" i="1"/>
  <c r="AD966" i="1"/>
  <c r="Z966" i="1"/>
  <c r="AD965" i="1"/>
  <c r="Z965" i="1"/>
  <c r="AD964" i="1"/>
  <c r="Z964" i="1"/>
  <c r="AD963" i="1"/>
  <c r="Z963" i="1"/>
  <c r="AD962" i="1"/>
  <c r="Z962" i="1"/>
  <c r="AD961" i="1"/>
  <c r="Z961" i="1"/>
  <c r="AD960" i="1"/>
  <c r="Z960" i="1"/>
  <c r="AD959" i="1"/>
  <c r="Z959" i="1"/>
  <c r="AD958" i="1"/>
  <c r="Z958" i="1"/>
  <c r="AD957" i="1"/>
  <c r="Z957" i="1"/>
  <c r="AD956" i="1"/>
  <c r="Z956" i="1"/>
  <c r="AD955" i="1"/>
  <c r="Z955" i="1"/>
  <c r="AD954" i="1"/>
  <c r="Z954" i="1"/>
  <c r="AD953" i="1"/>
  <c r="Z953" i="1"/>
  <c r="AD952" i="1"/>
  <c r="Z952" i="1"/>
  <c r="AD951" i="1"/>
  <c r="Z951" i="1"/>
  <c r="AD950" i="1"/>
  <c r="Z950" i="1"/>
  <c r="AD949" i="1"/>
  <c r="Z949" i="1"/>
  <c r="AD948" i="1"/>
  <c r="Z948" i="1"/>
  <c r="AD947" i="1"/>
  <c r="Z947" i="1"/>
  <c r="AD946" i="1"/>
  <c r="Z946" i="1"/>
  <c r="AD945" i="1"/>
  <c r="Z945" i="1"/>
  <c r="AD944" i="1"/>
  <c r="Z944" i="1"/>
  <c r="AD943" i="1"/>
  <c r="Z943" i="1"/>
  <c r="AD942" i="1"/>
  <c r="Z942" i="1"/>
  <c r="AD941" i="1"/>
  <c r="Z941" i="1"/>
  <c r="AD940" i="1"/>
  <c r="Z940" i="1"/>
  <c r="AD939" i="1"/>
  <c r="Z939" i="1"/>
  <c r="AD938" i="1"/>
  <c r="Z938" i="1"/>
  <c r="AD937" i="1"/>
  <c r="Z937" i="1"/>
  <c r="AD936" i="1"/>
  <c r="Z936" i="1"/>
  <c r="AD935" i="1"/>
  <c r="Z935" i="1"/>
  <c r="AD934" i="1"/>
  <c r="Z934" i="1"/>
  <c r="AD933" i="1"/>
  <c r="Z933" i="1"/>
  <c r="AD932" i="1"/>
  <c r="Z932" i="1"/>
  <c r="AD931" i="1"/>
  <c r="Z931" i="1"/>
  <c r="AD930" i="1"/>
  <c r="Z930" i="1"/>
  <c r="AD929" i="1"/>
  <c r="Z929" i="1"/>
  <c r="AD928" i="1"/>
  <c r="Z928" i="1"/>
  <c r="AD927" i="1"/>
  <c r="Z927" i="1"/>
  <c r="AD926" i="1"/>
  <c r="Z926" i="1"/>
  <c r="AD925" i="1"/>
  <c r="Z925" i="1"/>
  <c r="AD924" i="1"/>
  <c r="Z924" i="1"/>
  <c r="AD923" i="1"/>
  <c r="Z923" i="1"/>
  <c r="AD922" i="1"/>
  <c r="Z922" i="1"/>
  <c r="AD921" i="1"/>
  <c r="Z921" i="1"/>
  <c r="AD920" i="1"/>
  <c r="Z920" i="1"/>
  <c r="AD919" i="1"/>
  <c r="Z919" i="1"/>
  <c r="AD918" i="1"/>
  <c r="Z918" i="1"/>
  <c r="AD917" i="1"/>
  <c r="Z917" i="1"/>
  <c r="AD916" i="1"/>
  <c r="Z916" i="1"/>
  <c r="AD915" i="1"/>
  <c r="Z915" i="1"/>
  <c r="AD914" i="1"/>
  <c r="Z914" i="1"/>
  <c r="AD913" i="1"/>
  <c r="Z913" i="1"/>
  <c r="AD912" i="1"/>
  <c r="Z912" i="1"/>
  <c r="AD911" i="1"/>
  <c r="Z911" i="1"/>
  <c r="AD910" i="1"/>
  <c r="Z910" i="1"/>
  <c r="AD909" i="1"/>
  <c r="Z909" i="1"/>
  <c r="AD908" i="1"/>
  <c r="Z908" i="1"/>
  <c r="AD907" i="1"/>
  <c r="Z907" i="1"/>
  <c r="AD906" i="1"/>
  <c r="Z906" i="1"/>
  <c r="AD905" i="1"/>
  <c r="Z905" i="1"/>
  <c r="AD904" i="1"/>
  <c r="Z904" i="1"/>
  <c r="AD903" i="1"/>
  <c r="Z903" i="1"/>
  <c r="AD902" i="1"/>
  <c r="Z902" i="1"/>
  <c r="AD901" i="1"/>
  <c r="Z901" i="1"/>
  <c r="AD900" i="1"/>
  <c r="Z900" i="1"/>
  <c r="AD899" i="1"/>
  <c r="Z899" i="1"/>
  <c r="AD898" i="1"/>
  <c r="Z898" i="1"/>
  <c r="AD897" i="1"/>
  <c r="Z897" i="1"/>
  <c r="AD896" i="1"/>
  <c r="Z896" i="1"/>
  <c r="AD895" i="1"/>
  <c r="Z895" i="1"/>
  <c r="AD894" i="1"/>
  <c r="Z894" i="1"/>
  <c r="AD893" i="1"/>
  <c r="Z893" i="1"/>
  <c r="AD892" i="1"/>
  <c r="Z892" i="1"/>
  <c r="AD891" i="1"/>
  <c r="Z891" i="1"/>
  <c r="AD890" i="1"/>
  <c r="Z890" i="1"/>
  <c r="AD889" i="1"/>
  <c r="Z889" i="1"/>
  <c r="AD888" i="1"/>
  <c r="Z888" i="1"/>
  <c r="AD887" i="1"/>
  <c r="Z887" i="1"/>
  <c r="AD886" i="1"/>
  <c r="Z886" i="1"/>
  <c r="AD885" i="1"/>
  <c r="Z885" i="1"/>
  <c r="AD884" i="1"/>
  <c r="Z884" i="1"/>
  <c r="AD883" i="1"/>
  <c r="Z883" i="1"/>
  <c r="AD882" i="1"/>
  <c r="Z882" i="1"/>
  <c r="AD881" i="1"/>
  <c r="Z881" i="1"/>
  <c r="AD880" i="1"/>
  <c r="Z880" i="1"/>
  <c r="AD879" i="1"/>
  <c r="Z879" i="1"/>
  <c r="AD878" i="1"/>
  <c r="Z878" i="1"/>
  <c r="AD877" i="1"/>
  <c r="Z877" i="1"/>
  <c r="AD876" i="1"/>
  <c r="Z876" i="1"/>
  <c r="AD875" i="1"/>
  <c r="Z875" i="1"/>
  <c r="AD874" i="1"/>
  <c r="Z874" i="1"/>
  <c r="AD873" i="1"/>
  <c r="Z873" i="1"/>
  <c r="AD872" i="1"/>
  <c r="Z872" i="1"/>
  <c r="AD871" i="1"/>
  <c r="Z871" i="1"/>
  <c r="AD870" i="1"/>
  <c r="Z870" i="1"/>
  <c r="AD869" i="1"/>
  <c r="Z869" i="1"/>
  <c r="AD868" i="1"/>
  <c r="Z868" i="1"/>
  <c r="AD867" i="1"/>
  <c r="Z867" i="1"/>
  <c r="AD866" i="1"/>
  <c r="Z866" i="1"/>
  <c r="AD865" i="1"/>
  <c r="Z865" i="1"/>
  <c r="AD864" i="1"/>
  <c r="Z864" i="1"/>
  <c r="AD863" i="1"/>
  <c r="Z863" i="1"/>
  <c r="AD862" i="1"/>
  <c r="Z862" i="1"/>
  <c r="AD861" i="1"/>
  <c r="Z861" i="1"/>
  <c r="AD860" i="1"/>
  <c r="Z860" i="1"/>
  <c r="AD859" i="1"/>
  <c r="Z859" i="1"/>
  <c r="AD858" i="1"/>
  <c r="Z858" i="1"/>
  <c r="AD857" i="1"/>
  <c r="Z857" i="1"/>
  <c r="AD856" i="1"/>
  <c r="Z856" i="1"/>
  <c r="AD855" i="1"/>
  <c r="Z855" i="1"/>
  <c r="AD854" i="1"/>
  <c r="Z854" i="1"/>
  <c r="AD853" i="1"/>
  <c r="Z853" i="1"/>
  <c r="AD852" i="1"/>
  <c r="Z852" i="1"/>
  <c r="AD851" i="1"/>
  <c r="Z851" i="1"/>
  <c r="AD850" i="1"/>
  <c r="Z850" i="1"/>
  <c r="AD849" i="1"/>
  <c r="Z849" i="1"/>
  <c r="AD848" i="1"/>
  <c r="Z848" i="1"/>
  <c r="AD847" i="1"/>
  <c r="Z847" i="1"/>
  <c r="AD846" i="1"/>
  <c r="Z846" i="1"/>
  <c r="AD845" i="1"/>
  <c r="Z845" i="1"/>
  <c r="AD844" i="1"/>
  <c r="Z844" i="1"/>
  <c r="AD843" i="1"/>
  <c r="Z843" i="1"/>
  <c r="AD842" i="1"/>
  <c r="Z842" i="1"/>
  <c r="AD841" i="1"/>
  <c r="Z841" i="1"/>
  <c r="AD840" i="1"/>
  <c r="Z840" i="1"/>
  <c r="AD839" i="1"/>
  <c r="Z839" i="1"/>
  <c r="AD838" i="1"/>
  <c r="Z838" i="1"/>
  <c r="AD837" i="1"/>
  <c r="Z837" i="1"/>
  <c r="AD836" i="1"/>
  <c r="Z836" i="1"/>
  <c r="AD835" i="1"/>
  <c r="Z835" i="1"/>
  <c r="AD834" i="1"/>
  <c r="Z834" i="1"/>
  <c r="AD833" i="1"/>
  <c r="Z833" i="1"/>
  <c r="AD832" i="1"/>
  <c r="Z832" i="1"/>
  <c r="AD831" i="1"/>
  <c r="Z831" i="1"/>
  <c r="AD830" i="1"/>
  <c r="Z830" i="1"/>
  <c r="AD829" i="1"/>
  <c r="Z829" i="1"/>
  <c r="AD828" i="1"/>
  <c r="Z828" i="1"/>
  <c r="AD827" i="1"/>
  <c r="Z827" i="1"/>
  <c r="AD826" i="1"/>
  <c r="Z826" i="1"/>
  <c r="AD825" i="1"/>
  <c r="Z825" i="1"/>
  <c r="AD824" i="1"/>
  <c r="Z824" i="1"/>
  <c r="AD823" i="1"/>
  <c r="Z823" i="1"/>
  <c r="AD822" i="1"/>
  <c r="Z822" i="1"/>
  <c r="AD821" i="1"/>
  <c r="Z821" i="1"/>
  <c r="AD820" i="1"/>
  <c r="Z820" i="1"/>
  <c r="AD819" i="1"/>
  <c r="Z819" i="1"/>
  <c r="AD818" i="1"/>
  <c r="Z818" i="1"/>
  <c r="AD817" i="1"/>
  <c r="Z817" i="1"/>
  <c r="AD816" i="1"/>
  <c r="Z816" i="1"/>
  <c r="AD815" i="1"/>
  <c r="Z815" i="1"/>
  <c r="AD814" i="1"/>
  <c r="Z814" i="1"/>
  <c r="AD813" i="1"/>
  <c r="Z813" i="1"/>
  <c r="AD812" i="1"/>
  <c r="Z812" i="1"/>
  <c r="AD811" i="1"/>
  <c r="Z811" i="1"/>
  <c r="AD810" i="1"/>
  <c r="Z810" i="1"/>
  <c r="AD809" i="1"/>
  <c r="Z809" i="1"/>
  <c r="AD808" i="1"/>
  <c r="Z808" i="1"/>
  <c r="AD807" i="1"/>
  <c r="Z807" i="1"/>
  <c r="AD806" i="1"/>
  <c r="Z806" i="1"/>
  <c r="AD805" i="1"/>
  <c r="Z805" i="1"/>
  <c r="AD804" i="1"/>
  <c r="Z804" i="1"/>
  <c r="AD803" i="1"/>
  <c r="Z803" i="1"/>
  <c r="AD802" i="1"/>
  <c r="Z802" i="1"/>
  <c r="AD801" i="1"/>
  <c r="Z801" i="1"/>
  <c r="AD800" i="1"/>
  <c r="Z800" i="1"/>
  <c r="AD799" i="1"/>
  <c r="Z799" i="1"/>
  <c r="AD798" i="1"/>
  <c r="Z798" i="1"/>
  <c r="AD797" i="1"/>
  <c r="Z797" i="1"/>
  <c r="AD796" i="1"/>
  <c r="Z796" i="1"/>
  <c r="AD795" i="1"/>
  <c r="Z795" i="1"/>
  <c r="AD794" i="1"/>
  <c r="Z794" i="1"/>
  <c r="AD793" i="1"/>
  <c r="Z793" i="1"/>
  <c r="AD792" i="1"/>
  <c r="Z792" i="1"/>
  <c r="AD791" i="1"/>
  <c r="Z791" i="1"/>
  <c r="AD790" i="1"/>
  <c r="Z790" i="1"/>
  <c r="AD789" i="1"/>
  <c r="Z789" i="1"/>
  <c r="AD788" i="1"/>
  <c r="Z788" i="1"/>
  <c r="AD787" i="1"/>
  <c r="Z787" i="1"/>
  <c r="AD786" i="1"/>
  <c r="Z786" i="1"/>
  <c r="AD785" i="1"/>
  <c r="Z785" i="1"/>
  <c r="AD784" i="1"/>
  <c r="Z784" i="1"/>
  <c r="AD783" i="1"/>
  <c r="Z783" i="1"/>
  <c r="AD782" i="1"/>
  <c r="Z782" i="1"/>
  <c r="AD781" i="1"/>
  <c r="Z781" i="1"/>
  <c r="AD780" i="1"/>
  <c r="Z780" i="1"/>
  <c r="AD779" i="1"/>
  <c r="Z779" i="1"/>
  <c r="AD778" i="1"/>
  <c r="Z778" i="1"/>
  <c r="AD777" i="1"/>
  <c r="Z777" i="1"/>
  <c r="AD776" i="1"/>
  <c r="Z776" i="1"/>
  <c r="AD775" i="1"/>
  <c r="Z775" i="1"/>
  <c r="AD774" i="1"/>
  <c r="Z774" i="1"/>
  <c r="AD773" i="1"/>
  <c r="Z773" i="1"/>
  <c r="AD772" i="1"/>
  <c r="Z772" i="1"/>
  <c r="AD771" i="1"/>
  <c r="Z771" i="1"/>
  <c r="AD770" i="1"/>
  <c r="Z770" i="1"/>
  <c r="AD769" i="1"/>
  <c r="Z769" i="1"/>
  <c r="AD768" i="1"/>
  <c r="Z768" i="1"/>
  <c r="AD767" i="1"/>
  <c r="Z767" i="1"/>
  <c r="AD766" i="1"/>
  <c r="Z766" i="1"/>
  <c r="AD765" i="1"/>
  <c r="Z765" i="1"/>
  <c r="AD764" i="1"/>
  <c r="Z764" i="1"/>
  <c r="AD763" i="1"/>
  <c r="Z763" i="1"/>
  <c r="AD762" i="1"/>
  <c r="Z762" i="1"/>
  <c r="AD761" i="1"/>
  <c r="Z761" i="1"/>
  <c r="AD760" i="1"/>
  <c r="Z760" i="1"/>
  <c r="AD759" i="1"/>
  <c r="Z759" i="1"/>
  <c r="AD758" i="1"/>
  <c r="Z758" i="1"/>
  <c r="AD757" i="1"/>
  <c r="Z757" i="1"/>
  <c r="AD756" i="1"/>
  <c r="Z756" i="1"/>
  <c r="AD755" i="1"/>
  <c r="Z755" i="1"/>
  <c r="AD754" i="1"/>
  <c r="Z754" i="1"/>
  <c r="AD753" i="1"/>
  <c r="Z753" i="1"/>
  <c r="AD752" i="1"/>
  <c r="Z752" i="1"/>
  <c r="AD751" i="1"/>
  <c r="Z751" i="1"/>
  <c r="AD750" i="1"/>
  <c r="Z750" i="1"/>
  <c r="AD749" i="1"/>
  <c r="Z749" i="1"/>
  <c r="AD748" i="1"/>
  <c r="Z748" i="1"/>
  <c r="AD747" i="1"/>
  <c r="Z747" i="1"/>
  <c r="AD746" i="1"/>
  <c r="Z746" i="1"/>
  <c r="AD745" i="1"/>
  <c r="Z745" i="1"/>
  <c r="AD744" i="1"/>
  <c r="Z744" i="1"/>
  <c r="AD743" i="1"/>
  <c r="Z743" i="1"/>
  <c r="AD742" i="1"/>
  <c r="Z742" i="1"/>
  <c r="AD741" i="1"/>
  <c r="Z741" i="1"/>
  <c r="AD740" i="1"/>
  <c r="Z740" i="1"/>
  <c r="AD739" i="1"/>
  <c r="Z739" i="1"/>
  <c r="AD738" i="1"/>
  <c r="Z738" i="1"/>
  <c r="AD737" i="1"/>
  <c r="Z737" i="1"/>
  <c r="AD736" i="1"/>
  <c r="Z736" i="1"/>
  <c r="AD735" i="1"/>
  <c r="Z735" i="1"/>
  <c r="AD734" i="1"/>
  <c r="Z734" i="1"/>
  <c r="AD733" i="1"/>
  <c r="Z733" i="1"/>
  <c r="AD732" i="1"/>
  <c r="Z732" i="1"/>
  <c r="AD731" i="1"/>
  <c r="Z731" i="1"/>
  <c r="AD730" i="1"/>
  <c r="Z730" i="1"/>
  <c r="AD729" i="1"/>
  <c r="Z729" i="1"/>
  <c r="AD728" i="1"/>
  <c r="Z728" i="1"/>
  <c r="AD727" i="1"/>
  <c r="Z727" i="1"/>
  <c r="AD726" i="1"/>
  <c r="Z726" i="1"/>
  <c r="AD725" i="1"/>
  <c r="Z725" i="1"/>
  <c r="AD724" i="1"/>
  <c r="Z724" i="1"/>
  <c r="AD723" i="1"/>
  <c r="Z723" i="1"/>
  <c r="AD722" i="1"/>
  <c r="Z722" i="1"/>
  <c r="AD721" i="1"/>
  <c r="Z721" i="1"/>
  <c r="AD720" i="1"/>
  <c r="Z720" i="1"/>
  <c r="AD719" i="1"/>
  <c r="Z719" i="1"/>
  <c r="AD718" i="1"/>
  <c r="Z718" i="1"/>
  <c r="AD717" i="1"/>
  <c r="Z717" i="1"/>
  <c r="AD716" i="1"/>
  <c r="Z716" i="1"/>
  <c r="AD715" i="1"/>
  <c r="Z715" i="1"/>
  <c r="AD714" i="1"/>
  <c r="Z714" i="1"/>
  <c r="AD713" i="1"/>
  <c r="Z713" i="1"/>
  <c r="AD712" i="1"/>
  <c r="Z712" i="1"/>
  <c r="AD711" i="1"/>
  <c r="Z711" i="1"/>
  <c r="AD710" i="1"/>
  <c r="Z710" i="1"/>
  <c r="AD709" i="1"/>
  <c r="Z709" i="1"/>
  <c r="AD708" i="1"/>
  <c r="Z708" i="1"/>
  <c r="AD707" i="1"/>
  <c r="Z707" i="1"/>
  <c r="AD706" i="1"/>
  <c r="Z706" i="1"/>
  <c r="AD705" i="1"/>
  <c r="Z705" i="1"/>
  <c r="AD704" i="1"/>
  <c r="Z704" i="1"/>
  <c r="AD703" i="1"/>
  <c r="Z703" i="1"/>
  <c r="AD702" i="1"/>
  <c r="Z702" i="1"/>
  <c r="AD701" i="1"/>
  <c r="Z701" i="1"/>
  <c r="AD700" i="1"/>
  <c r="Z700" i="1"/>
  <c r="AD699" i="1"/>
  <c r="Z699" i="1"/>
  <c r="AD698" i="1"/>
  <c r="Z698" i="1"/>
  <c r="AD697" i="1"/>
  <c r="Z697" i="1"/>
  <c r="AD696" i="1"/>
  <c r="Z696" i="1"/>
  <c r="AD695" i="1"/>
  <c r="Z695" i="1"/>
  <c r="AD694" i="1"/>
  <c r="Z694" i="1"/>
  <c r="AD693" i="1"/>
  <c r="Z693" i="1"/>
  <c r="AD692" i="1"/>
  <c r="Z692" i="1"/>
  <c r="AD691" i="1"/>
  <c r="Z691" i="1"/>
  <c r="AD690" i="1"/>
  <c r="Z690" i="1"/>
  <c r="AD689" i="1"/>
  <c r="Z689" i="1"/>
  <c r="AD688" i="1"/>
  <c r="Z688" i="1"/>
  <c r="AD687" i="1"/>
  <c r="Z687" i="1"/>
  <c r="AD686" i="1"/>
  <c r="Z686" i="1"/>
  <c r="AD685" i="1"/>
  <c r="Z685" i="1"/>
  <c r="AD684" i="1"/>
  <c r="Z684" i="1"/>
  <c r="AD683" i="1"/>
  <c r="Z683" i="1"/>
  <c r="AD682" i="1"/>
  <c r="Z682" i="1"/>
  <c r="AD681" i="1"/>
  <c r="Z681" i="1"/>
  <c r="AD680" i="1"/>
  <c r="Z680" i="1"/>
  <c r="AD679" i="1"/>
  <c r="Z679" i="1"/>
  <c r="AD678" i="1"/>
  <c r="Z678" i="1"/>
  <c r="AD677" i="1"/>
  <c r="Z677" i="1"/>
  <c r="AD676" i="1"/>
  <c r="Z676" i="1"/>
  <c r="AD675" i="1"/>
  <c r="Z675" i="1"/>
  <c r="AD674" i="1"/>
  <c r="Z674" i="1"/>
  <c r="AD673" i="1"/>
  <c r="Z673" i="1"/>
  <c r="AD672" i="1"/>
  <c r="Z672" i="1"/>
  <c r="AD671" i="1"/>
  <c r="Z671" i="1"/>
  <c r="AD670" i="1"/>
  <c r="Z670" i="1"/>
  <c r="AD669" i="1"/>
  <c r="Z669" i="1"/>
  <c r="AD668" i="1"/>
  <c r="Z668" i="1"/>
  <c r="AD667" i="1"/>
  <c r="Z667" i="1"/>
  <c r="AD666" i="1"/>
  <c r="Z666" i="1"/>
  <c r="AD665" i="1"/>
  <c r="Z665" i="1"/>
  <c r="AD664" i="1"/>
  <c r="Z664" i="1"/>
  <c r="AD663" i="1"/>
  <c r="Z663" i="1"/>
  <c r="AD662" i="1"/>
  <c r="Z662" i="1"/>
  <c r="AD661" i="1"/>
  <c r="Z661" i="1"/>
  <c r="AD660" i="1"/>
  <c r="Z660" i="1"/>
  <c r="AD659" i="1"/>
  <c r="Z659" i="1"/>
  <c r="AD658" i="1"/>
  <c r="Z658" i="1"/>
  <c r="AD657" i="1"/>
  <c r="Z657" i="1"/>
  <c r="AD656" i="1"/>
  <c r="Z656" i="1"/>
  <c r="AD655" i="1"/>
  <c r="Z655" i="1"/>
  <c r="AD654" i="1"/>
  <c r="Z654" i="1"/>
  <c r="AD653" i="1"/>
  <c r="Z653" i="1"/>
  <c r="AD652" i="1"/>
  <c r="Z652" i="1"/>
  <c r="AD651" i="1"/>
  <c r="Z651" i="1"/>
  <c r="AD650" i="1"/>
  <c r="Z650" i="1"/>
  <c r="AD649" i="1"/>
  <c r="Z649" i="1"/>
  <c r="AD648" i="1"/>
  <c r="Z648" i="1"/>
  <c r="AD647" i="1"/>
  <c r="Z647" i="1"/>
  <c r="AD646" i="1"/>
  <c r="Z646" i="1"/>
  <c r="AD645" i="1"/>
  <c r="Z645" i="1"/>
  <c r="AD644" i="1"/>
  <c r="Z644" i="1"/>
  <c r="AD643" i="1"/>
  <c r="Z643" i="1"/>
  <c r="AD642" i="1"/>
  <c r="Z642" i="1"/>
  <c r="AD641" i="1"/>
  <c r="Z641" i="1"/>
  <c r="AD640" i="1"/>
  <c r="Z640" i="1"/>
  <c r="AD639" i="1"/>
  <c r="Z639" i="1"/>
  <c r="AD638" i="1"/>
  <c r="Z638" i="1"/>
  <c r="AD637" i="1"/>
  <c r="Z637" i="1"/>
  <c r="AD636" i="1"/>
  <c r="Z636" i="1"/>
  <c r="AD635" i="1"/>
  <c r="Z635" i="1"/>
  <c r="AD634" i="1"/>
  <c r="Z634" i="1"/>
  <c r="AD633" i="1"/>
  <c r="Z633" i="1"/>
  <c r="AD632" i="1"/>
  <c r="Z632" i="1"/>
  <c r="AD631" i="1"/>
  <c r="Z631" i="1"/>
  <c r="AD630" i="1"/>
  <c r="Z630" i="1"/>
  <c r="AD629" i="1"/>
  <c r="Z629" i="1"/>
  <c r="AD628" i="1"/>
  <c r="Z628" i="1"/>
  <c r="AD627" i="1"/>
  <c r="Z627" i="1"/>
  <c r="AD626" i="1"/>
  <c r="Z626" i="1"/>
  <c r="AD625" i="1"/>
  <c r="Z625" i="1"/>
  <c r="AD624" i="1"/>
  <c r="Z624" i="1"/>
  <c r="AD623" i="1"/>
  <c r="Z623" i="1"/>
  <c r="AD622" i="1"/>
  <c r="Z622" i="1"/>
  <c r="AD621" i="1"/>
  <c r="Z621" i="1"/>
  <c r="AD620" i="1"/>
  <c r="Z620" i="1"/>
  <c r="AD619" i="1"/>
  <c r="Z619" i="1"/>
  <c r="AD618" i="1"/>
  <c r="Z618" i="1"/>
  <c r="AD617" i="1"/>
  <c r="Z617" i="1"/>
  <c r="AD616" i="1"/>
  <c r="Z616" i="1"/>
  <c r="AD615" i="1"/>
  <c r="Z615" i="1"/>
  <c r="AD614" i="1"/>
  <c r="Z614" i="1"/>
  <c r="AD613" i="1"/>
  <c r="Z613" i="1"/>
  <c r="AD612" i="1"/>
  <c r="Z612" i="1"/>
  <c r="AD611" i="1"/>
  <c r="Z611" i="1"/>
  <c r="AD610" i="1"/>
  <c r="Z610" i="1"/>
  <c r="AD609" i="1"/>
  <c r="Z609" i="1"/>
  <c r="AD608" i="1"/>
  <c r="Z608" i="1"/>
  <c r="AD607" i="1"/>
  <c r="Z607" i="1"/>
  <c r="AD606" i="1"/>
  <c r="Z606" i="1"/>
  <c r="AD605" i="1"/>
  <c r="Z605" i="1"/>
  <c r="AD604" i="1"/>
  <c r="Z604" i="1"/>
  <c r="AD603" i="1"/>
  <c r="Z603" i="1"/>
  <c r="AD602" i="1"/>
  <c r="Z602" i="1"/>
  <c r="AD601" i="1"/>
  <c r="Z601" i="1"/>
  <c r="AD600" i="1"/>
  <c r="Z600" i="1"/>
  <c r="AD599" i="1"/>
  <c r="Z599" i="1"/>
  <c r="AD598" i="1"/>
  <c r="Z598" i="1"/>
  <c r="AD597" i="1"/>
  <c r="Z597" i="1"/>
  <c r="AD596" i="1"/>
  <c r="Z596" i="1"/>
  <c r="AD595" i="1"/>
  <c r="Z595" i="1"/>
  <c r="AD594" i="1"/>
  <c r="Z594" i="1"/>
  <c r="AD593" i="1"/>
  <c r="Z593" i="1"/>
  <c r="AD592" i="1"/>
  <c r="Z592" i="1"/>
  <c r="AD591" i="1"/>
  <c r="Z591" i="1"/>
  <c r="AD590" i="1"/>
  <c r="Z590" i="1"/>
  <c r="AD589" i="1"/>
  <c r="Z589" i="1"/>
  <c r="AD588" i="1"/>
  <c r="Z588" i="1"/>
  <c r="AD587" i="1"/>
  <c r="Z587" i="1"/>
  <c r="AD586" i="1"/>
  <c r="Z586" i="1"/>
  <c r="AD585" i="1"/>
  <c r="Z585" i="1"/>
  <c r="AD584" i="1"/>
  <c r="Z584" i="1"/>
  <c r="AD583" i="1"/>
  <c r="Z583" i="1"/>
  <c r="AD582" i="1"/>
  <c r="Z582" i="1"/>
  <c r="AD581" i="1"/>
  <c r="Z581" i="1"/>
  <c r="AD580" i="1"/>
  <c r="Z580" i="1"/>
  <c r="AD579" i="1"/>
  <c r="Z579" i="1"/>
  <c r="AD578" i="1"/>
  <c r="Z578" i="1"/>
  <c r="AD577" i="1"/>
  <c r="Z577" i="1"/>
  <c r="AD576" i="1"/>
  <c r="Z576" i="1"/>
  <c r="AD575" i="1"/>
  <c r="Z575" i="1"/>
  <c r="AD574" i="1"/>
  <c r="Z574" i="1"/>
  <c r="AD573" i="1"/>
  <c r="Z573" i="1"/>
  <c r="AD572" i="1"/>
  <c r="Z572" i="1"/>
  <c r="AD571" i="1"/>
  <c r="Z571" i="1"/>
  <c r="AD570" i="1"/>
  <c r="Z570" i="1"/>
  <c r="AD569" i="1"/>
  <c r="Z569" i="1"/>
  <c r="AD568" i="1"/>
  <c r="Z568" i="1"/>
  <c r="AD567" i="1"/>
  <c r="Z567" i="1"/>
  <c r="AD566" i="1"/>
  <c r="Z566" i="1"/>
  <c r="AD565" i="1"/>
  <c r="Z565" i="1"/>
  <c r="AD564" i="1"/>
  <c r="Z564" i="1"/>
  <c r="AD563" i="1"/>
  <c r="Z563" i="1"/>
  <c r="AD562" i="1"/>
  <c r="Z562" i="1"/>
  <c r="AD561" i="1"/>
  <c r="Z561" i="1"/>
  <c r="AD560" i="1"/>
  <c r="Z560" i="1"/>
  <c r="AD559" i="1"/>
  <c r="Z559" i="1"/>
  <c r="AD558" i="1"/>
  <c r="Z558" i="1"/>
  <c r="AD557" i="1"/>
  <c r="Z557" i="1"/>
  <c r="AD556" i="1"/>
  <c r="Z556" i="1"/>
  <c r="AD555" i="1"/>
  <c r="Z555" i="1"/>
  <c r="AD554" i="1"/>
  <c r="Z554" i="1"/>
  <c r="AD553" i="1"/>
  <c r="Z553" i="1"/>
  <c r="AD552" i="1"/>
  <c r="Z552" i="1"/>
  <c r="AD551" i="1"/>
  <c r="Z551" i="1"/>
  <c r="AD550" i="1"/>
  <c r="Z550" i="1"/>
  <c r="AD549" i="1"/>
  <c r="Z549" i="1"/>
  <c r="AD548" i="1"/>
  <c r="Z548" i="1"/>
  <c r="AD547" i="1"/>
  <c r="Z547" i="1"/>
  <c r="AD546" i="1"/>
  <c r="Z546" i="1"/>
  <c r="AD545" i="1"/>
  <c r="Z545" i="1"/>
  <c r="AD544" i="1"/>
  <c r="Z544" i="1"/>
  <c r="AD543" i="1"/>
  <c r="Z543" i="1"/>
  <c r="AD542" i="1"/>
  <c r="Z542" i="1"/>
  <c r="AD541" i="1"/>
  <c r="Z541" i="1"/>
  <c r="AD540" i="1"/>
  <c r="Z540" i="1"/>
  <c r="AD539" i="1"/>
  <c r="Z539" i="1"/>
  <c r="AD538" i="1"/>
  <c r="Z538" i="1"/>
  <c r="AD537" i="1"/>
  <c r="Z537" i="1"/>
  <c r="AD536" i="1"/>
  <c r="Z536" i="1"/>
  <c r="AD535" i="1"/>
  <c r="Z535" i="1"/>
  <c r="AD534" i="1"/>
  <c r="Z534" i="1"/>
  <c r="AD533" i="1"/>
  <c r="Z533" i="1"/>
  <c r="AD532" i="1"/>
  <c r="Z532" i="1"/>
  <c r="AD531" i="1"/>
  <c r="Z531" i="1"/>
  <c r="AD530" i="1"/>
  <c r="Z530" i="1"/>
  <c r="AD529" i="1"/>
  <c r="Z529" i="1"/>
  <c r="AD528" i="1"/>
  <c r="Z528" i="1"/>
  <c r="AD527" i="1"/>
  <c r="Z527" i="1"/>
  <c r="AD526" i="1"/>
  <c r="Z526" i="1"/>
  <c r="AD525" i="1"/>
  <c r="Z525" i="1"/>
  <c r="AD524" i="1"/>
  <c r="Z524" i="1"/>
  <c r="AD523" i="1"/>
  <c r="Z523" i="1"/>
  <c r="AD522" i="1"/>
  <c r="Z522" i="1"/>
  <c r="AD521" i="1"/>
  <c r="Z521" i="1"/>
  <c r="AD520" i="1"/>
  <c r="Z520" i="1"/>
  <c r="AD519" i="1"/>
  <c r="Z519" i="1"/>
  <c r="AD518" i="1"/>
  <c r="Z518" i="1"/>
  <c r="AD517" i="1"/>
  <c r="Z517" i="1"/>
  <c r="AD516" i="1"/>
  <c r="Z516" i="1"/>
  <c r="AD515" i="1"/>
  <c r="Z515" i="1"/>
  <c r="AD514" i="1"/>
  <c r="Z514" i="1"/>
  <c r="AD513" i="1"/>
  <c r="Z513" i="1"/>
  <c r="AD512" i="1"/>
  <c r="Z512" i="1"/>
  <c r="AD511" i="1"/>
  <c r="Z511" i="1"/>
  <c r="AD510" i="1"/>
  <c r="Z510" i="1"/>
  <c r="AD509" i="1"/>
  <c r="Z509" i="1"/>
  <c r="AD508" i="1"/>
  <c r="Z508" i="1"/>
  <c r="AD507" i="1"/>
  <c r="Z507" i="1"/>
  <c r="AD506" i="1"/>
  <c r="Z506" i="1"/>
  <c r="AD505" i="1"/>
  <c r="Z505" i="1"/>
  <c r="AD504" i="1"/>
  <c r="Z504" i="1"/>
  <c r="AD503" i="1"/>
  <c r="Z503" i="1"/>
  <c r="AD502" i="1"/>
  <c r="Z502" i="1"/>
  <c r="AD501" i="1"/>
  <c r="Z501" i="1"/>
  <c r="AD500" i="1"/>
  <c r="Z500" i="1"/>
  <c r="AD499" i="1"/>
  <c r="Z499" i="1"/>
  <c r="AD498" i="1"/>
  <c r="Z498" i="1"/>
  <c r="AD497" i="1"/>
  <c r="Z497" i="1"/>
  <c r="AD496" i="1"/>
  <c r="Z496" i="1"/>
  <c r="AD495" i="1"/>
  <c r="Z495" i="1"/>
  <c r="AD494" i="1"/>
  <c r="Z494" i="1"/>
  <c r="AD493" i="1"/>
  <c r="Z493" i="1"/>
  <c r="AD492" i="1"/>
  <c r="Z492" i="1"/>
  <c r="AD491" i="1"/>
  <c r="Z491" i="1"/>
  <c r="AD490" i="1"/>
  <c r="Z490" i="1"/>
  <c r="AD489" i="1"/>
  <c r="Z489" i="1"/>
  <c r="AD488" i="1"/>
  <c r="Z488" i="1"/>
  <c r="AD487" i="1"/>
  <c r="Z487" i="1"/>
  <c r="AD486" i="1"/>
  <c r="Z486" i="1"/>
  <c r="AD485" i="1"/>
  <c r="Z485" i="1"/>
  <c r="AD484" i="1"/>
  <c r="Z484" i="1"/>
  <c r="AD483" i="1"/>
  <c r="Z483" i="1"/>
  <c r="AD482" i="1"/>
  <c r="Z482" i="1"/>
  <c r="AD481" i="1"/>
  <c r="Z481" i="1"/>
  <c r="AD480" i="1"/>
  <c r="Z480" i="1"/>
  <c r="AD479" i="1"/>
  <c r="Z479" i="1"/>
  <c r="AD478" i="1"/>
  <c r="Z478" i="1"/>
  <c r="AD477" i="1"/>
  <c r="Z477" i="1"/>
  <c r="AD476" i="1"/>
  <c r="Z476" i="1"/>
  <c r="AD475" i="1"/>
  <c r="Z475" i="1"/>
  <c r="AD474" i="1"/>
  <c r="Z474" i="1"/>
  <c r="AD473" i="1"/>
  <c r="Z473" i="1"/>
  <c r="AD472" i="1"/>
  <c r="Z472" i="1"/>
  <c r="AD471" i="1"/>
  <c r="Z471" i="1"/>
  <c r="AD470" i="1"/>
  <c r="Z470" i="1"/>
  <c r="AD469" i="1"/>
  <c r="Z469" i="1"/>
  <c r="AD468" i="1"/>
  <c r="Z468" i="1"/>
  <c r="AD467" i="1"/>
  <c r="Z467" i="1"/>
  <c r="AD466" i="1"/>
  <c r="Z466" i="1"/>
  <c r="AD465" i="1"/>
  <c r="Z465" i="1"/>
  <c r="AD464" i="1"/>
  <c r="Z464" i="1"/>
  <c r="AD463" i="1"/>
  <c r="Z463" i="1"/>
  <c r="AD462" i="1"/>
  <c r="Z462" i="1"/>
  <c r="AD461" i="1"/>
  <c r="Z461" i="1"/>
  <c r="AD460" i="1"/>
  <c r="Z460" i="1"/>
  <c r="AD459" i="1"/>
  <c r="Z459" i="1"/>
  <c r="AD458" i="1"/>
  <c r="Z458" i="1"/>
  <c r="AD457" i="1"/>
  <c r="Z457" i="1"/>
  <c r="AD456" i="1"/>
  <c r="Z456" i="1"/>
  <c r="AD455" i="1"/>
  <c r="Z455" i="1"/>
  <c r="AD454" i="1"/>
  <c r="Z454" i="1"/>
  <c r="AD453" i="1"/>
  <c r="Z453" i="1"/>
  <c r="AD452" i="1"/>
  <c r="Z452" i="1"/>
  <c r="AD451" i="1"/>
  <c r="Z451" i="1"/>
  <c r="AD450" i="1"/>
  <c r="Z450" i="1"/>
  <c r="AD449" i="1"/>
  <c r="Z449" i="1"/>
  <c r="AD448" i="1"/>
  <c r="Z448" i="1"/>
  <c r="AD447" i="1"/>
  <c r="Z447" i="1"/>
  <c r="AD446" i="1"/>
  <c r="Z446" i="1"/>
  <c r="AD445" i="1"/>
  <c r="Z445" i="1"/>
  <c r="AD444" i="1"/>
  <c r="Z444" i="1"/>
  <c r="AD443" i="1"/>
  <c r="Z443" i="1"/>
  <c r="AD442" i="1"/>
  <c r="Z442" i="1"/>
  <c r="AD441" i="1"/>
  <c r="Z441" i="1"/>
  <c r="AD440" i="1"/>
  <c r="Z440" i="1"/>
  <c r="AD439" i="1"/>
  <c r="Z439" i="1"/>
  <c r="AD438" i="1"/>
  <c r="Z438" i="1"/>
  <c r="AD437" i="1"/>
  <c r="Z437" i="1"/>
  <c r="AD436" i="1"/>
  <c r="Z436" i="1"/>
  <c r="AD435" i="1"/>
  <c r="Z435" i="1"/>
  <c r="AD434" i="1"/>
  <c r="Z434" i="1"/>
  <c r="AD433" i="1"/>
  <c r="Z433" i="1"/>
  <c r="AD432" i="1"/>
  <c r="Z432" i="1"/>
  <c r="AD431" i="1"/>
  <c r="Z431" i="1"/>
  <c r="AD430" i="1"/>
  <c r="Z430" i="1"/>
  <c r="AD429" i="1"/>
  <c r="Z429" i="1"/>
  <c r="AD428" i="1"/>
  <c r="Z428" i="1"/>
  <c r="AD427" i="1"/>
  <c r="Z427" i="1"/>
  <c r="AD426" i="1"/>
  <c r="Z426" i="1"/>
  <c r="AD425" i="1"/>
  <c r="Z425" i="1"/>
  <c r="AD424" i="1"/>
  <c r="Z424" i="1"/>
  <c r="AD423" i="1"/>
  <c r="Z423" i="1"/>
  <c r="AD422" i="1"/>
  <c r="Z422" i="1"/>
  <c r="AD421" i="1"/>
  <c r="Z421" i="1"/>
  <c r="AD420" i="1"/>
  <c r="Z420" i="1"/>
  <c r="AD419" i="1"/>
  <c r="Z419" i="1"/>
  <c r="AD418" i="1"/>
  <c r="Z418" i="1"/>
  <c r="AD417" i="1"/>
  <c r="Z417" i="1"/>
  <c r="AD416" i="1"/>
  <c r="Z416" i="1"/>
  <c r="AD415" i="1"/>
  <c r="Z415" i="1"/>
  <c r="AD414" i="1"/>
  <c r="Z414" i="1"/>
  <c r="AD413" i="1"/>
  <c r="Z413" i="1"/>
  <c r="AD412" i="1"/>
  <c r="Z412" i="1"/>
  <c r="AD411" i="1"/>
  <c r="Z411" i="1"/>
  <c r="AD410" i="1"/>
  <c r="Z410" i="1"/>
  <c r="AD409" i="1"/>
  <c r="Z409" i="1"/>
  <c r="AD408" i="1"/>
  <c r="Z408" i="1"/>
  <c r="AD407" i="1"/>
  <c r="Z407" i="1"/>
  <c r="AD406" i="1"/>
  <c r="Z406" i="1"/>
  <c r="AD405" i="1"/>
  <c r="Z405" i="1"/>
  <c r="AD404" i="1"/>
  <c r="Z404" i="1"/>
  <c r="AD403" i="1"/>
  <c r="Z403" i="1"/>
  <c r="AD402" i="1"/>
  <c r="Z402" i="1"/>
  <c r="AD401" i="1"/>
  <c r="Z401" i="1"/>
  <c r="AD400" i="1"/>
  <c r="Z400" i="1"/>
  <c r="AD399" i="1"/>
  <c r="Z399" i="1"/>
  <c r="AD398" i="1"/>
  <c r="Z398" i="1"/>
  <c r="AD397" i="1"/>
  <c r="Z397" i="1"/>
  <c r="AD396" i="1"/>
  <c r="Z396" i="1"/>
  <c r="AD395" i="1"/>
  <c r="Z395" i="1"/>
  <c r="AD394" i="1"/>
  <c r="Z394" i="1"/>
  <c r="AD393" i="1"/>
  <c r="Z393" i="1"/>
  <c r="AD392" i="1"/>
  <c r="Z392" i="1"/>
  <c r="AD391" i="1"/>
  <c r="Z391" i="1"/>
  <c r="AD390" i="1"/>
  <c r="Z390" i="1"/>
  <c r="AD389" i="1"/>
  <c r="Z389" i="1"/>
  <c r="AD388" i="1"/>
  <c r="Z388" i="1"/>
  <c r="AD387" i="1"/>
  <c r="Z387" i="1"/>
  <c r="AD386" i="1"/>
  <c r="Z386" i="1"/>
  <c r="AD385" i="1"/>
  <c r="Z385" i="1"/>
  <c r="AD384" i="1"/>
  <c r="Z384" i="1"/>
  <c r="AD383" i="1"/>
  <c r="Z383" i="1"/>
  <c r="AD382" i="1"/>
  <c r="Z382" i="1"/>
  <c r="AD381" i="1"/>
  <c r="Z381" i="1"/>
  <c r="AD380" i="1"/>
  <c r="Z380" i="1"/>
  <c r="AD379" i="1"/>
  <c r="Z379" i="1"/>
  <c r="AD378" i="1"/>
  <c r="Z378" i="1"/>
  <c r="AD377" i="1"/>
  <c r="Z377" i="1"/>
  <c r="AD376" i="1"/>
  <c r="Z376" i="1"/>
  <c r="AD375" i="1"/>
  <c r="Z375" i="1"/>
  <c r="AD374" i="1"/>
  <c r="Z374" i="1"/>
  <c r="AD373" i="1"/>
  <c r="Z373" i="1"/>
  <c r="AD372" i="1"/>
  <c r="Z372" i="1"/>
  <c r="AD371" i="1"/>
  <c r="Z371" i="1"/>
  <c r="AD370" i="1"/>
  <c r="Z370" i="1"/>
  <c r="AD369" i="1"/>
  <c r="Z369" i="1"/>
  <c r="AD368" i="1"/>
  <c r="Z368" i="1"/>
  <c r="AD367" i="1"/>
  <c r="Z367" i="1"/>
  <c r="AD366" i="1"/>
  <c r="Z366" i="1"/>
  <c r="AD365" i="1"/>
  <c r="Z365" i="1"/>
  <c r="AD364" i="1"/>
  <c r="Z364" i="1"/>
  <c r="AD363" i="1"/>
  <c r="Z363" i="1"/>
  <c r="AD362" i="1"/>
  <c r="Z362" i="1"/>
  <c r="AD361" i="1"/>
  <c r="Z361" i="1"/>
  <c r="AD360" i="1"/>
  <c r="Z360" i="1"/>
  <c r="AD359" i="1"/>
  <c r="Z359" i="1"/>
  <c r="AD358" i="1"/>
  <c r="Z358" i="1"/>
  <c r="AD357" i="1"/>
  <c r="Z357" i="1"/>
  <c r="AD356" i="1"/>
  <c r="Z356" i="1"/>
  <c r="AD355" i="1"/>
  <c r="Z355" i="1"/>
  <c r="AD354" i="1"/>
  <c r="Z354" i="1"/>
  <c r="AD353" i="1"/>
  <c r="Z353" i="1"/>
  <c r="AD352" i="1"/>
  <c r="Z352" i="1"/>
  <c r="AD351" i="1"/>
  <c r="Z351" i="1"/>
  <c r="AD350" i="1"/>
  <c r="Z350" i="1"/>
  <c r="AD349" i="1"/>
  <c r="Z349" i="1"/>
  <c r="AD348" i="1"/>
  <c r="Z348" i="1"/>
  <c r="AD347" i="1"/>
  <c r="Z347" i="1"/>
  <c r="AD346" i="1"/>
  <c r="Z346" i="1"/>
  <c r="AD345" i="1"/>
  <c r="Z345" i="1"/>
  <c r="AD344" i="1"/>
  <c r="Z344" i="1"/>
  <c r="AD343" i="1"/>
  <c r="Z343" i="1"/>
  <c r="AD342" i="1"/>
  <c r="Z342" i="1"/>
  <c r="AD341" i="1"/>
  <c r="Z341" i="1"/>
  <c r="AD340" i="1"/>
  <c r="Z340" i="1"/>
  <c r="AD339" i="1"/>
  <c r="Z339" i="1"/>
  <c r="AD338" i="1"/>
  <c r="Z338" i="1"/>
  <c r="AD337" i="1"/>
  <c r="Z337" i="1"/>
  <c r="AD336" i="1"/>
  <c r="Z336" i="1"/>
  <c r="AD335" i="1"/>
  <c r="Z335" i="1"/>
  <c r="AD334" i="1"/>
  <c r="Z334" i="1"/>
  <c r="AD333" i="1"/>
  <c r="Z333" i="1"/>
  <c r="AD332" i="1"/>
  <c r="Z332" i="1"/>
  <c r="AD331" i="1"/>
  <c r="Z331" i="1"/>
  <c r="AD330" i="1"/>
  <c r="Z330" i="1"/>
  <c r="AD329" i="1"/>
  <c r="Z329" i="1"/>
  <c r="AD328" i="1"/>
  <c r="Z328" i="1"/>
  <c r="AD327" i="1"/>
  <c r="Z327" i="1"/>
  <c r="AD326" i="1"/>
  <c r="Z326" i="1"/>
  <c r="AD325" i="1"/>
  <c r="Z325" i="1"/>
  <c r="AD324" i="1"/>
  <c r="Z324" i="1"/>
  <c r="AD323" i="1"/>
  <c r="Z323" i="1"/>
  <c r="AD322" i="1"/>
  <c r="Z322" i="1"/>
  <c r="AD321" i="1"/>
  <c r="Z321" i="1"/>
  <c r="AD320" i="1"/>
  <c r="Z320" i="1"/>
  <c r="AD319" i="1"/>
  <c r="Z319" i="1"/>
  <c r="AD318" i="1"/>
  <c r="Z318" i="1"/>
  <c r="AD317" i="1"/>
  <c r="Z317" i="1"/>
  <c r="AD316" i="1"/>
  <c r="Z316" i="1"/>
  <c r="AD315" i="1"/>
  <c r="Z315" i="1"/>
  <c r="AD314" i="1"/>
  <c r="Z314" i="1"/>
  <c r="AD313" i="1"/>
  <c r="Z313" i="1"/>
  <c r="AD312" i="1"/>
  <c r="Z312" i="1"/>
  <c r="AD311" i="1"/>
  <c r="Z311" i="1"/>
  <c r="AD310" i="1"/>
  <c r="Z310" i="1"/>
  <c r="AD309" i="1"/>
  <c r="Z309" i="1"/>
  <c r="AD308" i="1"/>
  <c r="Z308" i="1"/>
  <c r="AD307" i="1"/>
  <c r="Z307" i="1"/>
  <c r="AD306" i="1"/>
  <c r="Z306" i="1"/>
  <c r="AD305" i="1"/>
  <c r="Z305" i="1"/>
  <c r="AD304" i="1"/>
  <c r="Z304" i="1"/>
  <c r="AD303" i="1"/>
  <c r="Z303" i="1"/>
  <c r="AD302" i="1"/>
  <c r="Z302" i="1"/>
  <c r="AD301" i="1"/>
  <c r="Z301" i="1"/>
  <c r="AD300" i="1"/>
  <c r="Z300" i="1"/>
  <c r="AD299" i="1"/>
  <c r="Z299" i="1"/>
  <c r="AD298" i="1"/>
  <c r="Z298" i="1"/>
  <c r="AD297" i="1"/>
  <c r="Z297" i="1"/>
  <c r="AD296" i="1"/>
  <c r="Z296" i="1"/>
  <c r="AD295" i="1"/>
  <c r="Z295" i="1"/>
  <c r="AD294" i="1"/>
  <c r="Z294" i="1"/>
  <c r="AD293" i="1"/>
  <c r="Z293" i="1"/>
  <c r="AD292" i="1"/>
  <c r="Z292" i="1"/>
  <c r="AD291" i="1"/>
  <c r="Z291" i="1"/>
  <c r="AD290" i="1"/>
  <c r="Z290" i="1"/>
  <c r="AD289" i="1"/>
  <c r="Z289" i="1"/>
  <c r="AD288" i="1"/>
  <c r="Z288" i="1"/>
  <c r="AD287" i="1"/>
  <c r="Z287" i="1"/>
  <c r="AD286" i="1"/>
  <c r="Z286" i="1"/>
  <c r="AD285" i="1"/>
  <c r="Z285" i="1"/>
  <c r="AD284" i="1"/>
  <c r="Z284" i="1"/>
  <c r="AD283" i="1"/>
  <c r="Z283" i="1"/>
  <c r="AD282" i="1"/>
  <c r="Z282" i="1"/>
  <c r="AD281" i="1"/>
  <c r="Z281" i="1"/>
  <c r="AD280" i="1"/>
  <c r="Z280" i="1"/>
  <c r="AD279" i="1"/>
  <c r="Z279" i="1"/>
  <c r="AD278" i="1"/>
  <c r="Z278" i="1"/>
  <c r="AD277" i="1"/>
  <c r="Z277" i="1"/>
  <c r="AD276" i="1"/>
  <c r="Z276" i="1"/>
  <c r="AD275" i="1"/>
  <c r="Z275" i="1"/>
  <c r="AD274" i="1"/>
  <c r="Z274" i="1"/>
  <c r="AD273" i="1"/>
  <c r="Z273" i="1"/>
  <c r="AD272" i="1"/>
  <c r="Z272" i="1"/>
  <c r="AD271" i="1"/>
  <c r="Z271" i="1"/>
  <c r="AD270" i="1"/>
  <c r="Z270" i="1"/>
  <c r="AD269" i="1"/>
  <c r="Z269" i="1"/>
  <c r="AD268" i="1"/>
  <c r="Z268" i="1"/>
  <c r="AD267" i="1"/>
  <c r="Z267" i="1"/>
  <c r="AD266" i="1"/>
  <c r="Z266" i="1"/>
  <c r="AD265" i="1"/>
  <c r="Z265" i="1"/>
  <c r="AD264" i="1"/>
  <c r="Z264" i="1"/>
  <c r="AD263" i="1"/>
  <c r="Z263" i="1"/>
  <c r="AD262" i="1"/>
  <c r="Z262" i="1"/>
  <c r="AD261" i="1"/>
  <c r="Z261" i="1"/>
  <c r="AD260" i="1"/>
  <c r="Z260" i="1"/>
  <c r="AD259" i="1"/>
  <c r="Z259" i="1"/>
  <c r="AD258" i="1"/>
  <c r="Z258" i="1"/>
  <c r="AD257" i="1"/>
  <c r="Z257" i="1"/>
  <c r="AD256" i="1"/>
  <c r="Z256" i="1"/>
  <c r="AD255" i="1"/>
  <c r="Z255" i="1"/>
  <c r="AD254" i="1"/>
  <c r="Z254" i="1"/>
  <c r="AD253" i="1"/>
  <c r="Z253" i="1"/>
  <c r="AD252" i="1"/>
  <c r="Z252" i="1"/>
  <c r="AD251" i="1"/>
  <c r="Z251" i="1"/>
  <c r="AD250" i="1"/>
  <c r="Z250" i="1"/>
  <c r="AD249" i="1"/>
  <c r="Z249" i="1"/>
  <c r="AD248" i="1"/>
  <c r="Z248" i="1"/>
  <c r="AD247" i="1"/>
  <c r="Z247" i="1"/>
  <c r="AD246" i="1"/>
  <c r="Z246" i="1"/>
  <c r="AD245" i="1"/>
  <c r="Z245" i="1"/>
  <c r="AD244" i="1"/>
  <c r="Z244" i="1"/>
  <c r="AD243" i="1"/>
  <c r="Z243" i="1"/>
  <c r="AD242" i="1"/>
  <c r="Z242" i="1"/>
  <c r="AD241" i="1"/>
  <c r="Z241" i="1"/>
  <c r="AD240" i="1"/>
  <c r="Z240" i="1"/>
  <c r="AD239" i="1"/>
  <c r="Z239" i="1"/>
  <c r="AD238" i="1"/>
  <c r="Z238" i="1"/>
  <c r="AD237" i="1"/>
  <c r="Z237" i="1"/>
  <c r="AD236" i="1"/>
  <c r="Z236" i="1"/>
  <c r="AD235" i="1"/>
  <c r="Z235" i="1"/>
  <c r="AD234" i="1"/>
  <c r="Z234" i="1"/>
  <c r="AD233" i="1"/>
  <c r="Z233" i="1"/>
  <c r="AD232" i="1"/>
  <c r="Z232" i="1"/>
  <c r="AD231" i="1"/>
  <c r="Z231" i="1"/>
  <c r="AD230" i="1"/>
  <c r="Z230" i="1"/>
  <c r="AD229" i="1"/>
  <c r="Z229" i="1"/>
  <c r="AD228" i="1"/>
  <c r="Z228" i="1"/>
  <c r="AD227" i="1"/>
  <c r="Z227" i="1"/>
  <c r="AD226" i="1"/>
  <c r="Z226" i="1"/>
  <c r="AD225" i="1"/>
  <c r="Z225" i="1"/>
  <c r="AD224" i="1"/>
  <c r="Z224" i="1"/>
  <c r="AD223" i="1"/>
  <c r="Z223" i="1"/>
  <c r="AD222" i="1"/>
  <c r="Z222" i="1"/>
  <c r="AD221" i="1"/>
  <c r="Z221" i="1"/>
  <c r="AD220" i="1"/>
  <c r="Z220" i="1"/>
  <c r="AD219" i="1"/>
  <c r="Z219" i="1"/>
  <c r="AD218" i="1"/>
  <c r="Z218" i="1"/>
  <c r="AD217" i="1"/>
  <c r="Z217" i="1"/>
  <c r="AD216" i="1"/>
  <c r="Z216" i="1"/>
  <c r="AD215" i="1"/>
  <c r="Z215" i="1"/>
  <c r="AD214" i="1"/>
  <c r="Z214" i="1"/>
  <c r="AD213" i="1"/>
  <c r="Z213" i="1"/>
  <c r="AD212" i="1"/>
  <c r="Z212" i="1"/>
  <c r="AD211" i="1"/>
  <c r="Z211" i="1"/>
  <c r="AD210" i="1"/>
  <c r="Z210" i="1"/>
  <c r="AD209" i="1"/>
  <c r="Z209" i="1"/>
  <c r="AD208" i="1"/>
  <c r="Z208" i="1"/>
  <c r="AD207" i="1"/>
  <c r="Z207" i="1"/>
  <c r="AD206" i="1"/>
  <c r="Z206" i="1"/>
  <c r="AD205" i="1"/>
  <c r="Z205" i="1"/>
  <c r="AD204" i="1"/>
  <c r="Z204" i="1"/>
  <c r="AD203" i="1"/>
  <c r="Z203" i="1"/>
  <c r="AD202" i="1"/>
  <c r="Z202" i="1"/>
  <c r="AD201" i="1"/>
  <c r="Z201" i="1"/>
  <c r="AD200" i="1"/>
  <c r="Z200" i="1"/>
  <c r="AD199" i="1"/>
  <c r="Z199" i="1"/>
  <c r="AD198" i="1"/>
  <c r="Z198" i="1"/>
  <c r="AD197" i="1"/>
  <c r="Z197" i="1"/>
  <c r="AD196" i="1"/>
  <c r="Z196" i="1"/>
  <c r="AD195" i="1"/>
  <c r="Z195" i="1"/>
  <c r="AD194" i="1"/>
  <c r="Z194" i="1"/>
  <c r="AD193" i="1"/>
  <c r="Z193" i="1"/>
  <c r="AD192" i="1"/>
  <c r="Z192" i="1"/>
  <c r="AD191" i="1"/>
  <c r="Z191" i="1"/>
  <c r="AD190" i="1"/>
  <c r="Z190" i="1"/>
  <c r="AD189" i="1"/>
  <c r="Z189" i="1"/>
  <c r="AD188" i="1"/>
  <c r="Z188" i="1"/>
  <c r="AD187" i="1"/>
  <c r="Z187" i="1"/>
  <c r="AD186" i="1"/>
  <c r="Z186" i="1"/>
  <c r="AD185" i="1"/>
  <c r="Z185" i="1"/>
  <c r="AD184" i="1"/>
  <c r="Z184" i="1"/>
  <c r="AD183" i="1"/>
  <c r="Z183" i="1"/>
  <c r="AD182" i="1"/>
  <c r="Z182" i="1"/>
  <c r="AD181" i="1"/>
  <c r="Z181" i="1"/>
  <c r="AD180" i="1"/>
  <c r="Z180" i="1"/>
  <c r="AD179" i="1"/>
  <c r="Z179" i="1"/>
  <c r="AD178" i="1"/>
  <c r="Z178" i="1"/>
  <c r="AD177" i="1"/>
  <c r="Z177" i="1"/>
  <c r="AD176" i="1"/>
  <c r="Z176" i="1"/>
  <c r="AD175" i="1"/>
  <c r="Z175" i="1"/>
  <c r="AD174" i="1"/>
  <c r="Z174" i="1"/>
  <c r="AD173" i="1"/>
  <c r="Z173" i="1"/>
  <c r="AD172" i="1"/>
  <c r="Z172" i="1"/>
  <c r="AD171" i="1"/>
  <c r="Z171" i="1"/>
  <c r="AD170" i="1"/>
  <c r="Z170" i="1"/>
  <c r="AD169" i="1"/>
  <c r="Z169" i="1"/>
  <c r="AD168" i="1"/>
  <c r="Z168" i="1"/>
  <c r="AD167" i="1"/>
  <c r="Z167" i="1"/>
  <c r="AD166" i="1"/>
  <c r="Z166" i="1"/>
  <c r="AD165" i="1"/>
  <c r="Z165" i="1"/>
  <c r="AD164" i="1"/>
  <c r="Z164" i="1"/>
  <c r="AD163" i="1"/>
  <c r="Z163" i="1"/>
  <c r="AD162" i="1"/>
  <c r="Z162" i="1"/>
  <c r="AD161" i="1"/>
  <c r="Z161" i="1"/>
  <c r="AD160" i="1"/>
  <c r="Z160" i="1"/>
  <c r="AD159" i="1"/>
  <c r="Z159" i="1"/>
  <c r="AD158" i="1"/>
  <c r="Z158" i="1"/>
  <c r="AD157" i="1"/>
  <c r="Z157" i="1"/>
  <c r="AD156" i="1"/>
  <c r="Z156" i="1"/>
  <c r="AD155" i="1"/>
  <c r="Z155" i="1"/>
  <c r="AD154" i="1"/>
  <c r="Z154" i="1"/>
  <c r="AD153" i="1"/>
  <c r="Z153" i="1"/>
  <c r="AD152" i="1"/>
  <c r="Z152" i="1"/>
  <c r="AD151" i="1"/>
  <c r="Z151" i="1"/>
  <c r="AD150" i="1"/>
  <c r="Z150" i="1"/>
  <c r="AD149" i="1"/>
  <c r="Z149" i="1"/>
  <c r="AD148" i="1"/>
  <c r="Z148" i="1"/>
  <c r="AD147" i="1"/>
  <c r="Z147" i="1"/>
  <c r="AD146" i="1"/>
  <c r="Z146" i="1"/>
  <c r="AD145" i="1"/>
  <c r="Z145" i="1"/>
  <c r="AD144" i="1"/>
  <c r="Z144" i="1"/>
  <c r="AD143" i="1"/>
  <c r="Z143" i="1"/>
  <c r="AD142" i="1"/>
  <c r="Z142" i="1"/>
  <c r="AD141" i="1"/>
  <c r="Z141" i="1"/>
  <c r="AD140" i="1"/>
  <c r="Z140" i="1"/>
  <c r="AD139" i="1"/>
  <c r="Z139" i="1"/>
  <c r="AD138" i="1"/>
  <c r="Z138" i="1"/>
  <c r="AD137" i="1"/>
  <c r="Z137" i="1"/>
  <c r="AD136" i="1"/>
  <c r="Z136" i="1"/>
  <c r="AD135" i="1"/>
  <c r="Z135" i="1"/>
  <c r="AD134" i="1"/>
  <c r="Z134" i="1"/>
  <c r="AD133" i="1"/>
  <c r="Z133" i="1"/>
  <c r="AD132" i="1"/>
  <c r="Z132" i="1"/>
  <c r="AD131" i="1"/>
  <c r="Z131" i="1"/>
  <c r="AD130" i="1"/>
  <c r="Z130" i="1"/>
  <c r="AD129" i="1"/>
  <c r="Z129" i="1"/>
  <c r="AD128" i="1"/>
  <c r="Z128" i="1"/>
  <c r="AD127" i="1"/>
  <c r="Z127" i="1"/>
  <c r="AD126" i="1"/>
  <c r="Z126" i="1"/>
  <c r="AD125" i="1"/>
  <c r="Z125" i="1"/>
  <c r="AD124" i="1"/>
  <c r="Z124" i="1"/>
  <c r="AD123" i="1"/>
  <c r="Z123" i="1"/>
  <c r="AD122" i="1"/>
  <c r="Z122" i="1"/>
  <c r="AD121" i="1"/>
  <c r="Z121" i="1"/>
  <c r="AD120" i="1"/>
  <c r="Z120" i="1"/>
  <c r="AD119" i="1"/>
  <c r="Z119" i="1"/>
  <c r="AD118" i="1"/>
  <c r="Z118" i="1"/>
  <c r="AD117" i="1"/>
  <c r="Z117" i="1"/>
  <c r="AD116" i="1"/>
  <c r="Z116" i="1"/>
  <c r="AD115" i="1"/>
  <c r="Z115" i="1"/>
  <c r="AD114" i="1"/>
  <c r="Z114" i="1"/>
  <c r="AD113" i="1"/>
  <c r="Z113" i="1"/>
  <c r="AD112" i="1"/>
  <c r="Z112" i="1"/>
  <c r="AD111" i="1"/>
  <c r="Z111" i="1"/>
  <c r="AD110" i="1"/>
  <c r="Z110" i="1"/>
  <c r="AD109" i="1"/>
  <c r="Z109" i="1"/>
  <c r="AD108" i="1"/>
  <c r="Z108" i="1"/>
  <c r="AD107" i="1"/>
  <c r="Z107" i="1"/>
  <c r="AD106" i="1"/>
  <c r="Z106" i="1"/>
  <c r="AD105" i="1"/>
  <c r="Z105" i="1"/>
  <c r="AD104" i="1"/>
  <c r="Z104" i="1"/>
  <c r="AD103" i="1"/>
  <c r="Z103" i="1"/>
  <c r="AD102" i="1"/>
  <c r="Z102" i="1"/>
  <c r="AD101" i="1"/>
  <c r="Z101" i="1"/>
  <c r="AD100" i="1"/>
  <c r="Z100" i="1"/>
  <c r="AD99" i="1"/>
  <c r="Z99" i="1"/>
  <c r="AD98" i="1"/>
  <c r="Z98" i="1"/>
  <c r="AD97" i="1"/>
  <c r="Z97" i="1"/>
  <c r="AD96" i="1"/>
  <c r="Z96" i="1"/>
  <c r="AD95" i="1"/>
  <c r="Z95" i="1"/>
  <c r="AD94" i="1"/>
  <c r="Z94" i="1"/>
  <c r="AD93" i="1"/>
  <c r="Z93" i="1"/>
  <c r="AD92" i="1"/>
  <c r="Z92" i="1"/>
  <c r="AD91" i="1"/>
  <c r="Z91" i="1"/>
  <c r="AD90" i="1"/>
  <c r="Z90" i="1"/>
  <c r="AD89" i="1"/>
  <c r="Z89" i="1"/>
  <c r="AD88" i="1"/>
  <c r="Z88" i="1"/>
  <c r="AD87" i="1"/>
  <c r="Z87" i="1"/>
  <c r="AD86" i="1"/>
  <c r="Z86" i="1"/>
  <c r="AD85" i="1"/>
  <c r="Z85" i="1"/>
  <c r="AD84" i="1"/>
  <c r="Z84" i="1"/>
  <c r="AD83" i="1"/>
  <c r="Z83" i="1"/>
  <c r="AD82" i="1"/>
  <c r="Z82" i="1"/>
  <c r="AD81" i="1"/>
  <c r="Z81" i="1"/>
  <c r="AD80" i="1"/>
  <c r="Z80" i="1"/>
  <c r="AD79" i="1"/>
  <c r="Z79" i="1"/>
  <c r="AD78" i="1"/>
  <c r="Z78" i="1"/>
  <c r="AD77" i="1"/>
  <c r="Z77" i="1"/>
  <c r="AD76" i="1"/>
  <c r="Z76" i="1"/>
  <c r="AD75" i="1"/>
  <c r="Z75" i="1"/>
  <c r="AD74" i="1"/>
  <c r="Z74" i="1"/>
  <c r="AD73" i="1"/>
  <c r="Z73" i="1"/>
  <c r="AD72" i="1"/>
  <c r="Z72" i="1"/>
  <c r="AD71" i="1"/>
  <c r="Z71" i="1"/>
  <c r="AD70" i="1"/>
  <c r="Z70" i="1"/>
  <c r="AD69" i="1"/>
  <c r="Z69" i="1"/>
  <c r="AD68" i="1"/>
  <c r="Z68" i="1"/>
  <c r="AD67" i="1"/>
  <c r="Z67" i="1"/>
  <c r="AD66" i="1"/>
  <c r="Z66" i="1"/>
  <c r="AD65" i="1"/>
  <c r="Z65" i="1"/>
  <c r="AD64" i="1"/>
  <c r="Z64" i="1"/>
  <c r="AD63" i="1"/>
  <c r="Z63" i="1"/>
  <c r="AD62" i="1"/>
  <c r="Z62" i="1"/>
  <c r="AD61" i="1"/>
  <c r="Z61" i="1"/>
  <c r="AD60" i="1"/>
  <c r="Z60" i="1"/>
  <c r="AD59" i="1"/>
  <c r="Z59" i="1"/>
  <c r="AD58" i="1"/>
  <c r="Z58" i="1"/>
  <c r="AD57" i="1"/>
  <c r="Z57" i="1"/>
  <c r="AD56" i="1"/>
  <c r="Z56" i="1"/>
  <c r="AD55" i="1"/>
  <c r="Z55" i="1"/>
  <c r="AD54" i="1"/>
  <c r="Z54" i="1"/>
  <c r="AD53" i="1"/>
  <c r="Z53" i="1"/>
  <c r="AD52" i="1"/>
  <c r="Z52" i="1"/>
  <c r="AD51" i="1"/>
  <c r="Z51" i="1"/>
  <c r="AD50" i="1"/>
  <c r="Z50" i="1"/>
  <c r="AD49" i="1"/>
  <c r="Z49" i="1"/>
  <c r="AD48" i="1"/>
  <c r="Z48" i="1"/>
  <c r="AD47" i="1"/>
  <c r="Z47" i="1"/>
  <c r="AD46" i="1"/>
  <c r="Z46" i="1"/>
  <c r="AD45" i="1"/>
  <c r="Z45" i="1"/>
  <c r="AD44" i="1"/>
  <c r="Z44" i="1"/>
  <c r="AD43" i="1"/>
  <c r="Z43" i="1"/>
  <c r="AD42" i="1"/>
  <c r="Z42" i="1"/>
  <c r="AD41" i="1"/>
  <c r="Z41" i="1"/>
  <c r="AD40" i="1"/>
  <c r="Z40" i="1"/>
  <c r="AD39" i="1"/>
  <c r="Z39" i="1"/>
  <c r="AD38" i="1"/>
  <c r="Z38" i="1"/>
  <c r="AD37" i="1"/>
  <c r="Z37" i="1"/>
  <c r="AD36" i="1"/>
  <c r="Z36" i="1"/>
  <c r="AD35" i="1"/>
  <c r="Z35" i="1"/>
  <c r="AD34" i="1"/>
  <c r="Z34" i="1"/>
  <c r="AD33" i="1"/>
  <c r="Z33" i="1"/>
  <c r="AD32" i="1"/>
  <c r="Z32" i="1"/>
  <c r="AD31" i="1"/>
  <c r="Z31" i="1"/>
  <c r="AD30" i="1"/>
  <c r="Z30" i="1"/>
  <c r="AD29" i="1"/>
  <c r="Z29" i="1"/>
  <c r="AD28" i="1"/>
  <c r="Z28" i="1"/>
  <c r="AD27" i="1"/>
  <c r="Z27" i="1"/>
  <c r="AD26" i="1"/>
  <c r="Z26" i="1"/>
  <c r="AD25" i="1"/>
  <c r="Z25" i="1"/>
  <c r="AD24" i="1"/>
  <c r="Z24" i="1"/>
  <c r="AD23" i="1"/>
  <c r="Z23" i="1"/>
  <c r="AD22" i="1"/>
  <c r="Z22" i="1"/>
  <c r="AD21" i="1"/>
  <c r="Z21" i="1"/>
  <c r="AD20" i="1"/>
  <c r="Z20" i="1"/>
  <c r="AD19" i="1"/>
  <c r="Z19" i="1"/>
  <c r="AD18" i="1"/>
  <c r="Z18" i="1"/>
  <c r="AD17" i="1"/>
  <c r="Z17" i="1"/>
  <c r="AD16" i="1"/>
  <c r="Z16" i="1"/>
  <c r="AD15" i="1"/>
  <c r="Z15" i="1"/>
  <c r="AD14" i="1"/>
  <c r="Z14" i="1"/>
  <c r="AD13" i="1"/>
  <c r="Z13" i="1"/>
  <c r="AD12" i="1"/>
  <c r="Z12" i="1"/>
  <c r="AD11" i="1"/>
  <c r="Z11" i="1"/>
  <c r="AD10" i="1"/>
  <c r="Z10" i="1"/>
  <c r="AD9" i="1"/>
  <c r="Z9" i="1"/>
  <c r="AD8" i="1"/>
  <c r="Z8" i="1"/>
  <c r="AD7" i="1"/>
  <c r="Z7" i="1"/>
  <c r="AD6" i="1"/>
  <c r="Z6" i="1"/>
  <c r="AD5" i="1"/>
  <c r="Z5" i="1"/>
  <c r="AD4" i="1"/>
  <c r="Z4" i="1"/>
  <c r="AD3" i="1"/>
  <c r="Z3" i="1"/>
  <c r="AD2" i="1"/>
  <c r="Z2" i="1"/>
  <c r="G261" i="2" l="1"/>
  <c r="G260" i="2"/>
  <c r="G256" i="2"/>
  <c r="G255" i="2"/>
  <c r="H251" i="2"/>
  <c r="G251" i="2"/>
  <c r="E251" i="2"/>
  <c r="D251" i="2"/>
  <c r="J251" i="2" s="1"/>
  <c r="H250" i="2"/>
  <c r="G250" i="2"/>
  <c r="E250" i="2"/>
  <c r="D250" i="2"/>
  <c r="J250" i="2" s="1"/>
  <c r="H249" i="2"/>
  <c r="G249" i="2"/>
  <c r="E249" i="2"/>
  <c r="D249" i="2"/>
  <c r="J249" i="2" s="1"/>
  <c r="H248" i="2"/>
  <c r="G248" i="2"/>
  <c r="E248" i="2"/>
  <c r="D248" i="2"/>
  <c r="J248" i="2" s="1"/>
  <c r="H247" i="2"/>
  <c r="G247" i="2"/>
  <c r="E247" i="2"/>
  <c r="D247" i="2"/>
  <c r="J247" i="2" s="1"/>
  <c r="J246" i="2"/>
  <c r="H246" i="2"/>
  <c r="G246" i="2"/>
  <c r="E246" i="2"/>
  <c r="D246" i="2"/>
  <c r="H245" i="2"/>
  <c r="G245" i="2"/>
  <c r="E245" i="2"/>
  <c r="J245" i="2" s="1"/>
  <c r="D245" i="2"/>
  <c r="H244" i="2"/>
  <c r="G244" i="2"/>
  <c r="E244" i="2"/>
  <c r="D244" i="2"/>
  <c r="J244" i="2" s="1"/>
  <c r="H243" i="2"/>
  <c r="G243" i="2"/>
  <c r="E243" i="2"/>
  <c r="D243" i="2"/>
  <c r="J243" i="2" s="1"/>
  <c r="H242" i="2"/>
  <c r="G242" i="2"/>
  <c r="E242" i="2"/>
  <c r="D242" i="2"/>
  <c r="J242" i="2" s="1"/>
  <c r="H241" i="2"/>
  <c r="G241" i="2"/>
  <c r="E241" i="2"/>
  <c r="D241" i="2"/>
  <c r="J241" i="2" s="1"/>
  <c r="H240" i="2"/>
  <c r="G240" i="2"/>
  <c r="E240" i="2"/>
  <c r="J240" i="2" s="1"/>
  <c r="D240" i="2"/>
  <c r="H239" i="2"/>
  <c r="G239" i="2"/>
  <c r="F239" i="2"/>
  <c r="E239" i="2"/>
  <c r="D239" i="2"/>
  <c r="J239" i="2" s="1"/>
  <c r="H238" i="2"/>
  <c r="G238" i="2"/>
  <c r="F238" i="2"/>
  <c r="E238" i="2"/>
  <c r="D238" i="2"/>
  <c r="J238" i="2" s="1"/>
  <c r="H237" i="2"/>
  <c r="G237" i="2"/>
  <c r="F237" i="2"/>
  <c r="E237" i="2"/>
  <c r="D237" i="2"/>
  <c r="J237" i="2" s="1"/>
  <c r="H236" i="2"/>
  <c r="G236" i="2"/>
  <c r="F236" i="2"/>
  <c r="E236" i="2"/>
  <c r="D236" i="2"/>
  <c r="J236" i="2" s="1"/>
  <c r="H235" i="2"/>
  <c r="G235" i="2"/>
  <c r="F235" i="2"/>
  <c r="E235" i="2"/>
  <c r="D235" i="2"/>
  <c r="J235" i="2" s="1"/>
  <c r="H234" i="2"/>
  <c r="G234" i="2"/>
  <c r="F234" i="2"/>
  <c r="E234" i="2"/>
  <c r="D234" i="2"/>
  <c r="J234" i="2" s="1"/>
  <c r="H233" i="2"/>
  <c r="G233" i="2"/>
  <c r="F233" i="2"/>
  <c r="E233" i="2"/>
  <c r="D233" i="2"/>
  <c r="J233" i="2" s="1"/>
  <c r="H232" i="2"/>
  <c r="G232" i="2"/>
  <c r="F232" i="2"/>
  <c r="E232" i="2"/>
  <c r="D232" i="2"/>
  <c r="J232" i="2" s="1"/>
  <c r="H231" i="2"/>
  <c r="G231" i="2"/>
  <c r="F231" i="2"/>
  <c r="E231" i="2"/>
  <c r="D231" i="2"/>
  <c r="J231" i="2" s="1"/>
  <c r="H230" i="2"/>
  <c r="G230" i="2"/>
  <c r="F230" i="2"/>
  <c r="E230" i="2"/>
  <c r="D230" i="2"/>
  <c r="J230" i="2" s="1"/>
  <c r="H229" i="2"/>
  <c r="G229" i="2"/>
  <c r="F229" i="2"/>
  <c r="E229" i="2"/>
  <c r="D229" i="2"/>
  <c r="J229" i="2" s="1"/>
  <c r="H228" i="2"/>
  <c r="G228" i="2"/>
  <c r="F228" i="2"/>
  <c r="E228" i="2"/>
  <c r="D228" i="2"/>
  <c r="J228" i="2" s="1"/>
  <c r="H227" i="2"/>
  <c r="G227" i="2"/>
  <c r="F227" i="2"/>
  <c r="E227" i="2"/>
  <c r="D227" i="2"/>
  <c r="J227" i="2" s="1"/>
  <c r="H226" i="2"/>
  <c r="G226" i="2"/>
  <c r="F226" i="2"/>
  <c r="E226" i="2"/>
  <c r="D226" i="2"/>
  <c r="J226" i="2" s="1"/>
  <c r="H225" i="2"/>
  <c r="G225" i="2"/>
  <c r="F225" i="2"/>
  <c r="E225" i="2"/>
  <c r="D225" i="2"/>
  <c r="J225" i="2" s="1"/>
  <c r="H224" i="2"/>
  <c r="G224" i="2"/>
  <c r="F224" i="2"/>
  <c r="E224" i="2"/>
  <c r="D224" i="2"/>
  <c r="J224" i="2" s="1"/>
  <c r="H223" i="2"/>
  <c r="G223" i="2"/>
  <c r="F223" i="2"/>
  <c r="E223" i="2"/>
  <c r="D223" i="2"/>
  <c r="J223" i="2" s="1"/>
  <c r="H222" i="2"/>
  <c r="G222" i="2"/>
  <c r="F222" i="2"/>
  <c r="E222" i="2"/>
  <c r="D222" i="2"/>
  <c r="J222" i="2" s="1"/>
  <c r="H221" i="2"/>
  <c r="G221" i="2"/>
  <c r="F221" i="2"/>
  <c r="E221" i="2"/>
  <c r="D221" i="2"/>
  <c r="J221" i="2" s="1"/>
  <c r="H220" i="2"/>
  <c r="G220" i="2"/>
  <c r="F220" i="2"/>
  <c r="E220" i="2"/>
  <c r="D220" i="2"/>
  <c r="J220" i="2" s="1"/>
  <c r="H219" i="2"/>
  <c r="G219" i="2"/>
  <c r="F219" i="2"/>
  <c r="E219" i="2"/>
  <c r="D219" i="2"/>
  <c r="J219" i="2" s="1"/>
  <c r="H218" i="2"/>
  <c r="G218" i="2"/>
  <c r="F218" i="2"/>
  <c r="E218" i="2"/>
  <c r="D218" i="2"/>
  <c r="J218" i="2" s="1"/>
  <c r="H217" i="2"/>
  <c r="G217" i="2"/>
  <c r="F217" i="2"/>
  <c r="E217" i="2"/>
  <c r="D217" i="2"/>
  <c r="J217" i="2" s="1"/>
  <c r="H216" i="2"/>
  <c r="G216" i="2"/>
  <c r="F216" i="2"/>
  <c r="E216" i="2"/>
  <c r="D216" i="2"/>
  <c r="J216" i="2" s="1"/>
  <c r="H215" i="2"/>
  <c r="G215" i="2"/>
  <c r="F215" i="2"/>
  <c r="E215" i="2"/>
  <c r="D215" i="2"/>
  <c r="J215" i="2" s="1"/>
  <c r="H214" i="2"/>
  <c r="G214" i="2"/>
  <c r="F214" i="2"/>
  <c r="E214" i="2"/>
  <c r="D214" i="2"/>
  <c r="J214" i="2" s="1"/>
  <c r="H213" i="2"/>
  <c r="G213" i="2"/>
  <c r="F213" i="2"/>
  <c r="E213" i="2"/>
  <c r="D213" i="2"/>
  <c r="J213" i="2" s="1"/>
  <c r="H212" i="2"/>
  <c r="G212" i="2"/>
  <c r="F212" i="2"/>
  <c r="E212" i="2"/>
  <c r="D212" i="2"/>
  <c r="J212" i="2" s="1"/>
  <c r="H211" i="2"/>
  <c r="G211" i="2"/>
  <c r="F211" i="2"/>
  <c r="E211" i="2"/>
  <c r="D211" i="2"/>
  <c r="J211" i="2" s="1"/>
  <c r="H210" i="2"/>
  <c r="G210" i="2"/>
  <c r="F210" i="2"/>
  <c r="E210" i="2"/>
  <c r="D210" i="2"/>
  <c r="J210" i="2" s="1"/>
  <c r="H209" i="2"/>
  <c r="G209" i="2"/>
  <c r="F209" i="2"/>
  <c r="E209" i="2"/>
  <c r="D209" i="2"/>
  <c r="J209" i="2" s="1"/>
  <c r="H208" i="2"/>
  <c r="G208" i="2"/>
  <c r="F208" i="2"/>
  <c r="E208" i="2"/>
  <c r="D208" i="2"/>
  <c r="J208" i="2" s="1"/>
  <c r="H207" i="2"/>
  <c r="G207" i="2"/>
  <c r="F207" i="2"/>
  <c r="E207" i="2"/>
  <c r="D207" i="2"/>
  <c r="J207" i="2" s="1"/>
  <c r="H206" i="2"/>
  <c r="G206" i="2"/>
  <c r="F206" i="2"/>
  <c r="E206" i="2"/>
  <c r="D206" i="2"/>
  <c r="J206" i="2" s="1"/>
  <c r="H205" i="2"/>
  <c r="G205" i="2"/>
  <c r="F205" i="2"/>
  <c r="E205" i="2"/>
  <c r="D205" i="2"/>
  <c r="J205" i="2" s="1"/>
  <c r="H204" i="2"/>
  <c r="G204" i="2"/>
  <c r="F204" i="2"/>
  <c r="E204" i="2"/>
  <c r="D204" i="2"/>
  <c r="J204" i="2" s="1"/>
  <c r="H203" i="2"/>
  <c r="G203" i="2"/>
  <c r="F203" i="2"/>
  <c r="E203" i="2"/>
  <c r="D203" i="2"/>
  <c r="H202" i="2"/>
  <c r="G202" i="2"/>
  <c r="F202" i="2"/>
  <c r="E202" i="2"/>
  <c r="D202" i="2"/>
  <c r="J202" i="2" s="1"/>
  <c r="H201" i="2"/>
  <c r="G201" i="2"/>
  <c r="F201" i="2"/>
  <c r="E201" i="2"/>
  <c r="D201" i="2"/>
  <c r="H200" i="2"/>
  <c r="G200" i="2"/>
  <c r="F200" i="2"/>
  <c r="E200" i="2"/>
  <c r="D200" i="2"/>
  <c r="J200" i="2" s="1"/>
  <c r="H199" i="2"/>
  <c r="G199" i="2"/>
  <c r="F199" i="2"/>
  <c r="E199" i="2"/>
  <c r="D199" i="2"/>
  <c r="J199" i="2" s="1"/>
  <c r="H198" i="2"/>
  <c r="G198" i="2"/>
  <c r="F198" i="2"/>
  <c r="E198" i="2"/>
  <c r="D198" i="2"/>
  <c r="J198" i="2" s="1"/>
  <c r="H197" i="2"/>
  <c r="G197" i="2"/>
  <c r="F197" i="2"/>
  <c r="E197" i="2"/>
  <c r="D197" i="2"/>
  <c r="J197" i="2" s="1"/>
  <c r="H196" i="2"/>
  <c r="G196" i="2"/>
  <c r="F196" i="2"/>
  <c r="E196" i="2"/>
  <c r="D196" i="2"/>
  <c r="J196" i="2" s="1"/>
  <c r="H195" i="2"/>
  <c r="G195" i="2"/>
  <c r="F195" i="2"/>
  <c r="E195" i="2"/>
  <c r="D195" i="2"/>
  <c r="H194" i="2"/>
  <c r="G194" i="2"/>
  <c r="F194" i="2"/>
  <c r="E194" i="2"/>
  <c r="D194" i="2"/>
  <c r="J194" i="2" s="1"/>
  <c r="H193" i="2"/>
  <c r="G193" i="2"/>
  <c r="F193" i="2"/>
  <c r="E193" i="2"/>
  <c r="D193" i="2"/>
  <c r="J193" i="2" s="1"/>
  <c r="H192" i="2"/>
  <c r="G192" i="2"/>
  <c r="F192" i="2"/>
  <c r="E192" i="2"/>
  <c r="D192" i="2"/>
  <c r="J192" i="2" s="1"/>
  <c r="H191" i="2"/>
  <c r="G191" i="2"/>
  <c r="F191" i="2"/>
  <c r="E191" i="2"/>
  <c r="D191" i="2"/>
  <c r="H190" i="2"/>
  <c r="G190" i="2"/>
  <c r="F190" i="2"/>
  <c r="E190" i="2"/>
  <c r="D190" i="2"/>
  <c r="J190" i="2" s="1"/>
  <c r="H189" i="2"/>
  <c r="G189" i="2"/>
  <c r="F189" i="2"/>
  <c r="E189" i="2"/>
  <c r="D189" i="2"/>
  <c r="J189" i="2" s="1"/>
  <c r="H188" i="2"/>
  <c r="G188" i="2"/>
  <c r="F188" i="2"/>
  <c r="E188" i="2"/>
  <c r="D188" i="2"/>
  <c r="J188" i="2" s="1"/>
  <c r="H187" i="2"/>
  <c r="G187" i="2"/>
  <c r="F187" i="2"/>
  <c r="E187" i="2"/>
  <c r="D187" i="2"/>
  <c r="J187" i="2" s="1"/>
  <c r="H186" i="2"/>
  <c r="G186" i="2"/>
  <c r="F186" i="2"/>
  <c r="E186" i="2"/>
  <c r="D186" i="2"/>
  <c r="J186" i="2" s="1"/>
  <c r="H185" i="2"/>
  <c r="G185" i="2"/>
  <c r="F185" i="2"/>
  <c r="E185" i="2"/>
  <c r="D185" i="2"/>
  <c r="J185" i="2" s="1"/>
  <c r="H184" i="2"/>
  <c r="G184" i="2"/>
  <c r="F184" i="2"/>
  <c r="E184" i="2"/>
  <c r="D184" i="2"/>
  <c r="J184" i="2" s="1"/>
  <c r="H183" i="2"/>
  <c r="G183" i="2"/>
  <c r="F183" i="2"/>
  <c r="E183" i="2"/>
  <c r="D183" i="2"/>
  <c r="H182" i="2"/>
  <c r="G182" i="2"/>
  <c r="F182" i="2"/>
  <c r="E182" i="2"/>
  <c r="D182" i="2"/>
  <c r="J182" i="2" s="1"/>
  <c r="H181" i="2"/>
  <c r="G181" i="2"/>
  <c r="F181" i="2"/>
  <c r="E181" i="2"/>
  <c r="D181" i="2"/>
  <c r="J181" i="2" s="1"/>
  <c r="H180" i="2"/>
  <c r="G180" i="2"/>
  <c r="F180" i="2"/>
  <c r="E180" i="2"/>
  <c r="D180" i="2"/>
  <c r="J180" i="2" s="1"/>
  <c r="H179" i="2"/>
  <c r="G179" i="2"/>
  <c r="F179" i="2"/>
  <c r="E179" i="2"/>
  <c r="D179" i="2"/>
  <c r="H178" i="2"/>
  <c r="H252" i="2" s="1"/>
  <c r="G178" i="2"/>
  <c r="G252" i="2" s="1"/>
  <c r="F178" i="2"/>
  <c r="E178" i="2"/>
  <c r="E252" i="2" s="1"/>
  <c r="D178" i="2"/>
  <c r="D252" i="2" s="1"/>
  <c r="H174" i="2"/>
  <c r="G174" i="2"/>
  <c r="F174" i="2"/>
  <c r="E174" i="2"/>
  <c r="D174" i="2"/>
  <c r="J174" i="2" s="1"/>
  <c r="H173" i="2"/>
  <c r="G173" i="2"/>
  <c r="F173" i="2"/>
  <c r="E173" i="2"/>
  <c r="D173" i="2"/>
  <c r="H172" i="2"/>
  <c r="G172" i="2"/>
  <c r="F172" i="2"/>
  <c r="E172" i="2"/>
  <c r="D172" i="2"/>
  <c r="J172" i="2" s="1"/>
  <c r="H171" i="2"/>
  <c r="G171" i="2"/>
  <c r="F171" i="2"/>
  <c r="E171" i="2"/>
  <c r="D171" i="2"/>
  <c r="J171" i="2" s="1"/>
  <c r="H170" i="2"/>
  <c r="G170" i="2"/>
  <c r="F170" i="2"/>
  <c r="E170" i="2"/>
  <c r="D170" i="2"/>
  <c r="J170" i="2" s="1"/>
  <c r="H169" i="2"/>
  <c r="G169" i="2"/>
  <c r="F169" i="2"/>
  <c r="E169" i="2"/>
  <c r="D169" i="2"/>
  <c r="H168" i="2"/>
  <c r="G168" i="2"/>
  <c r="F168" i="2"/>
  <c r="E168" i="2"/>
  <c r="D168" i="2"/>
  <c r="J168" i="2" s="1"/>
  <c r="H167" i="2"/>
  <c r="G167" i="2"/>
  <c r="F167" i="2"/>
  <c r="E167" i="2"/>
  <c r="D167" i="2"/>
  <c r="J167" i="2" s="1"/>
  <c r="H166" i="2"/>
  <c r="G166" i="2"/>
  <c r="F166" i="2"/>
  <c r="E166" i="2"/>
  <c r="D166" i="2"/>
  <c r="J166" i="2" s="1"/>
  <c r="H165" i="2"/>
  <c r="G165" i="2"/>
  <c r="F165" i="2"/>
  <c r="E165" i="2"/>
  <c r="D165" i="2"/>
  <c r="J165" i="2" s="1"/>
  <c r="H164" i="2"/>
  <c r="G164" i="2"/>
  <c r="F164" i="2"/>
  <c r="E164" i="2"/>
  <c r="D164" i="2"/>
  <c r="J164" i="2" s="1"/>
  <c r="H163" i="2"/>
  <c r="G163" i="2"/>
  <c r="F163" i="2"/>
  <c r="E163" i="2"/>
  <c r="D163" i="2"/>
  <c r="H162" i="2"/>
  <c r="G162" i="2"/>
  <c r="F162" i="2"/>
  <c r="E162" i="2"/>
  <c r="D162" i="2"/>
  <c r="J162" i="2" s="1"/>
  <c r="H161" i="2"/>
  <c r="G161" i="2"/>
  <c r="F161" i="2"/>
  <c r="E161" i="2"/>
  <c r="D161" i="2"/>
  <c r="H160" i="2"/>
  <c r="G160" i="2"/>
  <c r="F160" i="2"/>
  <c r="E160" i="2"/>
  <c r="D160" i="2"/>
  <c r="J160" i="2" s="1"/>
  <c r="H159" i="2"/>
  <c r="G159" i="2"/>
  <c r="F159" i="2"/>
  <c r="E159" i="2"/>
  <c r="D159" i="2"/>
  <c r="J159" i="2" s="1"/>
  <c r="H158" i="2"/>
  <c r="G158" i="2"/>
  <c r="F158" i="2"/>
  <c r="E158" i="2"/>
  <c r="D158" i="2"/>
  <c r="J158" i="2" s="1"/>
  <c r="H157" i="2"/>
  <c r="G157" i="2"/>
  <c r="F157" i="2"/>
  <c r="E157" i="2"/>
  <c r="D157" i="2"/>
  <c r="H156" i="2"/>
  <c r="G156" i="2"/>
  <c r="F156" i="2"/>
  <c r="E156" i="2"/>
  <c r="D156" i="2"/>
  <c r="J156" i="2" s="1"/>
  <c r="H155" i="2"/>
  <c r="G155" i="2"/>
  <c r="F155" i="2"/>
  <c r="E155" i="2"/>
  <c r="D155" i="2"/>
  <c r="J155" i="2" s="1"/>
  <c r="H154" i="2"/>
  <c r="G154" i="2"/>
  <c r="F154" i="2"/>
  <c r="E154" i="2"/>
  <c r="D154" i="2"/>
  <c r="J154" i="2" s="1"/>
  <c r="H153" i="2"/>
  <c r="G153" i="2"/>
  <c r="F153" i="2"/>
  <c r="E153" i="2"/>
  <c r="D153" i="2"/>
  <c r="J153" i="2" s="1"/>
  <c r="H152" i="2"/>
  <c r="G152" i="2"/>
  <c r="F152" i="2"/>
  <c r="E152" i="2"/>
  <c r="D152" i="2"/>
  <c r="J152" i="2" s="1"/>
  <c r="H151" i="2"/>
  <c r="G151" i="2"/>
  <c r="F151" i="2"/>
  <c r="E151" i="2"/>
  <c r="D151" i="2"/>
  <c r="H150" i="2"/>
  <c r="G150" i="2"/>
  <c r="F150" i="2"/>
  <c r="E150" i="2"/>
  <c r="D150" i="2"/>
  <c r="J150" i="2" s="1"/>
  <c r="H149" i="2"/>
  <c r="G149" i="2"/>
  <c r="F149" i="2"/>
  <c r="E149" i="2"/>
  <c r="D149" i="2"/>
  <c r="H148" i="2"/>
  <c r="G148" i="2"/>
  <c r="F148" i="2"/>
  <c r="E148" i="2"/>
  <c r="D148" i="2"/>
  <c r="J148" i="2" s="1"/>
  <c r="H147" i="2"/>
  <c r="G147" i="2"/>
  <c r="F147" i="2"/>
  <c r="E147" i="2"/>
  <c r="D147" i="2"/>
  <c r="J147" i="2" s="1"/>
  <c r="H146" i="2"/>
  <c r="G146" i="2"/>
  <c r="F146" i="2"/>
  <c r="E146" i="2"/>
  <c r="D146" i="2"/>
  <c r="J146" i="2" s="1"/>
  <c r="H145" i="2"/>
  <c r="G145" i="2"/>
  <c r="G175" i="2" s="1"/>
  <c r="F145" i="2"/>
  <c r="F175" i="2" s="1"/>
  <c r="E145" i="2"/>
  <c r="E175" i="2" s="1"/>
  <c r="D145" i="2"/>
  <c r="H142" i="2"/>
  <c r="G142" i="2"/>
  <c r="F142" i="2"/>
  <c r="E142" i="2"/>
  <c r="D142" i="2"/>
  <c r="H141" i="2"/>
  <c r="G141" i="2"/>
  <c r="F141" i="2"/>
  <c r="E141" i="2"/>
  <c r="D141" i="2"/>
  <c r="J141" i="2" s="1"/>
  <c r="H140" i="2"/>
  <c r="G140" i="2"/>
  <c r="F140" i="2"/>
  <c r="E140" i="2"/>
  <c r="D140" i="2"/>
  <c r="H139" i="2"/>
  <c r="G139" i="2"/>
  <c r="F139" i="2"/>
  <c r="E139" i="2"/>
  <c r="D139" i="2"/>
  <c r="J139" i="2" s="1"/>
  <c r="H138" i="2"/>
  <c r="G138" i="2"/>
  <c r="F138" i="2"/>
  <c r="E138" i="2"/>
  <c r="D138" i="2"/>
  <c r="J138" i="2" s="1"/>
  <c r="H137" i="2"/>
  <c r="G137" i="2"/>
  <c r="F137" i="2"/>
  <c r="E137" i="2"/>
  <c r="D137" i="2"/>
  <c r="J137" i="2" s="1"/>
  <c r="H136" i="2"/>
  <c r="G136" i="2"/>
  <c r="F136" i="2"/>
  <c r="E136" i="2"/>
  <c r="D136" i="2"/>
  <c r="J136" i="2" s="1"/>
  <c r="H135" i="2"/>
  <c r="G135" i="2"/>
  <c r="F135" i="2"/>
  <c r="E135" i="2"/>
  <c r="D135" i="2"/>
  <c r="J135" i="2" s="1"/>
  <c r="H134" i="2"/>
  <c r="G134" i="2"/>
  <c r="F134" i="2"/>
  <c r="E134" i="2"/>
  <c r="D134" i="2"/>
  <c r="H133" i="2"/>
  <c r="G133" i="2"/>
  <c r="F133" i="2"/>
  <c r="E133" i="2"/>
  <c r="D133" i="2"/>
  <c r="J133" i="2" s="1"/>
  <c r="H132" i="2"/>
  <c r="G132" i="2"/>
  <c r="F132" i="2"/>
  <c r="E132" i="2"/>
  <c r="D132" i="2"/>
  <c r="H131" i="2"/>
  <c r="H143" i="2" s="1"/>
  <c r="G131" i="2"/>
  <c r="G143" i="2" s="1"/>
  <c r="F131" i="2"/>
  <c r="F143" i="2" s="1"/>
  <c r="E131" i="2"/>
  <c r="E143" i="2" s="1"/>
  <c r="D131" i="2"/>
  <c r="D143" i="2" s="1"/>
  <c r="F129" i="2"/>
  <c r="H128" i="2"/>
  <c r="G128" i="2"/>
  <c r="F128" i="2"/>
  <c r="E128" i="2"/>
  <c r="D128" i="2"/>
  <c r="J128" i="2" s="1"/>
  <c r="H127" i="2"/>
  <c r="G127" i="2"/>
  <c r="F127" i="2"/>
  <c r="E127" i="2"/>
  <c r="D127" i="2"/>
  <c r="H126" i="2"/>
  <c r="G126" i="2"/>
  <c r="F126" i="2"/>
  <c r="E126" i="2"/>
  <c r="D126" i="2"/>
  <c r="J126" i="2" s="1"/>
  <c r="H125" i="2"/>
  <c r="H129" i="2" s="1"/>
  <c r="G125" i="2"/>
  <c r="F125" i="2"/>
  <c r="E125" i="2"/>
  <c r="D125" i="2"/>
  <c r="J125" i="2" s="1"/>
  <c r="H124" i="2"/>
  <c r="G124" i="2"/>
  <c r="G129" i="2" s="1"/>
  <c r="F124" i="2"/>
  <c r="E124" i="2"/>
  <c r="E129" i="2" s="1"/>
  <c r="D124" i="2"/>
  <c r="J124" i="2" s="1"/>
  <c r="H122" i="2"/>
  <c r="H121" i="2"/>
  <c r="G121" i="2"/>
  <c r="F121" i="2"/>
  <c r="E121" i="2"/>
  <c r="D121" i="2"/>
  <c r="J121" i="2" s="1"/>
  <c r="H120" i="2"/>
  <c r="G120" i="2"/>
  <c r="F120" i="2"/>
  <c r="E120" i="2"/>
  <c r="D120" i="2"/>
  <c r="H119" i="2"/>
  <c r="G119" i="2"/>
  <c r="F119" i="2"/>
  <c r="E119" i="2"/>
  <c r="D119" i="2"/>
  <c r="J119" i="2" s="1"/>
  <c r="H118" i="2"/>
  <c r="G118" i="2"/>
  <c r="F118" i="2"/>
  <c r="E118" i="2"/>
  <c r="D118" i="2"/>
  <c r="H117" i="2"/>
  <c r="G117" i="2"/>
  <c r="F117" i="2"/>
  <c r="E117" i="2"/>
  <c r="D117" i="2"/>
  <c r="J117" i="2" s="1"/>
  <c r="H116" i="2"/>
  <c r="G116" i="2"/>
  <c r="F116" i="2"/>
  <c r="E116" i="2"/>
  <c r="D116" i="2"/>
  <c r="H115" i="2"/>
  <c r="G115" i="2"/>
  <c r="F115" i="2"/>
  <c r="E115" i="2"/>
  <c r="D115" i="2"/>
  <c r="J115" i="2" s="1"/>
  <c r="H114" i="2"/>
  <c r="G114" i="2"/>
  <c r="F114" i="2"/>
  <c r="E114" i="2"/>
  <c r="D114" i="2"/>
  <c r="J114" i="2" s="1"/>
  <c r="H113" i="2"/>
  <c r="G113" i="2"/>
  <c r="F113" i="2"/>
  <c r="E113" i="2"/>
  <c r="D113" i="2"/>
  <c r="J113" i="2" s="1"/>
  <c r="H112" i="2"/>
  <c r="G112" i="2"/>
  <c r="F112" i="2"/>
  <c r="E112" i="2"/>
  <c r="D112" i="2"/>
  <c r="H111" i="2"/>
  <c r="G111" i="2"/>
  <c r="G122" i="2" s="1"/>
  <c r="F111" i="2"/>
  <c r="F122" i="2" s="1"/>
  <c r="E111" i="2"/>
  <c r="E122" i="2" s="1"/>
  <c r="D111" i="2"/>
  <c r="F109" i="2"/>
  <c r="H108" i="2"/>
  <c r="G108" i="2"/>
  <c r="F108" i="2"/>
  <c r="E108" i="2"/>
  <c r="D108" i="2"/>
  <c r="H107" i="2"/>
  <c r="G107" i="2"/>
  <c r="F107" i="2"/>
  <c r="E107" i="2"/>
  <c r="D107" i="2"/>
  <c r="H106" i="2"/>
  <c r="G106" i="2"/>
  <c r="F106" i="2"/>
  <c r="E106" i="2"/>
  <c r="D106" i="2"/>
  <c r="H105" i="2"/>
  <c r="G105" i="2"/>
  <c r="F105" i="2"/>
  <c r="E105" i="2"/>
  <c r="D105" i="2"/>
  <c r="J105" i="2" s="1"/>
  <c r="H104" i="2"/>
  <c r="G104" i="2"/>
  <c r="F104" i="2"/>
  <c r="E104" i="2"/>
  <c r="D104" i="2"/>
  <c r="H103" i="2"/>
  <c r="G103" i="2"/>
  <c r="F103" i="2"/>
  <c r="E103" i="2"/>
  <c r="D103" i="2"/>
  <c r="J103" i="2" s="1"/>
  <c r="H102" i="2"/>
  <c r="G102" i="2"/>
  <c r="F102" i="2"/>
  <c r="E102" i="2"/>
  <c r="D102" i="2"/>
  <c r="H101" i="2"/>
  <c r="H109" i="2" s="1"/>
  <c r="G101" i="2"/>
  <c r="F101" i="2"/>
  <c r="E101" i="2"/>
  <c r="E109" i="2" s="1"/>
  <c r="D101" i="2"/>
  <c r="H97" i="2"/>
  <c r="G97" i="2"/>
  <c r="F97" i="2"/>
  <c r="E97" i="2"/>
  <c r="D97" i="2"/>
  <c r="H96" i="2"/>
  <c r="G96" i="2"/>
  <c r="F96" i="2"/>
  <c r="E96" i="2"/>
  <c r="D96" i="2"/>
  <c r="J96" i="2" s="1"/>
  <c r="H95" i="2"/>
  <c r="G95" i="2"/>
  <c r="F95" i="2"/>
  <c r="E95" i="2"/>
  <c r="D95" i="2"/>
  <c r="H94" i="2"/>
  <c r="G94" i="2"/>
  <c r="F94" i="2"/>
  <c r="F98" i="2" s="1"/>
  <c r="E94" i="2"/>
  <c r="D94" i="2"/>
  <c r="H93" i="2"/>
  <c r="H98" i="2" s="1"/>
  <c r="G93" i="2"/>
  <c r="G98" i="2" s="1"/>
  <c r="F93" i="2"/>
  <c r="E93" i="2"/>
  <c r="D93" i="2"/>
  <c r="H90" i="2"/>
  <c r="G90" i="2"/>
  <c r="F90" i="2"/>
  <c r="E90" i="2"/>
  <c r="D90" i="2"/>
  <c r="H89" i="2"/>
  <c r="G89" i="2"/>
  <c r="F89" i="2"/>
  <c r="E89" i="2"/>
  <c r="D89" i="2"/>
  <c r="J89" i="2" s="1"/>
  <c r="H88" i="2"/>
  <c r="G88" i="2"/>
  <c r="F88" i="2"/>
  <c r="E88" i="2"/>
  <c r="D88" i="2"/>
  <c r="H87" i="2"/>
  <c r="G87" i="2"/>
  <c r="F87" i="2"/>
  <c r="E87" i="2"/>
  <c r="D87" i="2"/>
  <c r="J87" i="2" s="1"/>
  <c r="H86" i="2"/>
  <c r="G86" i="2"/>
  <c r="G91" i="2" s="1"/>
  <c r="F86" i="2"/>
  <c r="E86" i="2"/>
  <c r="D86" i="2"/>
  <c r="H85" i="2"/>
  <c r="G85" i="2"/>
  <c r="F85" i="2"/>
  <c r="E85" i="2"/>
  <c r="D85" i="2"/>
  <c r="H84" i="2"/>
  <c r="H91" i="2" s="1"/>
  <c r="G84" i="2"/>
  <c r="F84" i="2"/>
  <c r="F91" i="2" s="1"/>
  <c r="E84" i="2"/>
  <c r="E91" i="2" s="1"/>
  <c r="D84" i="2"/>
  <c r="I81" i="2"/>
  <c r="H81" i="2"/>
  <c r="G81" i="2"/>
  <c r="F81" i="2"/>
  <c r="J81" i="2" s="1"/>
  <c r="E81" i="2"/>
  <c r="D81" i="2"/>
  <c r="I80" i="2"/>
  <c r="H80" i="2"/>
  <c r="G80" i="2"/>
  <c r="F80" i="2"/>
  <c r="E80" i="2"/>
  <c r="D80" i="2"/>
  <c r="J80" i="2" s="1"/>
  <c r="I79" i="2"/>
  <c r="H79" i="2"/>
  <c r="G79" i="2"/>
  <c r="F79" i="2"/>
  <c r="E79" i="2"/>
  <c r="D79" i="2"/>
  <c r="J79" i="2" s="1"/>
  <c r="I78" i="2"/>
  <c r="H78" i="2"/>
  <c r="G78" i="2"/>
  <c r="F78" i="2"/>
  <c r="E78" i="2"/>
  <c r="D78" i="2"/>
  <c r="J78" i="2" s="1"/>
  <c r="I77" i="2"/>
  <c r="H77" i="2"/>
  <c r="G77" i="2"/>
  <c r="F77" i="2"/>
  <c r="E77" i="2"/>
  <c r="D77" i="2"/>
  <c r="J77" i="2" s="1"/>
  <c r="I76" i="2"/>
  <c r="H76" i="2"/>
  <c r="G76" i="2"/>
  <c r="F76" i="2"/>
  <c r="E76" i="2"/>
  <c r="D76" i="2"/>
  <c r="I75" i="2"/>
  <c r="H75" i="2"/>
  <c r="G75" i="2"/>
  <c r="F75" i="2"/>
  <c r="E75" i="2"/>
  <c r="D75" i="2"/>
  <c r="J75" i="2" s="1"/>
  <c r="I74" i="2"/>
  <c r="H74" i="2"/>
  <c r="G74" i="2"/>
  <c r="F74" i="2"/>
  <c r="E74" i="2"/>
  <c r="J74" i="2" s="1"/>
  <c r="D74" i="2"/>
  <c r="I73" i="2"/>
  <c r="H73" i="2"/>
  <c r="G73" i="2"/>
  <c r="F73" i="2"/>
  <c r="J73" i="2" s="1"/>
  <c r="E73" i="2"/>
  <c r="D73" i="2"/>
  <c r="J72" i="2"/>
  <c r="I72" i="2"/>
  <c r="H72" i="2"/>
  <c r="G72" i="2"/>
  <c r="F72" i="2"/>
  <c r="E72" i="2"/>
  <c r="D72" i="2"/>
  <c r="I71" i="2"/>
  <c r="H71" i="2"/>
  <c r="G71" i="2"/>
  <c r="F71" i="2"/>
  <c r="E71" i="2"/>
  <c r="D71" i="2"/>
  <c r="J71" i="2" s="1"/>
  <c r="I70" i="2"/>
  <c r="H70" i="2"/>
  <c r="G70" i="2"/>
  <c r="F70" i="2"/>
  <c r="E70" i="2"/>
  <c r="D70" i="2"/>
  <c r="I69" i="2"/>
  <c r="H69" i="2"/>
  <c r="G69" i="2"/>
  <c r="F69" i="2"/>
  <c r="E69" i="2"/>
  <c r="D69" i="2"/>
  <c r="J69" i="2" s="1"/>
  <c r="I68" i="2"/>
  <c r="H68" i="2"/>
  <c r="G68" i="2"/>
  <c r="F68" i="2"/>
  <c r="E68" i="2"/>
  <c r="D68" i="2"/>
  <c r="J68" i="2" s="1"/>
  <c r="I67" i="2"/>
  <c r="H67" i="2"/>
  <c r="G67" i="2"/>
  <c r="F67" i="2"/>
  <c r="E67" i="2"/>
  <c r="D67" i="2"/>
  <c r="J67" i="2" s="1"/>
  <c r="I66" i="2"/>
  <c r="H66" i="2"/>
  <c r="G66" i="2"/>
  <c r="F66" i="2"/>
  <c r="E66" i="2"/>
  <c r="D66" i="2"/>
  <c r="J66" i="2" s="1"/>
  <c r="I65" i="2"/>
  <c r="H65" i="2"/>
  <c r="G65" i="2"/>
  <c r="F65" i="2"/>
  <c r="E65" i="2"/>
  <c r="D65" i="2"/>
  <c r="I64" i="2"/>
  <c r="H64" i="2"/>
  <c r="G64" i="2"/>
  <c r="F64" i="2"/>
  <c r="E64" i="2"/>
  <c r="D64" i="2"/>
  <c r="J64" i="2" s="1"/>
  <c r="I63" i="2"/>
  <c r="H63" i="2"/>
  <c r="G63" i="2"/>
  <c r="F63" i="2"/>
  <c r="E63" i="2"/>
  <c r="J63" i="2" s="1"/>
  <c r="D63" i="2"/>
  <c r="J62" i="2"/>
  <c r="I62" i="2"/>
  <c r="H62" i="2"/>
  <c r="G62" i="2"/>
  <c r="F62" i="2"/>
  <c r="E62" i="2"/>
  <c r="D62" i="2"/>
  <c r="I61" i="2"/>
  <c r="H61" i="2"/>
  <c r="G61" i="2"/>
  <c r="F61" i="2"/>
  <c r="E61" i="2"/>
  <c r="D61" i="2"/>
  <c r="J61" i="2" s="1"/>
  <c r="I60" i="2"/>
  <c r="H60" i="2"/>
  <c r="G60" i="2"/>
  <c r="F60" i="2"/>
  <c r="E60" i="2"/>
  <c r="D60" i="2"/>
  <c r="J60" i="2" s="1"/>
  <c r="I59" i="2"/>
  <c r="H59" i="2"/>
  <c r="G59" i="2"/>
  <c r="F59" i="2"/>
  <c r="E59" i="2"/>
  <c r="D59" i="2"/>
  <c r="I58" i="2"/>
  <c r="H58" i="2"/>
  <c r="G58" i="2"/>
  <c r="J58" i="2" s="1"/>
  <c r="F58" i="2"/>
  <c r="E58" i="2"/>
  <c r="D58" i="2"/>
  <c r="I57" i="2"/>
  <c r="H57" i="2"/>
  <c r="G57" i="2"/>
  <c r="F57" i="2"/>
  <c r="E57" i="2"/>
  <c r="D57" i="2"/>
  <c r="J57" i="2" s="1"/>
  <c r="I56" i="2"/>
  <c r="H56" i="2"/>
  <c r="G56" i="2"/>
  <c r="F56" i="2"/>
  <c r="J56" i="2" s="1"/>
  <c r="E56" i="2"/>
  <c r="D56" i="2"/>
  <c r="J55" i="2"/>
  <c r="I55" i="2"/>
  <c r="H55" i="2"/>
  <c r="G55" i="2"/>
  <c r="F55" i="2"/>
  <c r="E55" i="2"/>
  <c r="D55" i="2"/>
  <c r="I54" i="2"/>
  <c r="H54" i="2"/>
  <c r="G54" i="2"/>
  <c r="F54" i="2"/>
  <c r="E54" i="2"/>
  <c r="D54" i="2"/>
  <c r="J54" i="2" s="1"/>
  <c r="I53" i="2"/>
  <c r="H53" i="2"/>
  <c r="G53" i="2"/>
  <c r="F53" i="2"/>
  <c r="E53" i="2"/>
  <c r="D53" i="2"/>
  <c r="I52" i="2"/>
  <c r="H52" i="2"/>
  <c r="G52" i="2"/>
  <c r="F52" i="2"/>
  <c r="J52" i="2" s="1"/>
  <c r="E52" i="2"/>
  <c r="D52" i="2"/>
  <c r="I51" i="2"/>
  <c r="H51" i="2"/>
  <c r="G51" i="2"/>
  <c r="J51" i="2" s="1"/>
  <c r="F51" i="2"/>
  <c r="E51" i="2"/>
  <c r="D51" i="2"/>
  <c r="I50" i="2"/>
  <c r="H50" i="2"/>
  <c r="G50" i="2"/>
  <c r="F50" i="2"/>
  <c r="E50" i="2"/>
  <c r="D50" i="2"/>
  <c r="J50" i="2" s="1"/>
  <c r="I49" i="2"/>
  <c r="H49" i="2"/>
  <c r="G49" i="2"/>
  <c r="F49" i="2"/>
  <c r="E49" i="2"/>
  <c r="D49" i="2"/>
  <c r="J49" i="2" s="1"/>
  <c r="J48" i="2"/>
  <c r="I48" i="2"/>
  <c r="H48" i="2"/>
  <c r="G48" i="2"/>
  <c r="F48" i="2"/>
  <c r="E48" i="2"/>
  <c r="D48" i="2"/>
  <c r="I47" i="2"/>
  <c r="H47" i="2"/>
  <c r="G47" i="2"/>
  <c r="F47" i="2"/>
  <c r="E47" i="2"/>
  <c r="D47" i="2"/>
  <c r="J47" i="2" s="1"/>
  <c r="I46" i="2"/>
  <c r="H46" i="2"/>
  <c r="G46" i="2"/>
  <c r="F46" i="2"/>
  <c r="J46" i="2" s="1"/>
  <c r="E46" i="2"/>
  <c r="D46" i="2"/>
  <c r="J45" i="2"/>
  <c r="I45" i="2"/>
  <c r="H45" i="2"/>
  <c r="G45" i="2"/>
  <c r="F45" i="2"/>
  <c r="E45" i="2"/>
  <c r="D45" i="2"/>
  <c r="I44" i="2"/>
  <c r="J44" i="2" s="1"/>
  <c r="H44" i="2"/>
  <c r="G44" i="2"/>
  <c r="F44" i="2"/>
  <c r="E44" i="2"/>
  <c r="D44" i="2"/>
  <c r="I42" i="2"/>
  <c r="H42" i="2"/>
  <c r="G42" i="2"/>
  <c r="F42" i="2"/>
  <c r="E42" i="2"/>
  <c r="D42" i="2"/>
  <c r="J42" i="2" s="1"/>
  <c r="I41" i="2"/>
  <c r="H41" i="2"/>
  <c r="G41" i="2"/>
  <c r="F41" i="2"/>
  <c r="E41" i="2"/>
  <c r="D41" i="2"/>
  <c r="J41" i="2" s="1"/>
  <c r="I40" i="2"/>
  <c r="H40" i="2"/>
  <c r="G40" i="2"/>
  <c r="F40" i="2"/>
  <c r="E40" i="2"/>
  <c r="D40" i="2"/>
  <c r="I39" i="2"/>
  <c r="H39" i="2"/>
  <c r="G39" i="2"/>
  <c r="F39" i="2"/>
  <c r="E39" i="2"/>
  <c r="D39" i="2"/>
  <c r="J39" i="2" s="1"/>
  <c r="I38" i="2"/>
  <c r="H38" i="2"/>
  <c r="G38" i="2"/>
  <c r="F38" i="2"/>
  <c r="E38" i="2"/>
  <c r="J38" i="2" s="1"/>
  <c r="D38" i="2"/>
  <c r="I36" i="2"/>
  <c r="H36" i="2"/>
  <c r="G36" i="2"/>
  <c r="F36" i="2"/>
  <c r="E36" i="2"/>
  <c r="D36" i="2"/>
  <c r="J36" i="2" s="1"/>
  <c r="I35" i="2"/>
  <c r="H35" i="2"/>
  <c r="G35" i="2"/>
  <c r="J35" i="2" s="1"/>
  <c r="F35" i="2"/>
  <c r="E35" i="2"/>
  <c r="D35" i="2"/>
  <c r="I34" i="2"/>
  <c r="H34" i="2"/>
  <c r="G34" i="2"/>
  <c r="F34" i="2"/>
  <c r="E34" i="2"/>
  <c r="D34" i="2"/>
  <c r="J34" i="2" s="1"/>
  <c r="I33" i="2"/>
  <c r="H33" i="2"/>
  <c r="G33" i="2"/>
  <c r="F33" i="2"/>
  <c r="E33" i="2"/>
  <c r="D33" i="2"/>
  <c r="I32" i="2"/>
  <c r="H32" i="2"/>
  <c r="G32" i="2"/>
  <c r="F32" i="2"/>
  <c r="E32" i="2"/>
  <c r="D32" i="2"/>
  <c r="J32" i="2" s="1"/>
  <c r="I31" i="2"/>
  <c r="H31" i="2"/>
  <c r="G31" i="2"/>
  <c r="F31" i="2"/>
  <c r="E31" i="2"/>
  <c r="D31" i="2"/>
  <c r="J31" i="2" s="1"/>
  <c r="I30" i="2"/>
  <c r="H30" i="2"/>
  <c r="G30" i="2"/>
  <c r="F30" i="2"/>
  <c r="E30" i="2"/>
  <c r="J30" i="2" s="1"/>
  <c r="D30" i="2"/>
  <c r="I29" i="2"/>
  <c r="H29" i="2"/>
  <c r="G29" i="2"/>
  <c r="F29" i="2"/>
  <c r="E29" i="2"/>
  <c r="D29" i="2"/>
  <c r="J29" i="2" s="1"/>
  <c r="I28" i="2"/>
  <c r="H28" i="2"/>
  <c r="G28" i="2"/>
  <c r="F28" i="2"/>
  <c r="E28" i="2"/>
  <c r="D28" i="2"/>
  <c r="J28" i="2" s="1"/>
  <c r="I27" i="2"/>
  <c r="H27" i="2"/>
  <c r="G27" i="2"/>
  <c r="F27" i="2"/>
  <c r="E27" i="2"/>
  <c r="D27" i="2"/>
  <c r="I26" i="2"/>
  <c r="H26" i="2"/>
  <c r="J26" i="2" s="1"/>
  <c r="G26" i="2"/>
  <c r="F26" i="2"/>
  <c r="E26" i="2"/>
  <c r="D26" i="2"/>
  <c r="I25" i="2"/>
  <c r="H25" i="2"/>
  <c r="G25" i="2"/>
  <c r="F25" i="2"/>
  <c r="E25" i="2"/>
  <c r="D25" i="2"/>
  <c r="J25" i="2" s="1"/>
  <c r="I24" i="2"/>
  <c r="H24" i="2"/>
  <c r="G24" i="2"/>
  <c r="F24" i="2"/>
  <c r="E24" i="2"/>
  <c r="D24" i="2"/>
  <c r="J24" i="2" s="1"/>
  <c r="I23" i="2"/>
  <c r="H23" i="2"/>
  <c r="G23" i="2"/>
  <c r="F23" i="2"/>
  <c r="E23" i="2"/>
  <c r="J23" i="2" s="1"/>
  <c r="D23" i="2"/>
  <c r="I22" i="2"/>
  <c r="H22" i="2"/>
  <c r="G22" i="2"/>
  <c r="F22" i="2"/>
  <c r="E22" i="2"/>
  <c r="D22" i="2"/>
  <c r="J22" i="2" s="1"/>
  <c r="I21" i="2"/>
  <c r="H21" i="2"/>
  <c r="G21" i="2"/>
  <c r="F21" i="2"/>
  <c r="E21" i="2"/>
  <c r="D21" i="2"/>
  <c r="I20" i="2"/>
  <c r="H20" i="2"/>
  <c r="G20" i="2"/>
  <c r="F20" i="2"/>
  <c r="E20" i="2"/>
  <c r="D20" i="2"/>
  <c r="J20" i="2" s="1"/>
  <c r="I19" i="2"/>
  <c r="H19" i="2"/>
  <c r="J19" i="2" s="1"/>
  <c r="G19" i="2"/>
  <c r="F19" i="2"/>
  <c r="E19" i="2"/>
  <c r="D19" i="2"/>
  <c r="I18" i="2"/>
  <c r="H18" i="2"/>
  <c r="G18" i="2"/>
  <c r="F18" i="2"/>
  <c r="E18" i="2"/>
  <c r="D18" i="2"/>
  <c r="J18" i="2" s="1"/>
  <c r="I17" i="2"/>
  <c r="H17" i="2"/>
  <c r="G17" i="2"/>
  <c r="F17" i="2"/>
  <c r="E17" i="2"/>
  <c r="D17" i="2"/>
  <c r="J17" i="2" s="1"/>
  <c r="I16" i="2"/>
  <c r="H16" i="2"/>
  <c r="G16" i="2"/>
  <c r="F16" i="2"/>
  <c r="E16" i="2"/>
  <c r="J16" i="2" s="1"/>
  <c r="D16" i="2"/>
  <c r="I15" i="2"/>
  <c r="H15" i="2"/>
  <c r="G15" i="2"/>
  <c r="F15" i="2"/>
  <c r="E15" i="2"/>
  <c r="D15" i="2"/>
  <c r="I14" i="2"/>
  <c r="H14" i="2"/>
  <c r="G14" i="2"/>
  <c r="F14" i="2"/>
  <c r="J14" i="2" s="1"/>
  <c r="E14" i="2"/>
  <c r="D14" i="2"/>
  <c r="I13" i="2"/>
  <c r="H13" i="2"/>
  <c r="G13" i="2"/>
  <c r="F13" i="2"/>
  <c r="E13" i="2"/>
  <c r="D13" i="2"/>
  <c r="J13" i="2" s="1"/>
  <c r="I12" i="2"/>
  <c r="H12" i="2"/>
  <c r="J12" i="2" s="1"/>
  <c r="G12" i="2"/>
  <c r="F12" i="2"/>
  <c r="E12" i="2"/>
  <c r="D12" i="2"/>
  <c r="I10" i="2"/>
  <c r="I82" i="2" s="1"/>
  <c r="I253" i="2" s="1"/>
  <c r="H10" i="2"/>
  <c r="G10" i="2"/>
  <c r="F10" i="2"/>
  <c r="E10" i="2"/>
  <c r="D10" i="2"/>
  <c r="J10" i="2" s="1"/>
  <c r="I8" i="2"/>
  <c r="H8" i="2"/>
  <c r="H82" i="2" s="1"/>
  <c r="G8" i="2"/>
  <c r="G82" i="2" s="1"/>
  <c r="F8" i="2"/>
  <c r="E8" i="2"/>
  <c r="E82" i="2" s="1"/>
  <c r="D8" i="2"/>
  <c r="D82" i="2" s="1"/>
  <c r="B3" i="2"/>
  <c r="G253" i="2" l="1"/>
  <c r="J86" i="2"/>
  <c r="J97" i="2"/>
  <c r="J102" i="2"/>
  <c r="J118" i="2"/>
  <c r="F82" i="2"/>
  <c r="J82" i="2" s="1"/>
  <c r="J33" i="2"/>
  <c r="J107" i="2"/>
  <c r="J111" i="2"/>
  <c r="J127" i="2"/>
  <c r="J143" i="2"/>
  <c r="J145" i="2"/>
  <c r="J157" i="2"/>
  <c r="J169" i="2"/>
  <c r="J179" i="2"/>
  <c r="J191" i="2"/>
  <c r="J203" i="2"/>
  <c r="J65" i="2"/>
  <c r="J70" i="2"/>
  <c r="D91" i="2"/>
  <c r="J91" i="2" s="1"/>
  <c r="J84" i="2"/>
  <c r="J95" i="2"/>
  <c r="J116" i="2"/>
  <c r="J21" i="2"/>
  <c r="J201" i="2"/>
  <c r="J53" i="2"/>
  <c r="D98" i="2"/>
  <c r="J98" i="2" s="1"/>
  <c r="J93" i="2"/>
  <c r="J134" i="2"/>
  <c r="J76" i="2"/>
  <c r="E98" i="2"/>
  <c r="H175" i="2"/>
  <c r="H253" i="2" s="1"/>
  <c r="J40" i="2"/>
  <c r="J108" i="2"/>
  <c r="J112" i="2"/>
  <c r="J132" i="2"/>
  <c r="J85" i="2"/>
  <c r="J101" i="2"/>
  <c r="D109" i="2"/>
  <c r="J109" i="2" s="1"/>
  <c r="J151" i="2"/>
  <c r="J163" i="2"/>
  <c r="J27" i="2"/>
  <c r="J90" i="2"/>
  <c r="J106" i="2"/>
  <c r="J142" i="2"/>
  <c r="J8" i="2"/>
  <c r="J59" i="2"/>
  <c r="J94" i="2"/>
  <c r="J149" i="2"/>
  <c r="J161" i="2"/>
  <c r="J173" i="2"/>
  <c r="E253" i="2"/>
  <c r="J183" i="2"/>
  <c r="J195" i="2"/>
  <c r="J15" i="2"/>
  <c r="J88" i="2"/>
  <c r="G109" i="2"/>
  <c r="J104" i="2"/>
  <c r="J120" i="2"/>
  <c r="J140" i="2"/>
  <c r="F252" i="2"/>
  <c r="F253" i="2" s="1"/>
  <c r="J131" i="2"/>
  <c r="J178" i="2"/>
  <c r="D122" i="2"/>
  <c r="J122" i="2" s="1"/>
  <c r="D129" i="2"/>
  <c r="J129" i="2" s="1"/>
  <c r="D175" i="2"/>
  <c r="J175" i="2" s="1"/>
  <c r="K68" i="2" l="1"/>
  <c r="J252" i="2"/>
  <c r="D253" i="2"/>
  <c r="J253" i="2" s="1"/>
</calcChain>
</file>

<file path=xl/sharedStrings.xml><?xml version="1.0" encoding="utf-8"?>
<sst xmlns="http://schemas.openxmlformats.org/spreadsheetml/2006/main" count="19598" uniqueCount="6190">
  <si>
    <t>No.</t>
  </si>
  <si>
    <t>Kode FP</t>
  </si>
  <si>
    <t>Nama</t>
  </si>
  <si>
    <t>NIP/NIK</t>
  </si>
  <si>
    <t>No Induk Kependudukan (NIK)</t>
  </si>
  <si>
    <t>Jenis Kelamin</t>
  </si>
  <si>
    <t>Status</t>
  </si>
  <si>
    <t>Pangkat</t>
  </si>
  <si>
    <t>Gol</t>
  </si>
  <si>
    <t>JFT/JFU</t>
  </si>
  <si>
    <t xml:space="preserve">TMT Pgkt </t>
  </si>
  <si>
    <t>No. STR</t>
  </si>
  <si>
    <t>Tanggal Terbit STR</t>
  </si>
  <si>
    <t>Masa Berlaku STR</t>
  </si>
  <si>
    <t>Jenis Profesi</t>
  </si>
  <si>
    <t>No. SIP/SIK/SIPA</t>
  </si>
  <si>
    <t>Tanggal Terbit SIP</t>
  </si>
  <si>
    <t>Masa Berlaku SIP</t>
  </si>
  <si>
    <t>Pendidikan</t>
  </si>
  <si>
    <t>Th Lulus Pendidikan</t>
  </si>
  <si>
    <t>pendidikan_2</t>
  </si>
  <si>
    <t>Th Lulus Pendidikan_2</t>
  </si>
  <si>
    <t>TMT CPNS/ PPPK</t>
  </si>
  <si>
    <t>TMT di RS</t>
  </si>
  <si>
    <t>TMT DI SATKER</t>
  </si>
  <si>
    <t>MASA KERJA SELURUH</t>
  </si>
  <si>
    <t>Tempat</t>
  </si>
  <si>
    <t>Tgl, Lahir</t>
  </si>
  <si>
    <t>Tempat, Tgl. Lahir</t>
  </si>
  <si>
    <t>Usia</t>
  </si>
  <si>
    <t>Jabatan</t>
  </si>
  <si>
    <t>Jabatan 2</t>
  </si>
  <si>
    <t>Unit Penempatan</t>
  </si>
  <si>
    <t>Kode Jabatan</t>
  </si>
  <si>
    <t>Grade</t>
  </si>
  <si>
    <t>Pelatihan Jabatan</t>
  </si>
  <si>
    <t>Keterangan</t>
  </si>
  <si>
    <t>No Telepon (HP)</t>
  </si>
  <si>
    <t>Dr. dr. Sholahuddin Rhatomy, Sp.OT. (K) Hip &amp; Knee</t>
  </si>
  <si>
    <t>198006212009121002</t>
  </si>
  <si>
    <t>L</t>
  </si>
  <si>
    <t>PNS</t>
  </si>
  <si>
    <t>Pembina Tk.I</t>
  </si>
  <si>
    <t>IV/b</t>
  </si>
  <si>
    <t>JFT</t>
  </si>
  <si>
    <t>Dokter Pendidik Klinis Ahli Madya</t>
  </si>
  <si>
    <t>3111103215115792</t>
  </si>
  <si>
    <t>Dokter Spesialis Orthopaedi dan Traumatologi</t>
  </si>
  <si>
    <t>'306A/1/SIPDS_33.10/VIII/2018</t>
  </si>
  <si>
    <t>dr. Sp. Bedah Ortopedi (Konsultan) Sub Spesialis Hip and Knee</t>
  </si>
  <si>
    <t>Surakarta</t>
  </si>
  <si>
    <t>Surakarta, 21/6/1980</t>
  </si>
  <si>
    <t>Anggota KSM Orthopaedi &amp; Traumatologi, Kuasa Pengguna Anggaran (KPA) / Kuasa Pengguna Barang (KPB)</t>
  </si>
  <si>
    <t>Direktur</t>
  </si>
  <si>
    <t>dr. Cahya Dewi Satria, Sp.A.(K)., M.Kes</t>
  </si>
  <si>
    <t>197402082008122002</t>
  </si>
  <si>
    <t>P</t>
  </si>
  <si>
    <t>Pembina</t>
  </si>
  <si>
    <t>IV/a</t>
  </si>
  <si>
    <t>dr. Sp. Anak (Konsultan) Alergi Imunologi Anak</t>
  </si>
  <si>
    <t>Jakarta</t>
  </si>
  <si>
    <t>Jakarta, 8 Februari 1974</t>
  </si>
  <si>
    <t>Direktur Sumber Daya Manusia, Pendidikan, dan Penelitian</t>
  </si>
  <si>
    <t>Pejabat Pembuat Komitmen (PPK) IsDB dan Program Nasional</t>
  </si>
  <si>
    <t>dr. Widodo Wirawan, MPH</t>
  </si>
  <si>
    <t>9197908132023051001</t>
  </si>
  <si>
    <t>BLU TETAP</t>
  </si>
  <si>
    <t>JS</t>
  </si>
  <si>
    <t>Direktur Medik dan Keperawatan</t>
  </si>
  <si>
    <t>S2 Ilmu Kesehatan Masyarakat</t>
  </si>
  <si>
    <t>Bengkalis</t>
  </si>
  <si>
    <t>Bengkalis, 13 Agustus 1979</t>
  </si>
  <si>
    <t>Kasino, SE, M.Si</t>
  </si>
  <si>
    <t>197312121994031003</t>
  </si>
  <si>
    <t>Analis Anggaran Ahli Madya</t>
  </si>
  <si>
    <t>S2 Ekonomi Pembangunan</t>
  </si>
  <si>
    <t>Klaten</t>
  </si>
  <si>
    <t>Klaten, 12/12/1973</t>
  </si>
  <si>
    <t>Plt. Direktur Perencanaan, Keuangan, dan Layanan Operasional</t>
  </si>
  <si>
    <t>Manajer Akuntansi dan BMN, Pejabat Penandatangan Surat Perintah Membayar (PPSPM)</t>
  </si>
  <si>
    <t>Juniarsih, S.Kep.Ns</t>
  </si>
  <si>
    <t>197006021993032002</t>
  </si>
  <si>
    <t>Administrator Kesehatan Ahli Muda</t>
  </si>
  <si>
    <t>140172218-2238540</t>
  </si>
  <si>
    <t>Ners</t>
  </si>
  <si>
    <t>1038/28/XII/2017</t>
  </si>
  <si>
    <t>Bukit Tinggi</t>
  </si>
  <si>
    <t>Bukit Tinggi, 2/6/1970</t>
  </si>
  <si>
    <t>Manajer Pelayanan Keperawatan</t>
  </si>
  <si>
    <t>Ketua/ Manajer Tim Kerja</t>
  </si>
  <si>
    <t>Megawati Parmasari, S.Farm, Apt, M.Sc</t>
  </si>
  <si>
    <t>198305122008122001</t>
  </si>
  <si>
    <t>Apoteker Ahli Madya</t>
  </si>
  <si>
    <t>19830512/STRA-UGM/2007/226523</t>
  </si>
  <si>
    <t>Apoteker</t>
  </si>
  <si>
    <t>19830512/SIPA_Aping/33.10/2017/2070</t>
  </si>
  <si>
    <t>S2 Farmasi Klinis</t>
  </si>
  <si>
    <t>Yogyakarta</t>
  </si>
  <si>
    <t>Yogyakarta, 12 Mei 1983</t>
  </si>
  <si>
    <t>Manajer Pelayanan Penunjang</t>
  </si>
  <si>
    <t>drg. Pandu Kridalaksana, MDSc., Sp.Perio (K) RPI</t>
  </si>
  <si>
    <t>198403182020121001</t>
  </si>
  <si>
    <t>Penata</t>
  </si>
  <si>
    <t>III/c</t>
  </si>
  <si>
    <t>Dokter Gigi Ahli Muda</t>
  </si>
  <si>
    <t>3412801215119519</t>
  </si>
  <si>
    <t>Dokter Gigi Spesialis Periodonsia</t>
  </si>
  <si>
    <t>33,1057424/DSG/01/449,1/012/III/2016</t>
  </si>
  <si>
    <t>drg. Sp. Periodonsia (Konsultan)</t>
  </si>
  <si>
    <t>Yogyakarta, 18/03/1984</t>
  </si>
  <si>
    <t>Manajer Pelayanan Medik</t>
  </si>
  <si>
    <t>Anggota KSM Gigi dan Mulut</t>
  </si>
  <si>
    <t>BLU ke CPNS 2021</t>
  </si>
  <si>
    <t>dr. Muslikhah Yuni Farkhati, M.Sc, Sp.A(K)</t>
  </si>
  <si>
    <t>197406302003122001</t>
  </si>
  <si>
    <t>Pembina Utama Muda</t>
  </si>
  <si>
    <t>IV/c</t>
  </si>
  <si>
    <t>3421201212031303</t>
  </si>
  <si>
    <t>Dokter Spesialis Anak</t>
  </si>
  <si>
    <t>33.1057424/DS/01/449.1/0090/II/2013</t>
  </si>
  <si>
    <t>dr. Sp. Anak (Konsultan) Neonatologi</t>
  </si>
  <si>
    <t>Surakarta, 30/6/1974</t>
  </si>
  <si>
    <t>Manajer Hukum dan Hubungan Masyarakat</t>
  </si>
  <si>
    <t>Anggota KSM Anak</t>
  </si>
  <si>
    <t>Ropingah Apriliana, S.Kep.Ns</t>
  </si>
  <si>
    <t>197404091998032003</t>
  </si>
  <si>
    <t>Analis Sumber Daya Manusia Aparatur Ahli Madya</t>
  </si>
  <si>
    <t>140172217-1343730</t>
  </si>
  <si>
    <t>Sukoharjo</t>
  </si>
  <si>
    <t>Sukoharjo, 9/4/1974</t>
  </si>
  <si>
    <t>Manajer Organisasi dan SDM</t>
  </si>
  <si>
    <t>dr. Hernawati Endriani, MPH</t>
  </si>
  <si>
    <t>197403212002122002</t>
  </si>
  <si>
    <t>Klaten, 21/3/1974</t>
  </si>
  <si>
    <t>Manajer Pendidikan dan Pelatihan</t>
  </si>
  <si>
    <t>Dwirini Anggarsari, SE</t>
  </si>
  <si>
    <t>198703302009122001</t>
  </si>
  <si>
    <t>Penata Tk.I</t>
  </si>
  <si>
    <t>III/d</t>
  </si>
  <si>
    <t>Analis Pengelolaan Keuangan APBN Ahli Muda</t>
  </si>
  <si>
    <t>S1 Ekonomi Akuntansi</t>
  </si>
  <si>
    <t>Purworejo</t>
  </si>
  <si>
    <t>Purworejo, 30/3/1987</t>
  </si>
  <si>
    <t>Manajer Pelaksanaan Keuangan</t>
  </si>
  <si>
    <t>Sri Wardani, SKM</t>
  </si>
  <si>
    <t>197209211997032001</t>
  </si>
  <si>
    <t>Penyuluh Kesehatan Masyarakat Ahli Muda</t>
  </si>
  <si>
    <t>140152218-2238550</t>
  </si>
  <si>
    <t>Perawat Ahli Madya</t>
  </si>
  <si>
    <t>1335/28/III/2014</t>
  </si>
  <si>
    <t>S1 SKM</t>
  </si>
  <si>
    <t>Klaten, 21/9/1972</t>
  </si>
  <si>
    <t>Manajer Tata Usaha dan Rumah Tangga</t>
  </si>
  <si>
    <t>Arinindya Birul Nugraheni, SE</t>
  </si>
  <si>
    <t>198901092015032002</t>
  </si>
  <si>
    <t>JFU</t>
  </si>
  <si>
    <t>Analis Keuangan</t>
  </si>
  <si>
    <t>Klaten, 09/01/1989</t>
  </si>
  <si>
    <t>Manajer Perencanaan Program, Anggaran dan Evaluasi</t>
  </si>
  <si>
    <t>Agus Suharto, S.Kep.Ns</t>
  </si>
  <si>
    <t>197909282000031001</t>
  </si>
  <si>
    <t>Analis Sumber Daya Manusia Aparatur Ahli Muda</t>
  </si>
  <si>
    <t>140171218-2209572</t>
  </si>
  <si>
    <t>545/1/SIPP_33.10/V/2018</t>
  </si>
  <si>
    <t>Kr. Anyar</t>
  </si>
  <si>
    <t>Kr. Anyar, 28/9/1979</t>
  </si>
  <si>
    <t>Manajer Clinical Research Unit (CRU)</t>
  </si>
  <si>
    <t>Suyatno, SE.Akt, MM</t>
  </si>
  <si>
    <t>196604181990031002</t>
  </si>
  <si>
    <t>Analis Pengelolaan Keuangan APBN Ahli Madya</t>
  </si>
  <si>
    <t>S2 Magister Manajemen</t>
  </si>
  <si>
    <t>Wonogiri</t>
  </si>
  <si>
    <t>Wonogiri, 18/04/1966</t>
  </si>
  <si>
    <t>Kepala SPI</t>
  </si>
  <si>
    <t>Satuan Pemeriksaan Internal</t>
  </si>
  <si>
    <t>Gaib Sri Sadhono, SKM</t>
  </si>
  <si>
    <t>196511111991031002</t>
  </si>
  <si>
    <t>Auditor Madya</t>
  </si>
  <si>
    <t>S1 SKM Sanitasi</t>
  </si>
  <si>
    <t>Tulungagung</t>
  </si>
  <si>
    <t>Tulungagung, 11/11/1965</t>
  </si>
  <si>
    <t>Auditor SPI</t>
  </si>
  <si>
    <t>Samsudin, SE, MM</t>
  </si>
  <si>
    <t>197107121992031005</t>
  </si>
  <si>
    <t>Auditor Ahli Madya</t>
  </si>
  <si>
    <t>Lamongan</t>
  </si>
  <si>
    <t>Lamongan, 12/7/1971</t>
  </si>
  <si>
    <t>Jessinger Sukma Mega, SE</t>
  </si>
  <si>
    <t>198709032010122004</t>
  </si>
  <si>
    <t>Auditor Ahli Pertama</t>
  </si>
  <si>
    <t>Klaten, 3/9/1987</t>
  </si>
  <si>
    <t>200202122025062013</t>
  </si>
  <si>
    <t>CPNS</t>
  </si>
  <si>
    <t>Penata Muda</t>
  </si>
  <si>
    <t>III/a</t>
  </si>
  <si>
    <t>01 Juni 2025</t>
  </si>
  <si>
    <t>D4 Akuntansi</t>
  </si>
  <si>
    <t>SEMARANG</t>
  </si>
  <si>
    <t>SEMARANG,12 Februari 2002</t>
  </si>
  <si>
    <t>Auditor</t>
  </si>
  <si>
    <t>CPNS 2024</t>
  </si>
  <si>
    <t>199901282025062012</t>
  </si>
  <si>
    <t>S1 Akuntansi</t>
  </si>
  <si>
    <t>KLATEN</t>
  </si>
  <si>
    <t>KLATEN,28 Januari 1999</t>
  </si>
  <si>
    <t>199610302025062006</t>
  </si>
  <si>
    <t>DEMAK</t>
  </si>
  <si>
    <t>DEMAK,30 Oktober 1996</t>
  </si>
  <si>
    <t>Widada, S.ST, M.M</t>
  </si>
  <si>
    <t>197304151994031004</t>
  </si>
  <si>
    <t>Arsiparis Ahli Madya</t>
  </si>
  <si>
    <t>140151113-0711948</t>
  </si>
  <si>
    <t>Klaten, 15/4/1973</t>
  </si>
  <si>
    <t>Kepala ULP</t>
  </si>
  <si>
    <t>Unit Layanan Pengadaan</t>
  </si>
  <si>
    <t>Puspaningtyas Devy Suharno, A.Md.OT</t>
  </si>
  <si>
    <t>198607102008122005</t>
  </si>
  <si>
    <t>Okupasi Terapis Penyelia</t>
  </si>
  <si>
    <t>140852217-1310591</t>
  </si>
  <si>
    <t>Okupasi Terapis</t>
  </si>
  <si>
    <t>02a/2/SIP-OT_33.10/I/2018</t>
  </si>
  <si>
    <t>D3 Okupasi Terapi</t>
  </si>
  <si>
    <t>Klaten, 10 Juli 1986</t>
  </si>
  <si>
    <t>Anggota</t>
  </si>
  <si>
    <t>Pindahan</t>
  </si>
  <si>
    <t>Nur Endaryani, A.Md</t>
  </si>
  <si>
    <t>198303212005012001</t>
  </si>
  <si>
    <t>Penata Muda Tk.I</t>
  </si>
  <si>
    <t>III/b</t>
  </si>
  <si>
    <t>Arsiparis Mahir</t>
  </si>
  <si>
    <t>D3 Perpustakaan</t>
  </si>
  <si>
    <t>Yogyakarta, 21/3/1983</t>
  </si>
  <si>
    <t>Suwarto, S.Ak</t>
  </si>
  <si>
    <t>198412072009121001</t>
  </si>
  <si>
    <t>Klaten, 7/12/1984</t>
  </si>
  <si>
    <t>Mutasi dari Pengelola data IRMPP ke Anggota ULP TMT 1 Juli 2024</t>
  </si>
  <si>
    <t>Deny Pujiastuty, SE</t>
  </si>
  <si>
    <t>198212122023212042</t>
  </si>
  <si>
    <t>PPPK</t>
  </si>
  <si>
    <t>IX</t>
  </si>
  <si>
    <t xml:space="preserve">Perencana Ahli Pertama </t>
  </si>
  <si>
    <t>Sukoharjo, 12/12/1982</t>
  </si>
  <si>
    <t>Analis Data</t>
  </si>
  <si>
    <t>BLU ke Optimalisasi PPPK 2022</t>
  </si>
  <si>
    <t>Wuri Erawati, SE</t>
  </si>
  <si>
    <t>198402212008122002</t>
  </si>
  <si>
    <t>Pengelola Keuangan</t>
  </si>
  <si>
    <t>Klaten, 21/2/1984</t>
  </si>
  <si>
    <t>Pranata Humas</t>
  </si>
  <si>
    <t>199902132025061006</t>
  </si>
  <si>
    <t>Analis Pengelolaan Keuangan APBN Ahli Pertama</t>
  </si>
  <si>
    <t>S1 Manajemen</t>
  </si>
  <si>
    <t>TEGAL</t>
  </si>
  <si>
    <t>TEGAL,13 Februari 1999</t>
  </si>
  <si>
    <t>Analis Pengelolaan Keuangan APBN</t>
  </si>
  <si>
    <t>TIM PENDUKUNG PEJABAT PEMBUAT KOMITMEN (PPK)</t>
  </si>
  <si>
    <t>Christiana Sri Andayani, S.Kp, MPH</t>
  </si>
  <si>
    <t>196709301990032001</t>
  </si>
  <si>
    <t>140172218-2209608</t>
  </si>
  <si>
    <t>20/28/I/2018</t>
  </si>
  <si>
    <t>Sragen</t>
  </si>
  <si>
    <t>Sragen, 30/9/1967</t>
  </si>
  <si>
    <t>Pejabat Pembuat Komitmen (PPK) Alat Non Medis dan Jasa Lainnya</t>
  </si>
  <si>
    <t>Rumi Saryati, S.Kep.Ns, M.Kep</t>
  </si>
  <si>
    <t>197102101993032002</t>
  </si>
  <si>
    <t>140172218-2222263</t>
  </si>
  <si>
    <t>2060/28/ VII/2015</t>
  </si>
  <si>
    <t>M. Kep</t>
  </si>
  <si>
    <t>Klaten, 10/2/1971</t>
  </si>
  <si>
    <t>Pejabat Pembuat Komitmen (PPK) Kontruksi</t>
  </si>
  <si>
    <t>AN. IRJT</t>
  </si>
  <si>
    <t>Zulfa Wahyundari, Apt, M.Sc</t>
  </si>
  <si>
    <t>198604152014022001</t>
  </si>
  <si>
    <t>19860415/STRA-UGM/2009/212158</t>
  </si>
  <si>
    <t>APOTEKER</t>
  </si>
  <si>
    <t>19860415/SIPA_APING/33.10/2016/2048</t>
  </si>
  <si>
    <t>Klaten, 15/4/1986</t>
  </si>
  <si>
    <t>Pejabat Pembuat Komitmen (PPK) Alat Medis dan Obat</t>
  </si>
  <si>
    <t>Pibriyanti Ari Suhono, SE</t>
  </si>
  <si>
    <t>197902262008012005</t>
  </si>
  <si>
    <t>Pengadministrasi Keuangan / Pengelola Keuangan</t>
  </si>
  <si>
    <t>Klaten, 26/2/1979</t>
  </si>
  <si>
    <t>Anggota Tim Pendukung Pejabat Pembuat Komitmen</t>
  </si>
  <si>
    <t>Deddy Kurniawan, A.Md</t>
  </si>
  <si>
    <t>198209012010121002</t>
  </si>
  <si>
    <t>Pengelola Instalasi Air dan Listrik</t>
  </si>
  <si>
    <t>D3 Teknik Sipil</t>
  </si>
  <si>
    <t>Semaran</t>
  </si>
  <si>
    <t>Semarang, 1/9/1982</t>
  </si>
  <si>
    <t>Cahyo Purnomo, A.Md</t>
  </si>
  <si>
    <t>D3 Manajemen Informatika</t>
  </si>
  <si>
    <t>Ketua Tim Pendukung Pejabat Pembuat Komitmen</t>
  </si>
  <si>
    <t>Rahmah Putu Prihatini, A.Md</t>
  </si>
  <si>
    <t>D3 Teknik Informatika</t>
  </si>
  <si>
    <t>Wonogiri,</t>
  </si>
  <si>
    <t>Marlina Susanti, A.Md</t>
  </si>
  <si>
    <t>D3 Akuntansi</t>
  </si>
  <si>
    <t>Bantul</t>
  </si>
  <si>
    <t>Siti Fatimah, S.Kom</t>
  </si>
  <si>
    <t>S1 Sistem Informasi</t>
  </si>
  <si>
    <t>Boyolalli</t>
  </si>
  <si>
    <t>Penyesuaian ijazah dari D3 Komputer ke S1 Sistem Informasi</t>
  </si>
  <si>
    <t>Siti Maesaroh, A.Md</t>
  </si>
  <si>
    <t>Cilacap</t>
  </si>
  <si>
    <t>198505082023212002</t>
  </si>
  <si>
    <t>X</t>
  </si>
  <si>
    <t>Apoteker Ahli Pertama</t>
  </si>
  <si>
    <t>Klaten, 8 Mei 1985</t>
  </si>
  <si>
    <t>PPPK 2022</t>
  </si>
  <si>
    <t>Endah Mukti Asih, S.K.M</t>
  </si>
  <si>
    <t>198206232023212001</t>
  </si>
  <si>
    <t>Administrator Kesehatan Ahli Pertama</t>
  </si>
  <si>
    <t>Pemalang</t>
  </si>
  <si>
    <t>Pemalang, 23/6/1982</t>
  </si>
  <si>
    <t>BLU ke PPPK 2022</t>
  </si>
  <si>
    <t>Suparno, S. Kep. Ns</t>
  </si>
  <si>
    <t>197304171994031003</t>
  </si>
  <si>
    <t>140171217-1343368</t>
  </si>
  <si>
    <t>723/28/X/2017</t>
  </si>
  <si>
    <t>Klaten, 17/4/1973</t>
  </si>
  <si>
    <t>Ketua Komite Keperawatan</t>
  </si>
  <si>
    <t>Komite Keperawatan</t>
  </si>
  <si>
    <t>dr. Juli Purnomo, Sp.P (K) , MPH</t>
  </si>
  <si>
    <t>196907142001121001</t>
  </si>
  <si>
    <t xml:space="preserve">Pembina Utama Muda </t>
  </si>
  <si>
    <t>Dokter Ahli Madya</t>
  </si>
  <si>
    <t>dr. Sp. Paru Sub Spesialis Infeksi Paru (Konsultan)</t>
  </si>
  <si>
    <t>Sukoharjo, 14/07/69</t>
  </si>
  <si>
    <t>Ketua Komite Medik</t>
  </si>
  <si>
    <t>Anggota KSM Paru</t>
  </si>
  <si>
    <t>Komite Medik</t>
  </si>
  <si>
    <t>dr. Samad, MSc, Sp.A(K)</t>
  </si>
  <si>
    <t>196310101989111001</t>
  </si>
  <si>
    <t>Pembina Utama</t>
  </si>
  <si>
    <t>IV/e</t>
  </si>
  <si>
    <t>Dokter Pendidik Klinis Ahli Utama</t>
  </si>
  <si>
    <t>3311201316045662</t>
  </si>
  <si>
    <t>33.1057424/DS/01/449.1/0006/XI/2011</t>
  </si>
  <si>
    <t>Purwodadi</t>
  </si>
  <si>
    <t>Purwodadi, 10/10/1963</t>
  </si>
  <si>
    <t>Ketua KSM Anak</t>
  </si>
  <si>
    <t>dr. Reza Rakhmaditya, Sp.An, M.Kes</t>
  </si>
  <si>
    <t>198405192018011001</t>
  </si>
  <si>
    <t>Dokter Ahli Muda</t>
  </si>
  <si>
    <t>3311501316103965</t>
  </si>
  <si>
    <t>Dokter Spesialis Anestesiologi</t>
  </si>
  <si>
    <t>33.1057424/DS/01/449.1/0142/XII/2016</t>
  </si>
  <si>
    <t>dr. Sp. Anestesi</t>
  </si>
  <si>
    <t>Surakarta, 19/05/1984</t>
  </si>
  <si>
    <t>Ketua KSM Anestesi</t>
  </si>
  <si>
    <t>081327018290</t>
  </si>
  <si>
    <t>dr. Guntur Surya Alam, Sp.B., Sp. BA, Subsp.D.A(K), MPH, FICS, FAACT</t>
  </si>
  <si>
    <t>196811201997031003</t>
  </si>
  <si>
    <t>3411102417029519</t>
  </si>
  <si>
    <t>Dokter Spesialis Bedah Anak</t>
  </si>
  <si>
    <t>307B/1/SIPDS_33.10/VIII/2018</t>
  </si>
  <si>
    <t>dr. Sp. Bedah Anak (Konsultan)</t>
  </si>
  <si>
    <t>Purworejo, 20 November 1968</t>
  </si>
  <si>
    <t>Ketua KSM Bedah</t>
  </si>
  <si>
    <t>drg. Dimas Cahya Saputra, Sp.KG</t>
  </si>
  <si>
    <t>198407222020121001</t>
  </si>
  <si>
    <t>3412601215111494</t>
  </si>
  <si>
    <t>Dokter Gigi Spesialis Konservasi Gigi</t>
  </si>
  <si>
    <t>33.1057424/DSG/01/449.1/013/III/2016</t>
  </si>
  <si>
    <t>drg. Sp. KG</t>
  </si>
  <si>
    <t>Yogyakarta, 22/07/1984</t>
  </si>
  <si>
    <t>Ketua KSM Gigi dan Mulut</t>
  </si>
  <si>
    <t>dr. Hari Yusti Laksono, Sp.JP (K) FIHA</t>
  </si>
  <si>
    <t>198512252020121002</t>
  </si>
  <si>
    <t>3411402317110937</t>
  </si>
  <si>
    <t>Dokter Spesialis Penyakit Jantung dan Pembulu Darah</t>
  </si>
  <si>
    <t>33.1057424/DS/01/449.1/0185/V/2017</t>
  </si>
  <si>
    <t>dr. Sp. JP Sub Spesialis Kardio Intervensi (Konsultan)</t>
  </si>
  <si>
    <t>Klaten, 25/12/1985</t>
  </si>
  <si>
    <t>Ketua KSM Jantung dan Pembuluh Darah</t>
  </si>
  <si>
    <t>082225507793</t>
  </si>
  <si>
    <t>dr. Mega Dhestiana, Sp.KJ (K), M.Sc</t>
  </si>
  <si>
    <t>198112132022032001</t>
  </si>
  <si>
    <t>Dokter Ahli Pertama</t>
  </si>
  <si>
    <t>3421601215093133</t>
  </si>
  <si>
    <t>Dokter Spesialis Kedokteran Jiwa</t>
  </si>
  <si>
    <t>33.1057424/DS/03/449.1/0184/V/2017</t>
  </si>
  <si>
    <t>dr. Sp. Kedokteran Jiwa (Konsultan) Sub Spesialis Psikiatri Anak dan Remaja</t>
  </si>
  <si>
    <t>Yogyakarta, 13/12/1981</t>
  </si>
  <si>
    <t>Ketua KSM Kedokteran Jiwa</t>
  </si>
  <si>
    <t>BLU ke CPNS 2022</t>
  </si>
  <si>
    <t>08159511009</t>
  </si>
  <si>
    <t>dr. Riana Herviati, Sp.KK, M.Kes</t>
  </si>
  <si>
    <t>196907311999032001</t>
  </si>
  <si>
    <t>3421602317051970</t>
  </si>
  <si>
    <t>Dokter Spesialis Kulit dan Kelamin</t>
  </si>
  <si>
    <t>33.1057424/DS/01/449.1/033/III/2017</t>
  </si>
  <si>
    <t>dr. Sp. Kulit dan Kelamin</t>
  </si>
  <si>
    <t>Kodya Yogya</t>
  </si>
  <si>
    <t>Kodya Yogya, 31/7/1969</t>
  </si>
  <si>
    <t>Ketua KSM Kulit dan Kelamin</t>
  </si>
  <si>
    <t>dr. Dita Karini Ratnaningsih, Sp. Rad</t>
  </si>
  <si>
    <t>198203232022032001</t>
  </si>
  <si>
    <t>dr. Sp. Radiologi</t>
  </si>
  <si>
    <t>Bantul, 23-03-1982</t>
  </si>
  <si>
    <t>Ketua KSM Radiologi</t>
  </si>
  <si>
    <t>dr. Ika Nuraita, Sp.M</t>
  </si>
  <si>
    <t>198603092022032001</t>
  </si>
  <si>
    <t>dr. Sp. Mata</t>
  </si>
  <si>
    <t>Yogyakarta, 09-03-1986</t>
  </si>
  <si>
    <t>Ketua KSM Mata</t>
  </si>
  <si>
    <t>dr. Mochamad Munir, Sp.OG (K)</t>
  </si>
  <si>
    <t>196710301999031001</t>
  </si>
  <si>
    <t>3411301318093567</t>
  </si>
  <si>
    <t>Dokter Spesialis Obstetri dan Ginekologi</t>
  </si>
  <si>
    <t>020A/1/SIPDS_33.10/IX/2018</t>
  </si>
  <si>
    <t>dr. Sp. Obsgin (Konsultan) Sub Spesialis Fertilitas dan Endokrinologi Reproduksi</t>
  </si>
  <si>
    <t>Denpasar</t>
  </si>
  <si>
    <t>Denpasar, 30/10/1967</t>
  </si>
  <si>
    <t>Ketua KSM Obstetri &amp; Ginekologi</t>
  </si>
  <si>
    <t>dr. I . Dewa Nyoman Suci Anindya M, Sp.OT (K)</t>
  </si>
  <si>
    <t>197708122014121002</t>
  </si>
  <si>
    <t>3311103114150740</t>
  </si>
  <si>
    <t>33.1057424/DS/01/449.1/0159/V/2016</t>
  </si>
  <si>
    <t>dr. Sp. Bedah Ortopedi (Konsultan) Sub Spesialis Hand and Microsurgery</t>
  </si>
  <si>
    <t>Surakarta, 12 Agustus 1977</t>
  </si>
  <si>
    <t>Ketua KSM Orthopaedi &amp; Traumatologi</t>
  </si>
  <si>
    <t>dr. Bidari Kameswari, Sp.PA</t>
  </si>
  <si>
    <t>197706062014122001</t>
  </si>
  <si>
    <t>3421704317057004</t>
  </si>
  <si>
    <t>Dokter Spesialis Patologi Anatomi</t>
  </si>
  <si>
    <t>33.1057424/DS/01/449.1/068/III/2017</t>
  </si>
  <si>
    <t>dr. Sp. Patologi Anatomi</t>
  </si>
  <si>
    <t>Lombok Barat</t>
  </si>
  <si>
    <t>Lombok Barat, 6/6/1977</t>
  </si>
  <si>
    <t>Ketua KSM Patologi</t>
  </si>
  <si>
    <t>dr. Siswi Oktariani, M.Sc, Sp.PD, Subsp. HOM (K)</t>
  </si>
  <si>
    <t>197510302003122001</t>
  </si>
  <si>
    <t>3421401313031301</t>
  </si>
  <si>
    <t>Dokter Spesialis Penyakit Dalam</t>
  </si>
  <si>
    <t>33.1057424/DS/01/449.1/110/III/2014</t>
  </si>
  <si>
    <t>dr. Sp. Penyakit Dalam (Konsultan) Hematologi Onkologi Medik</t>
  </si>
  <si>
    <t>Semarang</t>
  </si>
  <si>
    <t>Semarang, 30/10/1975</t>
  </si>
  <si>
    <t>Ketua KSM Penyakit Dalam</t>
  </si>
  <si>
    <t>dr. Rinaras Anggraini, M.Sc, Sp.S</t>
  </si>
  <si>
    <t>197811132009122003</t>
  </si>
  <si>
    <t>3421605314073736</t>
  </si>
  <si>
    <t>Dokter Spesialis Syaraf</t>
  </si>
  <si>
    <t>33.1057424/DS/01/449.1/098/VIII/2014</t>
  </si>
  <si>
    <t>dr. Sp. Saraf</t>
  </si>
  <si>
    <t>Yogyakarta, 13/11/1978</t>
  </si>
  <si>
    <t>Ketua KSM Saraf</t>
  </si>
  <si>
    <t>dr. Arif Budiwan, Sp.THT-KL</t>
  </si>
  <si>
    <t>197905132008121001</t>
  </si>
  <si>
    <t>3311606315071683</t>
  </si>
  <si>
    <t>Dokter Spesialis Telinga Hidung Tenggorok-Bedah Kepala dan Leher</t>
  </si>
  <si>
    <t>33.1057424/DS/01/449.1/072/II/2015</t>
  </si>
  <si>
    <t>dr. Sp. THT</t>
  </si>
  <si>
    <t>Semarang, 13/5/1979</t>
  </si>
  <si>
    <t>Ketua KSM THT</t>
  </si>
  <si>
    <t>dr. Kanina Sista, Sp.F</t>
  </si>
  <si>
    <t>198807082018012001</t>
  </si>
  <si>
    <t>3421607217128047</t>
  </si>
  <si>
    <t>Dokter Spesialis Forensik</t>
  </si>
  <si>
    <t>33.1057424/DS/01/449.1/0191/VII/2017</t>
  </si>
  <si>
    <t>dr. Sp. Forensik</t>
  </si>
  <si>
    <t>Yogyakarta, 08/07/1988</t>
  </si>
  <si>
    <t>Ketua KSM Kedokteran Forensik</t>
  </si>
  <si>
    <t>Kepala Instalasi Kedokteran Forensik dan Pemulasaraan Jenazah</t>
  </si>
  <si>
    <t>dr. Adhika Restanto Purnomo, Sp.U (K)</t>
  </si>
  <si>
    <t>198108062008011009</t>
  </si>
  <si>
    <t>3411106417000852</t>
  </si>
  <si>
    <t>Dokter Spesialis Urologi</t>
  </si>
  <si>
    <t>33.1057424/DS/01/449.1/0183/III/2017</t>
  </si>
  <si>
    <t>dr. Sp. Bedah Urologi (Konsultan) Urologi Onkologi</t>
  </si>
  <si>
    <t>Madiun</t>
  </si>
  <si>
    <t>Madiun, 06/08/1981</t>
  </si>
  <si>
    <t>Ketua KSM Urologi</t>
  </si>
  <si>
    <t>dr. Hesty Lusinta, Sp.MK</t>
  </si>
  <si>
    <t>197307132024212001</t>
  </si>
  <si>
    <t>XI</t>
  </si>
  <si>
    <t>3121702315045255</t>
  </si>
  <si>
    <t>Dokter Spesialis Mikrobiologi Klinik</t>
  </si>
  <si>
    <t>33.1057424/DS/01/449.1/0162/VI/2016</t>
  </si>
  <si>
    <t>dr. Sp. Mikrobiologi Klinik</t>
  </si>
  <si>
    <t>Pancur Batu</t>
  </si>
  <si>
    <t>Pancur Batu, 13/07/1973</t>
  </si>
  <si>
    <t>Ketua KSM Mikrobiologi</t>
  </si>
  <si>
    <t>Ketua Komite Mutu</t>
  </si>
  <si>
    <t>PPPK 2023 TMT 1 April 2024</t>
  </si>
  <si>
    <t>dr. Yuli Artanti Patmawuri</t>
  </si>
  <si>
    <t>198707102015032002</t>
  </si>
  <si>
    <t>3321100217130524</t>
  </si>
  <si>
    <t>Dokter</t>
  </si>
  <si>
    <t>33.1057424/DU/449.1/0374/XII/2017</t>
  </si>
  <si>
    <t>dr. Umum</t>
  </si>
  <si>
    <t>Klaten, 10 Juli 1987</t>
  </si>
  <si>
    <t>Ketua KSM Umum</t>
  </si>
  <si>
    <t>Tugas Tambahan di Tim Kerja Pelayanan Medik</t>
  </si>
  <si>
    <t>dr. Muhammad Fakhri Raiyan Pratama, Sp.BS., M.Ked.Klin</t>
  </si>
  <si>
    <t>198811202022031001</t>
  </si>
  <si>
    <t>dr. Sp. Bedah Saraf</t>
  </si>
  <si>
    <t>Ujung Pandang</t>
  </si>
  <si>
    <t>Ujung Pandang, 20-11-1988</t>
  </si>
  <si>
    <t>Ketua KSM Bedah Saraf</t>
  </si>
  <si>
    <t>dr. Shinta Primasara, Sp.K.F.R., FRSport</t>
  </si>
  <si>
    <t>198009292010012002</t>
  </si>
  <si>
    <t>3321608318069515</t>
  </si>
  <si>
    <t>Dokter Spesialis Kedokteran Fisik dan Rehabilitasi</t>
  </si>
  <si>
    <t>33.1057424/DS/01/449.1/0114/II/2018</t>
  </si>
  <si>
    <t>dr. Sp. KFR</t>
  </si>
  <si>
    <t>Medan</t>
  </si>
  <si>
    <t>Medan, 29/09/1980</t>
  </si>
  <si>
    <t>Ketua KSM Ilmu Kedokteran Fisik dan Rehabilitasi</t>
  </si>
  <si>
    <t>dr. Zakiah Novianti, Sp.P (K) M.Kes, FAPSR, FISR</t>
  </si>
  <si>
    <t>198011012020122001</t>
  </si>
  <si>
    <t>3321604315060119</t>
  </si>
  <si>
    <t>Dokter Spesialis Paru</t>
  </si>
  <si>
    <t>33.1057424/DS/01/449.1/0145/XII/2015</t>
  </si>
  <si>
    <t>dr. Sp. Paru Subspesialis Imunologi dan Penyakit Paru Interstisial (Konsultan)</t>
  </si>
  <si>
    <t>Surakarta, 01/11/1980</t>
  </si>
  <si>
    <t>Ketua KSM Paru</t>
  </si>
  <si>
    <t>0271642811 / 08112552127</t>
  </si>
  <si>
    <t>dr. Mochammad Syafak Hanung, Sp.A, MPH</t>
  </si>
  <si>
    <t>196010091986101002</t>
  </si>
  <si>
    <t>Pembina Utama Madya</t>
  </si>
  <si>
    <t>IV/d</t>
  </si>
  <si>
    <t>Dokter Ahli Utama</t>
  </si>
  <si>
    <t>dr. Sp. Anak</t>
  </si>
  <si>
    <t>Yogyakarta, 09/10/1960</t>
  </si>
  <si>
    <t>dr. Desi Fajar Susanti, M.Sc, Sp.A (K)</t>
  </si>
  <si>
    <t>198012142020122001</t>
  </si>
  <si>
    <t>3421201315000882</t>
  </si>
  <si>
    <t>33.1057424/DS/01/449.1/0141/IX/2015</t>
  </si>
  <si>
    <t>dr. Sp. Anak (Konsultan) Tumbuh Kembang Anak</t>
  </si>
  <si>
    <t>Jakarta, 14/12/1980</t>
  </si>
  <si>
    <t>Kepala Instalasi Kesehatan Anak</t>
  </si>
  <si>
    <t>081225784390 / 081337646965</t>
  </si>
  <si>
    <t>dr. Arif Handiarsa, Sp.A, Subsp. ERIA (K), M.Sc</t>
  </si>
  <si>
    <t>198405272018011001</t>
  </si>
  <si>
    <t>34112013161103498</t>
  </si>
  <si>
    <t>33.1057424/DS/01/449.1/0133/XI/2016</t>
  </si>
  <si>
    <t>dr. Sp. Anak Subspesialis Emergensi dan Rawat Intensif Anak (Konsultan)</t>
  </si>
  <si>
    <t>Dumai</t>
  </si>
  <si>
    <t>Dumai, 27/05/1984</t>
  </si>
  <si>
    <t>081227212500</t>
  </si>
  <si>
    <t>dr. Hendra Purnasidha Bagaswoto, M.Sc, Sp.A, Subsp.Kardio (K)</t>
  </si>
  <si>
    <t>198303112018011002</t>
  </si>
  <si>
    <t>3411201316102318</t>
  </si>
  <si>
    <t>33.1057424/DS/01/449.1/0132/XI/2016</t>
  </si>
  <si>
    <t>dr. Sp. Anak (Konsultan) Kardiologi Anak</t>
  </si>
  <si>
    <t>Yogyakarta, 11/03/1983</t>
  </si>
  <si>
    <t>Tugas Tambahan di Tim Kerja Clinical Research Unit (CRU)</t>
  </si>
  <si>
    <t>081232396480</t>
  </si>
  <si>
    <t>dr. Febricilla Citra Pratiwi, M.Sc, Sp.A</t>
  </si>
  <si>
    <t>198902172023212005</t>
  </si>
  <si>
    <t>Palembang</t>
  </si>
  <si>
    <t>Palembang, 17 Februari 1989</t>
  </si>
  <si>
    <t>Dokter Tamu ke PPPK 2022</t>
  </si>
  <si>
    <t>dr. Dita Windarofah, Sp.A</t>
  </si>
  <si>
    <t>198710272024212025</t>
  </si>
  <si>
    <t>YOGYAKARTA, 27 Oktober 1987</t>
  </si>
  <si>
    <t>dr. Budi Santosa, Sp.An KIC</t>
  </si>
  <si>
    <t>196512011999031002</t>
  </si>
  <si>
    <t>3411501316031076</t>
  </si>
  <si>
    <t>33.1057424/DS/01/449.1/060/X/2017</t>
  </si>
  <si>
    <t>dr. Sp. Anestesi Konsultan Intensif Care</t>
  </si>
  <si>
    <t>Sleman</t>
  </si>
  <si>
    <t>Sleman, 1/12/1965</t>
  </si>
  <si>
    <t>Anggota KSM Anestesi</t>
  </si>
  <si>
    <t>dr. Isroful Ikhsan, M.Kes, Sp.An</t>
  </si>
  <si>
    <t>198205142022031001</t>
  </si>
  <si>
    <t>3311501215103947</t>
  </si>
  <si>
    <t>33.1057424/DS/01/449.1/0153/II/2016</t>
  </si>
  <si>
    <t>Magetan</t>
  </si>
  <si>
    <t>Magetan, 14/05/1982</t>
  </si>
  <si>
    <t>Kepala Instalasi Rawat Intensif</t>
  </si>
  <si>
    <t>BLU Ke CPNS 2021</t>
  </si>
  <si>
    <t>dr. Danis Woro Kuncoro Adi, Sp.An</t>
  </si>
  <si>
    <t>198707232024211012</t>
  </si>
  <si>
    <t>KLATEN, 23 Juli 1987</t>
  </si>
  <si>
    <t>Kepala Instalasi Gawat Darurat TMT 20 Agustus 2025</t>
  </si>
  <si>
    <t>198710182025061002</t>
  </si>
  <si>
    <t>KLATEN,18 Oktober 1987</t>
  </si>
  <si>
    <t xml:space="preserve">dr. Raden Aryo Nindito, Sp.B (K) Onk </t>
  </si>
  <si>
    <t>197010212008011009</t>
  </si>
  <si>
    <t>3311101316038276</t>
  </si>
  <si>
    <t>Dokter Spesialis Bedah</t>
  </si>
  <si>
    <t>33.1057424/DS/03/449.1/059/XI/2016</t>
  </si>
  <si>
    <t>dr. Sp. Bedah Onkologi (Konsultan)</t>
  </si>
  <si>
    <t>Yogyakarta, 21/10/1970</t>
  </si>
  <si>
    <t>Anggota KSM Bedah</t>
  </si>
  <si>
    <t>Dokter Spesialis Bedah Sub Spesialis Bedah Onkologi</t>
  </si>
  <si>
    <t>dr. Wachid Faozi Rachmad. Sp.B-KBD</t>
  </si>
  <si>
    <t>197203092000121004</t>
  </si>
  <si>
    <t>3411101316064434</t>
  </si>
  <si>
    <t>33.1057424/DS/01/449.1/0118/XI/2016</t>
  </si>
  <si>
    <t>dr. Sp. Bedah Degestif (Konsultan)</t>
  </si>
  <si>
    <t>Wonosobo</t>
  </si>
  <si>
    <t>Wonosobo, 09 Maret 1972</t>
  </si>
  <si>
    <t>Dokter Spesialis Bedah Sub Spesialis Bedah Digestif</t>
  </si>
  <si>
    <t>dr. Andrian Bimo Indrasmoro, Sp.B.Subsp.BVE(K)</t>
  </si>
  <si>
    <t>198208032024211008</t>
  </si>
  <si>
    <t>3411101315097899</t>
  </si>
  <si>
    <t>33.1057424/DS/03/449.1/0135/V/2017</t>
  </si>
  <si>
    <t>Sp.B.Subsp.BVE(K)</t>
  </si>
  <si>
    <t>Jakarta, 03/08/1982</t>
  </si>
  <si>
    <t>Dokter Spesialis Bedah Sub Spesialis Bedah Vaskuler, PPPK 2023 TMT 1 April 2024</t>
  </si>
  <si>
    <t>0816628066</t>
  </si>
  <si>
    <t>dr. Dian Ibnu Wahid, Sp.B</t>
  </si>
  <si>
    <t>198312182019021001</t>
  </si>
  <si>
    <t>dr. Sp. Bedah</t>
  </si>
  <si>
    <t>Manokwari</t>
  </si>
  <si>
    <t>Manokwari, 12/18/1983</t>
  </si>
  <si>
    <t>dr. Bayu Suhartadi, Sp.B.P</t>
  </si>
  <si>
    <t>198010132020121001</t>
  </si>
  <si>
    <t>3111104216090233</t>
  </si>
  <si>
    <t>Dokter Spesialis Bedah Plastik</t>
  </si>
  <si>
    <t>33.1057424/DS/01/449.1/0181/III/2017</t>
  </si>
  <si>
    <t>dr. Sp. Bedah Plastik</t>
  </si>
  <si>
    <t>Sleman, 13/10/1980</t>
  </si>
  <si>
    <t>081392123482</t>
  </si>
  <si>
    <t>dr. Dhyas Munandar Arya Sasmita, MMR, Sp.B</t>
  </si>
  <si>
    <t>198804212022031001</t>
  </si>
  <si>
    <t>Yogyakarta, 21-04-1988</t>
  </si>
  <si>
    <t>dr. Taufik Nur Yahya, Sp. BTKV</t>
  </si>
  <si>
    <t>20230519861220</t>
  </si>
  <si>
    <t>DOKTER TAMU</t>
  </si>
  <si>
    <t>dr. Sp. BTKV</t>
  </si>
  <si>
    <t>Klaten, 20 Desember 1986</t>
  </si>
  <si>
    <t>199208012025062008</t>
  </si>
  <si>
    <t>KEBUMEN</t>
  </si>
  <si>
    <t>KEBUMEN,01 Agustus 1992</t>
  </si>
  <si>
    <t>199305132025062003</t>
  </si>
  <si>
    <t>JAMBI</t>
  </si>
  <si>
    <t>JAMBI,13 Mei 1993</t>
  </si>
  <si>
    <t>dr. Wisnu Baskoro, Sp.BS (K) FINSS, FINPS</t>
  </si>
  <si>
    <t>198604192020121001</t>
  </si>
  <si>
    <t>Dokter Spesialis Bedah Saraf</t>
  </si>
  <si>
    <t>dr. Sp. Bedah Saraf (Konsultan) Neurospine</t>
  </si>
  <si>
    <t>Surabaya</t>
  </si>
  <si>
    <t>Surabaya, 4/19/1986</t>
  </si>
  <si>
    <t xml:space="preserve">Anggota KSM Bedah Saraf </t>
  </si>
  <si>
    <t>Kepala Instalasi Bedah Sentral</t>
  </si>
  <si>
    <t>drg. Siti Yustika Rosmilasari</t>
  </si>
  <si>
    <t>197704272006042011</t>
  </si>
  <si>
    <t>Dokter Gigi Ahli Madya</t>
  </si>
  <si>
    <t>3522100316008399</t>
  </si>
  <si>
    <t>Dokter Gigi</t>
  </si>
  <si>
    <t>33.1057424/DG/01/449.1/095/IX/2016</t>
  </si>
  <si>
    <t>dr. Gigi</t>
  </si>
  <si>
    <t>Jakarta, 27/04/1977</t>
  </si>
  <si>
    <t>Tugas Tambahan di Sub Tim Kerja Pelatihan pada Tim Kerja Pendidikan dan Pelatihan</t>
  </si>
  <si>
    <t>drg. Kusumawati Sukadi, Sp.BM, Supsp.T.M.T.M.J.(K)</t>
  </si>
  <si>
    <t>197402232008122001</t>
  </si>
  <si>
    <t>3422301318089709</t>
  </si>
  <si>
    <t>Dokter Gigi Spesialis Bedah Mulut dan Maksilofasial</t>
  </si>
  <si>
    <t>33.1057424/DGS/02/449.1/002/VI/2018</t>
  </si>
  <si>
    <t>drg. Sp. Bedah Mulut Subspesialis Bedah Trauma Maksilofasial dan Kelainan Tempora Mandibular Joint</t>
  </si>
  <si>
    <t>Yogyakarta, 23/2/1974</t>
  </si>
  <si>
    <t>drg. Rina Febriani Puspitasari</t>
  </si>
  <si>
    <t>198702152015032002</t>
  </si>
  <si>
    <t>Dokter Gigi  Muda</t>
  </si>
  <si>
    <t>3422100216126176</t>
  </si>
  <si>
    <t>33.1057424/DG/01/449.1/062/XII/2016</t>
  </si>
  <si>
    <t>Dr. Gigi</t>
  </si>
  <si>
    <t>Klaten, 15/2/1987</t>
  </si>
  <si>
    <t>drg. Sradha Putra, Sp.Pros</t>
  </si>
  <si>
    <t>198710072020121006</t>
  </si>
  <si>
    <t>3412501318125995</t>
  </si>
  <si>
    <t>Dokter Gigi Spesialis Prostodonsia</t>
  </si>
  <si>
    <t>33.1057424/DGS/03/449.1/0105/V/2018</t>
  </si>
  <si>
    <t>drg. Sp. Prostodonti</t>
  </si>
  <si>
    <t>Jakarta, 07 Oktober 1987</t>
  </si>
  <si>
    <t>Kepala Instalasi Rawat Jalan</t>
  </si>
  <si>
    <t>drg. Lydia Astari, Sp.Ort</t>
  </si>
  <si>
    <t>198503022020122002</t>
  </si>
  <si>
    <t>drg. Sp. Ortodonsia</t>
  </si>
  <si>
    <t>Pekanbaru</t>
  </si>
  <si>
    <t>Pekanbaru, 1985-03-02</t>
  </si>
  <si>
    <t>CPNS 2021</t>
  </si>
  <si>
    <t>drg. Taufik Nur Alamsyah, Sp.Ort</t>
  </si>
  <si>
    <t>198408012023211003</t>
  </si>
  <si>
    <t>Dokter Gigi Ahli Pertama</t>
  </si>
  <si>
    <t>3412201215098233</t>
  </si>
  <si>
    <t>Dokter Gigi Spesialis Ortodonsia</t>
  </si>
  <si>
    <t>33.1057424/DGS/01/449.1/017/I/2018</t>
  </si>
  <si>
    <t>Kab. Gunung Kidul</t>
  </si>
  <si>
    <t>Kab. Gunung Kidul, 1 Agustus 1984</t>
  </si>
  <si>
    <t>dr. Mayrovi Dewi Nyuyorike Djati, Sp.K.F.R</t>
  </si>
  <si>
    <t>198305092024212016</t>
  </si>
  <si>
    <t>Surakarta, 9 Mei 1983</t>
  </si>
  <si>
    <t>Anggota KSM Ilmu Kedokteran Fisik dan Rehabilitasi</t>
  </si>
  <si>
    <t>Kepala Instalasi Rehabilitasi Medik</t>
  </si>
  <si>
    <t>dr. Rendi Asmara, Sp.JP (K) FIHA</t>
  </si>
  <si>
    <t>198005222015031001</t>
  </si>
  <si>
    <t>Jakarta, 5/22/1980</t>
  </si>
  <si>
    <t>Anggota KSM Jantung dan Pembuluh Darah</t>
  </si>
  <si>
    <t>dr. Nabila Sabri Nahdi, Sp.JP</t>
  </si>
  <si>
    <t>20240219891207</t>
  </si>
  <si>
    <t>dr. Sp. JP</t>
  </si>
  <si>
    <t>Kebumen</t>
  </si>
  <si>
    <t>Kebumen, 7 Desember 1989</t>
  </si>
  <si>
    <t>199005262025061002</t>
  </si>
  <si>
    <t>MAGELANG</t>
  </si>
  <si>
    <t>MAGELANG,26 Mei 1990</t>
  </si>
  <si>
    <t>dr.  Abu Haris Assiediqie, Sp.KJ</t>
  </si>
  <si>
    <t>196904282009121001</t>
  </si>
  <si>
    <t>3411601317081989</t>
  </si>
  <si>
    <t>Dokter Spesialias Kesehatan Jiwa</t>
  </si>
  <si>
    <t>33.1057424/DS/01/449.1/0168/XI/2017</t>
  </si>
  <si>
    <t>dr. Sp. Kedokteran Jiwa</t>
  </si>
  <si>
    <t>Klaten, 28 April 1969</t>
  </si>
  <si>
    <t>Anggota KSM Kedokteran Jiwa</t>
  </si>
  <si>
    <t>dr. Nur Dwita Larasati, M.Sc, Sp.KK.</t>
  </si>
  <si>
    <t>197706042010122002</t>
  </si>
  <si>
    <t>3421602315075319</t>
  </si>
  <si>
    <t>33.1057424/DS/01/449.1/109/IV/2015</t>
  </si>
  <si>
    <t>Yogyakarta, 4 Juni 1977</t>
  </si>
  <si>
    <t>Anggota KSM Kulit dan Kelamin</t>
  </si>
  <si>
    <t>dr. Fitria Natliani, Sp.M, M.Sc</t>
  </si>
  <si>
    <t>197912222008122001</t>
  </si>
  <si>
    <t>3421603316066990</t>
  </si>
  <si>
    <t>Dokter Spesialis Mata</t>
  </si>
  <si>
    <t>33.1057424/DS/01/449.1/027/IX/2016</t>
  </si>
  <si>
    <t>Jakarta, 22/12/1979</t>
  </si>
  <si>
    <t>Anggota KSM Mata</t>
  </si>
  <si>
    <t>dr. Arsi Noviana Sari, Sp.M</t>
  </si>
  <si>
    <t>197711212007012006</t>
  </si>
  <si>
    <t>3421603315005623</t>
  </si>
  <si>
    <t>33.1057424/DS/01/449.1/0166/IX/2016</t>
  </si>
  <si>
    <t>Jakarta, 21/11/1977</t>
  </si>
  <si>
    <t>08121944355</t>
  </si>
  <si>
    <t>dr. Lucia Hetty Pujiastuti, Sp. M</t>
  </si>
  <si>
    <t>198004012024212006</t>
  </si>
  <si>
    <t>Klaten, 1 April 1980</t>
  </si>
  <si>
    <t>199310072025062002</t>
  </si>
  <si>
    <t>SLEMAN</t>
  </si>
  <si>
    <t>SLEMAN,07 Oktober 1993</t>
  </si>
  <si>
    <t>dr. Brian Prima Artha, Sp.OG (K)</t>
  </si>
  <si>
    <t>198402042018011001</t>
  </si>
  <si>
    <t>3411301213091511</t>
  </si>
  <si>
    <t>33.1057424/DS/01/449.1/0144/XII/2015</t>
  </si>
  <si>
    <t>dr. Sp. Obsgin (Konsultan) Sub Spesialis Onkologi Ginekologi</t>
  </si>
  <si>
    <t>Yogyakarta, 04/02/1984</t>
  </si>
  <si>
    <t>Anggota KSM Obstetri &amp; Ginekologi</t>
  </si>
  <si>
    <t>Kepala Instalasi Maternitas dan reproduksi</t>
  </si>
  <si>
    <t>08112559100 / 085292433799</t>
  </si>
  <si>
    <t>dr. Roy Jansen Sinaga, Sp.OG</t>
  </si>
  <si>
    <t>198806222022031001</t>
  </si>
  <si>
    <t>dr. Sp. Obsgin</t>
  </si>
  <si>
    <t>Sorong</t>
  </si>
  <si>
    <t>Sorong, 22-06-1988</t>
  </si>
  <si>
    <t>dr. Dewanto Suryoningrat, M.M.R., Sp.O.G</t>
  </si>
  <si>
    <t>198809182024211008</t>
  </si>
  <si>
    <t>YOGYAKARTA</t>
  </si>
  <si>
    <t>YOGYAKARTA, 18 September 1988</t>
  </si>
  <si>
    <t>198201012010122003</t>
  </si>
  <si>
    <t>Sleman, 01 Januari 1982</t>
  </si>
  <si>
    <t>Pindahan dari RSUP Dr. Sardjito</t>
  </si>
  <si>
    <t>dr. Prahesta Adi Wibowo, Sp.OT (K) Spine</t>
  </si>
  <si>
    <t>198604022018011001</t>
  </si>
  <si>
    <t>3411103216108334</t>
  </si>
  <si>
    <t>33.1057424/DS/01/449.1/0174/XII/2016</t>
  </si>
  <si>
    <t>dr. Sp. Bedah Ortopedi (Konsultan) Sub Spesialis Spine</t>
  </si>
  <si>
    <t>Yogyakarta, 02/04/86</t>
  </si>
  <si>
    <t>Anggota KSM Orthopaedi &amp; Traumatologi</t>
  </si>
  <si>
    <t>081226633382</t>
  </si>
  <si>
    <t>dr. Hastomo Agung Wibowo, Sp.OT.Subsp.OBS(K)</t>
  </si>
  <si>
    <t>198610132019021001</t>
  </si>
  <si>
    <t>3311103318114517</t>
  </si>
  <si>
    <t>33.1057424/DS/01/449.1/0206/III/2018</t>
  </si>
  <si>
    <t>dr. Sp. Bedah Ortopedi (Konsultan) Subspesialis Bahu dan Siku</t>
  </si>
  <si>
    <t>Jakarta, 10/13/1986</t>
  </si>
  <si>
    <t>198712122020121002</t>
  </si>
  <si>
    <t>dr. Sp. Bedah Ortopedi</t>
  </si>
  <si>
    <t>SEMARANG / 1987-12-12</t>
  </si>
  <si>
    <t>dr. Indah Juliana, Sp.P (K), M.Kes</t>
  </si>
  <si>
    <t>198207292022032001</t>
  </si>
  <si>
    <t>3321604316069016</t>
  </si>
  <si>
    <t>33.1057424/DS/01/449.1/0204/III/2018</t>
  </si>
  <si>
    <t>dr. Sp. Paru Sub Spesialis Pulmonologi Intervensi dan Kegawatdaruratan Napas (Konsultan)</t>
  </si>
  <si>
    <t>Pangkal Pinang</t>
  </si>
  <si>
    <t>Pangkal Pinang, 29 Juli 1982</t>
  </si>
  <si>
    <t>Ketua Komite Pengendalian Resistensi Antimikroba</t>
  </si>
  <si>
    <t>dr. Kurniyanto, Sp.P (K) Onk</t>
  </si>
  <si>
    <t>197312252008121003</t>
  </si>
  <si>
    <t>3511604315046119</t>
  </si>
  <si>
    <t>33.1057424/DS/01/449.1/108/III/2015</t>
  </si>
  <si>
    <t>dr. Sp. Paru Sub Spesialis  Onkologi Toraks (Konsultan)</t>
  </si>
  <si>
    <t>Surakarta, 25/12/1973</t>
  </si>
  <si>
    <t>Kepala Instalasi Rawat Inap</t>
  </si>
  <si>
    <t>dr. Wahid Syamsul Hadi, M.Sc, Sp.PK</t>
  </si>
  <si>
    <t>198001042008121002</t>
  </si>
  <si>
    <t>3411502318078448</t>
  </si>
  <si>
    <t>Dokter Spesialis Patologi Klinik</t>
  </si>
  <si>
    <t>33.1057424/DS/01/449.1/0205/III/2018</t>
  </si>
  <si>
    <t>dr. Sp. Patologi Klinik</t>
  </si>
  <si>
    <t>Jakarta, 04 Januari 1980</t>
  </si>
  <si>
    <t>Anggota KSM Patologi</t>
  </si>
  <si>
    <t>Kepala Instalasi Laboratorium</t>
  </si>
  <si>
    <t>BANYUMAS</t>
  </si>
  <si>
    <t>dr. Yunan Nadhif Fanani, Sp.PK, M.Med.Sc.</t>
  </si>
  <si>
    <t>198012012015031001</t>
  </si>
  <si>
    <t>3311100317080828</t>
  </si>
  <si>
    <t>33.1057424/DU/01/449.1/0391/X/2017</t>
  </si>
  <si>
    <t>Surakarta, 01 Desember 1980</t>
  </si>
  <si>
    <t>Ketua Komite Pencegahan dan Pengendalian Infeksi</t>
  </si>
  <si>
    <t>Selesai tugas belajar dari dr. umum ke Sp.PK</t>
  </si>
  <si>
    <t>198707092025062001</t>
  </si>
  <si>
    <t>WONOGIRI</t>
  </si>
  <si>
    <t>WONOGIRI,09 Juli 1987</t>
  </si>
  <si>
    <t>dr. Tri Widodo, Sp.PD, Subsp.GH (K), FINASIM</t>
  </si>
  <si>
    <t>196703171997031002</t>
  </si>
  <si>
    <t>3411401314082060</t>
  </si>
  <si>
    <t>33.1057468/DS/02/449.1/077/VII/2015</t>
  </si>
  <si>
    <t>dr. Sp. Penyakit Dalam (Konsultan) Ginjal Hipertensi</t>
  </si>
  <si>
    <t>Kebumen, 17/3/1967</t>
  </si>
  <si>
    <t>Anggota KSM Penyakit Dalam</t>
  </si>
  <si>
    <t>dr. Achmad Thabrani, Sp.PD, FINASIM</t>
  </si>
  <si>
    <t>dr. Sp. Penyakit Dalam</t>
  </si>
  <si>
    <t>198401102019021001</t>
  </si>
  <si>
    <t>3411401316100301</t>
  </si>
  <si>
    <t>33.1057424/DS/01/449.1/0170/XII/2016</t>
  </si>
  <si>
    <t>Sragen, 10/01/1984</t>
  </si>
  <si>
    <t>085299738852</t>
  </si>
  <si>
    <t>dr. Puspito Dewi, Sp.PD</t>
  </si>
  <si>
    <t>197103122003122001</t>
  </si>
  <si>
    <t>3421401218031302</t>
  </si>
  <si>
    <t>Klaten, 12/3/1971</t>
  </si>
  <si>
    <t>dr. Fredie Irijanto, PhD.Sp.PD-KGH, FINASIM</t>
  </si>
  <si>
    <t>197004162000121005</t>
  </si>
  <si>
    <t>3411401317043044</t>
  </si>
  <si>
    <t>33.1057424/DS/01/449.1/0203/II/2018</t>
  </si>
  <si>
    <t>7/1/20118</t>
  </si>
  <si>
    <t>Surakarta, 16 April 1970</t>
  </si>
  <si>
    <t>Kepala Instalasi Hemodialisa</t>
  </si>
  <si>
    <t>dr. Ahmad Syahri, Sp.PD</t>
  </si>
  <si>
    <t>197710212006041007</t>
  </si>
  <si>
    <t>Klaten, 21/10/1977</t>
  </si>
  <si>
    <t>dr. Phitra Sekar Dianggra, Sp.GK</t>
  </si>
  <si>
    <t>198701102020122005</t>
  </si>
  <si>
    <t>3321701318133447</t>
  </si>
  <si>
    <t>Dokter Spesialis Gizi Klinik</t>
  </si>
  <si>
    <t>33.1057424/DS/01/449.1/0209/IV/2018</t>
  </si>
  <si>
    <t>dr. Sp. Gizi Klinis</t>
  </si>
  <si>
    <t>Jambi</t>
  </si>
  <si>
    <t>Jambi, 10/01/1987</t>
  </si>
  <si>
    <t>dr. Nindya Putri Permata Risadayu, Sp.PD</t>
  </si>
  <si>
    <t>199003222024212027</t>
  </si>
  <si>
    <t>Karanganyar</t>
  </si>
  <si>
    <t>Karanganyar, 22 Maret 1990</t>
  </si>
  <si>
    <t>199112242025061005</t>
  </si>
  <si>
    <t>SURABAYA</t>
  </si>
  <si>
    <t>SURABAYA,24 Desember 1991</t>
  </si>
  <si>
    <t>dr. Anantia Sari Utami, Sp.Rad, M.Sc</t>
  </si>
  <si>
    <t>197709292008122001</t>
  </si>
  <si>
    <t>3421503315078632</t>
  </si>
  <si>
    <t>Dokter Spesialis Radiologi</t>
  </si>
  <si>
    <t>33.1057424/DS/01/449.1/0123/XII/2015</t>
  </si>
  <si>
    <t>Yogyakarta, 29/9/1977</t>
  </si>
  <si>
    <t>Anggota KSM Radiologi</t>
  </si>
  <si>
    <t>Kepala Instalasi Radiologi</t>
  </si>
  <si>
    <t>dr. Lucky Taufika Yuhedi,  Sp.Onk.Rad</t>
  </si>
  <si>
    <t>198012032009121002</t>
  </si>
  <si>
    <t>Padang</t>
  </si>
  <si>
    <t>Padang, 03/12/1980</t>
  </si>
  <si>
    <t>dr. Bramadi Nugroho, Sp. Rad (K)</t>
  </si>
  <si>
    <t>198702082022031001</t>
  </si>
  <si>
    <t>dr. Sp. Rad (K) Radiologi Intervensional</t>
  </si>
  <si>
    <t>Pringsewu</t>
  </si>
  <si>
    <t>Pringsewu, 08-02-1987</t>
  </si>
  <si>
    <t>dr. Anggun Esti Wardani, Sp.Rad</t>
  </si>
  <si>
    <t>20200819821220</t>
  </si>
  <si>
    <t>Surabaya, 20 Desember 1982</t>
  </si>
  <si>
    <t>dr. Lukman Hakim, Sp.S</t>
  </si>
  <si>
    <t>196703072008011010</t>
  </si>
  <si>
    <t>3411605316031534</t>
  </si>
  <si>
    <t>33.1057424/DS/01/449.1/058/XII/2016</t>
  </si>
  <si>
    <t>Serang</t>
  </si>
  <si>
    <t>Serang, 7/3/1967</t>
  </si>
  <si>
    <t>Anggota KSM Saraf</t>
  </si>
  <si>
    <t>dr. Retno Tunjungsari, Sp.S</t>
  </si>
  <si>
    <t>2008040123</t>
  </si>
  <si>
    <t>3321605216079420</t>
  </si>
  <si>
    <t>33.1057424/DS/02/449.1/0162/VIII/2016</t>
  </si>
  <si>
    <t>Banjarnegara</t>
  </si>
  <si>
    <t>Banjarnegara, 20/05/1982</t>
  </si>
  <si>
    <t>dr. Adika Mianoki, Sp.S FINA (K)</t>
  </si>
  <si>
    <t>198510172018011001</t>
  </si>
  <si>
    <t>3411605317108328</t>
  </si>
  <si>
    <t>33.1057424/DS/01/449.1/0200/I/2018</t>
  </si>
  <si>
    <t>dr. Sp. Saraf (Konsultan) Neurointervensi</t>
  </si>
  <si>
    <t>Sleman, 17 Oktober 1985</t>
  </si>
  <si>
    <t>dr. Limawan Susilo Nugroho, Sp.N</t>
  </si>
  <si>
    <t>198307042009121001</t>
  </si>
  <si>
    <t>3311100317091611</t>
  </si>
  <si>
    <t>Selama Mengikuti Program dr sp</t>
  </si>
  <si>
    <t>33.1057424/DU/01/449.1/032/VII/2013</t>
  </si>
  <si>
    <t>Klaten, 04/07/1983</t>
  </si>
  <si>
    <t>199011092025062003</t>
  </si>
  <si>
    <t>BLORA</t>
  </si>
  <si>
    <t>BLORA,09 November 1990</t>
  </si>
  <si>
    <t>Dr.dr. Budi Santoso, Sp.THT-KL, M.Sc</t>
  </si>
  <si>
    <t>197208112003121002</t>
  </si>
  <si>
    <t>3411606316031300</t>
  </si>
  <si>
    <t xml:space="preserve"> 33.1057416/DS/01/449.1/011/V/2016</t>
  </si>
  <si>
    <t>Sragen, 11/8/1972</t>
  </si>
  <si>
    <t>Anggota KSM THT</t>
  </si>
  <si>
    <t>dr. M. Arief Purnanta, M.Kes, Sp.T.H.T.B.K.L., Subsp.N.O(K)</t>
  </si>
  <si>
    <t>197105032008011018</t>
  </si>
  <si>
    <t>3411606317087351</t>
  </si>
  <si>
    <t>33.1057424/DS/01/449.1/094/III/2018</t>
  </si>
  <si>
    <t>dr. Sp. THT (Konsultan) Sub Spesialis Neurotologi</t>
  </si>
  <si>
    <t>Yogyakarta, 3/5/1971</t>
  </si>
  <si>
    <t>Ketua Komite Etik dan Hukum</t>
  </si>
  <si>
    <t>dr. Pramavita Nur Junieva, Sp.THT-KL</t>
  </si>
  <si>
    <t>198406062019022001</t>
  </si>
  <si>
    <t>3421606316098746</t>
  </si>
  <si>
    <t>33.1057424/DS/01/449.1/0195/XII/2017</t>
  </si>
  <si>
    <t>Klaten, 6/6/1984</t>
  </si>
  <si>
    <t>dr. Fajar Sudarsono, Sp.U (K)</t>
  </si>
  <si>
    <t>197401032008121003</t>
  </si>
  <si>
    <t>3111106315085344</t>
  </si>
  <si>
    <t>dr. Sp. Bedah Urologi (Konsultan) Pediatrik</t>
  </si>
  <si>
    <t>Sukoharjo, 3/1/1974</t>
  </si>
  <si>
    <t>Anggota KSM Urologi</t>
  </si>
  <si>
    <t>dr. Raden Fenditya Agung Nugroho, Sp.U</t>
  </si>
  <si>
    <t>198103202020121001</t>
  </si>
  <si>
    <t>dr. Sp. Bedah Urologi</t>
  </si>
  <si>
    <t xml:space="preserve">Yogyakarta </t>
  </si>
  <si>
    <t>Yogyakarta, 03/20/1981</t>
  </si>
  <si>
    <t xml:space="preserve">dr. Beta Ahlam Gizela, Sp. F (K), DFM </t>
  </si>
  <si>
    <t>197105311999032000</t>
  </si>
  <si>
    <t>dr. Sp. F (K), DFM</t>
  </si>
  <si>
    <t>Yogyakarta, 31 Mei 1971</t>
  </si>
  <si>
    <t>Anggota KSM Kedokteran Forensik</t>
  </si>
  <si>
    <t>198805312025062001</t>
  </si>
  <si>
    <t>SUKOHARJO</t>
  </si>
  <si>
    <t>SUKOHARJO,31 Mei 1988</t>
  </si>
  <si>
    <t>Anggota KSM Mikrobiologi Klinik</t>
  </si>
  <si>
    <t>dr. Dhedy Alther Wicaksono</t>
  </si>
  <si>
    <t>198307032014021001</t>
  </si>
  <si>
    <t>3311100318095803</t>
  </si>
  <si>
    <t>33.1057424/DU/01/449.1/0181/VII/2018</t>
  </si>
  <si>
    <t>Klaten, 03 Juli 1983</t>
  </si>
  <si>
    <t>Anggota KSM Umum</t>
  </si>
  <si>
    <t>dr. Polikarpus Mosad Maliluan</t>
  </si>
  <si>
    <t>198701232015031004</t>
  </si>
  <si>
    <t>5111100216118025</t>
  </si>
  <si>
    <t>33.1057424/DU/01/449.1/064/III/2018</t>
  </si>
  <si>
    <t>Jakarta, 23 Januari 1987</t>
  </si>
  <si>
    <t>dr. Chyntia Kurnita Wibisana</t>
  </si>
  <si>
    <t>198610242023212003</t>
  </si>
  <si>
    <t>3421100217123436</t>
  </si>
  <si>
    <t>33.1057424/DU/01/449.1/0302/X/2017</t>
  </si>
  <si>
    <t>Surakarta, 24 Oktober 1986</t>
  </si>
  <si>
    <t>dr. Nurul Ekasari Febriana</t>
  </si>
  <si>
    <t>198602192023212007</t>
  </si>
  <si>
    <t>3321100217126923</t>
  </si>
  <si>
    <t>33.1057424/DU/01/449.1/0176/X/2017</t>
  </si>
  <si>
    <t>Klaten, 19 Februari 1986</t>
  </si>
  <si>
    <t>dr. Priyo Eko Hedi Herlambang</t>
  </si>
  <si>
    <t>198602262015031001</t>
  </si>
  <si>
    <t>6311100217133450</t>
  </si>
  <si>
    <t>33.1057424/DU/01/449.1/0402/I/2018</t>
  </si>
  <si>
    <t>Pasuruan</t>
  </si>
  <si>
    <t>Pasuruan, 26/02/1986</t>
  </si>
  <si>
    <t>dr. Riyan Rochaniawan</t>
  </si>
  <si>
    <t>199001302018011001</t>
  </si>
  <si>
    <t>3311100116163902</t>
  </si>
  <si>
    <t>33.1057424/DU/01/449.1/0471/III/2017</t>
  </si>
  <si>
    <t>Solo</t>
  </si>
  <si>
    <t>Solo, 30/01/1990</t>
  </si>
  <si>
    <t>082138024242</t>
  </si>
  <si>
    <t>dr. Valyandra Praszita PR, MMR</t>
  </si>
  <si>
    <t>198903282022031001</t>
  </si>
  <si>
    <t>3411100115148598</t>
  </si>
  <si>
    <t>33.1057424/DU/01/449.1/0464/II/2017</t>
  </si>
  <si>
    <t>Klaten, 28/03/1989</t>
  </si>
  <si>
    <t>085743644220</t>
  </si>
  <si>
    <t>dr. Afifah Isnaini</t>
  </si>
  <si>
    <t>198809042022032001</t>
  </si>
  <si>
    <t>3421100115148654</t>
  </si>
  <si>
    <t>33.1057424/DU/01/449.1/0460/II/2017</t>
  </si>
  <si>
    <t>Sleman, 04/09/1988</t>
  </si>
  <si>
    <t>Petugas Casemix</t>
  </si>
  <si>
    <t>BLU Ke CPNS 2022</t>
  </si>
  <si>
    <t>085643293728</t>
  </si>
  <si>
    <t>dr. Hanif Mustikasari</t>
  </si>
  <si>
    <t>199105312022032001</t>
  </si>
  <si>
    <t>3321100116161082</t>
  </si>
  <si>
    <t>33.1057424/DU/02/449.1/0467/II/2017</t>
  </si>
  <si>
    <t>Karanganyar, 31/05/1991</t>
  </si>
  <si>
    <t>BLU Ke CPNS 2023</t>
  </si>
  <si>
    <t>08562849550</t>
  </si>
  <si>
    <t>dr. Didit Fajar Nugroho</t>
  </si>
  <si>
    <t>2017010602</t>
  </si>
  <si>
    <t>3311100116166105</t>
  </si>
  <si>
    <t>33.1057424/DU/01/449.1/0463/II/2017</t>
  </si>
  <si>
    <t>Klaten, 03/05/1990</t>
  </si>
  <si>
    <t>Asisten Manajer Non Jaminan Kesehatan Nasional</t>
  </si>
  <si>
    <t>085642107115</t>
  </si>
  <si>
    <t>dr. Yovita Nindita Putri Pamungkas</t>
  </si>
  <si>
    <t>199203272018012001</t>
  </si>
  <si>
    <t>3421100116163365</t>
  </si>
  <si>
    <t>33.1057424/DU/01/449.1/0466/II/2017</t>
  </si>
  <si>
    <t>Yogyakarta, 27/12/1992</t>
  </si>
  <si>
    <t>081903704368</t>
  </si>
  <si>
    <t>dr. Fitriana Cahyani</t>
  </si>
  <si>
    <t>199104142018012001</t>
  </si>
  <si>
    <t>3321100116163003</t>
  </si>
  <si>
    <t>33.1057424/DU/02/449.1/0485/I/2018</t>
  </si>
  <si>
    <t>Klaten, 14 April 1991</t>
  </si>
  <si>
    <t>dr. Ridwan Bayu Sunaryo</t>
  </si>
  <si>
    <t>199103032018011001</t>
  </si>
  <si>
    <t>3411100116163412</t>
  </si>
  <si>
    <t>33.1057424/DU/01/449.1/0520/I/2018</t>
  </si>
  <si>
    <t>Klaten, 03 Maret 1991</t>
  </si>
  <si>
    <t>dr. Wicaksono Sigit Prasetyo</t>
  </si>
  <si>
    <t>198905062018011001</t>
  </si>
  <si>
    <t>3411100116157649</t>
  </si>
  <si>
    <t>33.1057424/DU/01/449.1/0519/I/2018</t>
  </si>
  <si>
    <t>Cilacap, 06 Mei 1989</t>
  </si>
  <si>
    <t>dr. Hanum Salsabila</t>
  </si>
  <si>
    <t>199402282022032002</t>
  </si>
  <si>
    <t>Bandar Lampung</t>
  </si>
  <si>
    <t>Bandar Lampung, 28-02-1994</t>
  </si>
  <si>
    <t>dr. Fatikha Fajar Wiati</t>
  </si>
  <si>
    <t>199401162022032001</t>
  </si>
  <si>
    <t>Klaten, 16-01-1994</t>
  </si>
  <si>
    <t>dr. Fatikha Lidea Riska Murtiningrum</t>
  </si>
  <si>
    <t>20240219970630</t>
  </si>
  <si>
    <t>Bantul, 30 Juni 1997</t>
  </si>
  <si>
    <t>dr. Kusumastuti Candra Dewi</t>
  </si>
  <si>
    <t>2024021999620</t>
  </si>
  <si>
    <t>Sleman, 20 Juni 1999</t>
  </si>
  <si>
    <t>Person in Charge (PIC) Sister Hospital dan Perjanjian Luar Negeri pada Tim Kerja Pendidikan dan Pelatihan</t>
  </si>
  <si>
    <t>dr. Nur Amalia Rusydina Firwanda</t>
  </si>
  <si>
    <t>2024021998819</t>
  </si>
  <si>
    <t>Sleman, 19 Agustus 1998</t>
  </si>
  <si>
    <t>dr. Dyah Wulaningsih Retno Edi</t>
  </si>
  <si>
    <t>2024021993112</t>
  </si>
  <si>
    <t>Jakarta, 2 November 1993</t>
  </si>
  <si>
    <t>Tugas tambahan di Tim Kerja  Clinical Research Unit (CRU)</t>
  </si>
  <si>
    <t>dr. Tiffany Budijanto</t>
  </si>
  <si>
    <t>20240219950403</t>
  </si>
  <si>
    <t>Yogyakarta, 3 April 1995</t>
  </si>
  <si>
    <t>199404152025062006</t>
  </si>
  <si>
    <t>BANTUL</t>
  </si>
  <si>
    <t>BANTUL,15 April 1994</t>
  </si>
  <si>
    <t>199405302025062009</t>
  </si>
  <si>
    <t>JAKARTA</t>
  </si>
  <si>
    <t>JAKARTA,30 Mei 1994</t>
  </si>
  <si>
    <t>199410282025062002</t>
  </si>
  <si>
    <t>MERAUKE</t>
  </si>
  <si>
    <t>MERAUKE,28 Oktober 1994</t>
  </si>
  <si>
    <t>199708132025061001</t>
  </si>
  <si>
    <t>KLATEN,13 Agustus 1997</t>
  </si>
  <si>
    <t>199708272025062004</t>
  </si>
  <si>
    <t>KLATEN,27 Agustus 1997</t>
  </si>
  <si>
    <t>PIC Program Pengampuan pada Tim Kerja Pelayanan Medik</t>
  </si>
  <si>
    <t>199806092025061003</t>
  </si>
  <si>
    <t>METRO</t>
  </si>
  <si>
    <t>METRO,09 Juni 1998</t>
  </si>
  <si>
    <t>199806162025061010</t>
  </si>
  <si>
    <t>SUKOHARJO,16 Juni 1998</t>
  </si>
  <si>
    <t>KONTRAK</t>
  </si>
  <si>
    <t>Analis Data dan Informasi</t>
  </si>
  <si>
    <t>Sekretariat Komite Medik dan Komite Etik dan Hukum</t>
  </si>
  <si>
    <t>Sekretariat Komite</t>
  </si>
  <si>
    <t>S1 Administrasi Publik</t>
  </si>
  <si>
    <t>D3 Administrasi Publik</t>
  </si>
  <si>
    <t>Pengelola Data</t>
  </si>
  <si>
    <t>Sekretariat Komite Keperawatan dan Komite Tenaga Kesehatan Lainnya</t>
  </si>
  <si>
    <t>drg. Nuning Widartanti</t>
  </si>
  <si>
    <t>197006112005022001</t>
  </si>
  <si>
    <t>Klaten, 11/06/1970</t>
  </si>
  <si>
    <t>Asisten Manajer Pelayanan Medik</t>
  </si>
  <si>
    <t>Tim Kerja Pelayanan Medik</t>
  </si>
  <si>
    <t>Lina Anggraini,  A.Md</t>
  </si>
  <si>
    <t>199208022023212038</t>
  </si>
  <si>
    <t>VII</t>
  </si>
  <si>
    <t>Pranata Komputer Terampil</t>
  </si>
  <si>
    <t>D3 Komputer</t>
  </si>
  <si>
    <t>Sleman, 02/08/1992</t>
  </si>
  <si>
    <t>Sub Tim Kerja Pelayanan Medik</t>
  </si>
  <si>
    <t>199403192023212007</t>
  </si>
  <si>
    <t>S1 Kesehatan Masyarakat</t>
  </si>
  <si>
    <t>Bantul, 19 Maret 1994</t>
  </si>
  <si>
    <t>Administrator Kesehatan</t>
  </si>
  <si>
    <t>Sub Tim Kerja Non Jaminan Kesehatan Nasional</t>
  </si>
  <si>
    <t>Siwahyudati, S.Kep.Ns</t>
  </si>
  <si>
    <t>197703301999032002</t>
  </si>
  <si>
    <t>140152115-0900906</t>
  </si>
  <si>
    <t>717/28/X/2017</t>
  </si>
  <si>
    <t>Klaten, 30/3/1977</t>
  </si>
  <si>
    <t>Asisten Manajer Perencanaan dan Pengembangan Pelayanan Keperawatan</t>
  </si>
  <si>
    <t>Tim Kerja Pelayanan Keperawatan</t>
  </si>
  <si>
    <t>Muhammad Yasir Sudarmo, S.Kep, Ners</t>
  </si>
  <si>
    <t>197809021997031001</t>
  </si>
  <si>
    <t>140151218-2238516</t>
  </si>
  <si>
    <t>562/1/SIPP_33.10/V/2018</t>
  </si>
  <si>
    <t>Klaten, 2/9/1978</t>
  </si>
  <si>
    <t>Asisten Manajer Monitoring dan Evaluasi Pelayanan Keperawatan</t>
  </si>
  <si>
    <t>Budi Sulistiyana, S.Kom</t>
  </si>
  <si>
    <t>Penyetaraan ijazah dari D3 Manajemen Informatika ke S1 Sistem Informasi</t>
  </si>
  <si>
    <t>198711292023212008</t>
  </si>
  <si>
    <t>Perawat Ahli Pertama</t>
  </si>
  <si>
    <t>Klaten, 29 November 1987</t>
  </si>
  <si>
    <t>AN</t>
  </si>
  <si>
    <t>Sujatmi, S. Kep. Ns</t>
  </si>
  <si>
    <t>196707201990032001</t>
  </si>
  <si>
    <t>140172116-1284430</t>
  </si>
  <si>
    <t>898/28/XI/2017</t>
  </si>
  <si>
    <t>Purwodadi, 20/7/1967</t>
  </si>
  <si>
    <t>Manajer Pelayanan Pasien / Case Manajer</t>
  </si>
  <si>
    <t>Djumijati, S. Kep. Ns</t>
  </si>
  <si>
    <t>197106091992032001</t>
  </si>
  <si>
    <t>140172116-1284431</t>
  </si>
  <si>
    <t>810/28/XI/2017</t>
  </si>
  <si>
    <t>Madiun, 9/6/1971</t>
  </si>
  <si>
    <t>Asisten Manajer Penunjang Medik</t>
  </si>
  <si>
    <t>Tim Kerja Pelayanan Penunjang</t>
  </si>
  <si>
    <t>Fikih Darmawan, A.Md.Rad</t>
  </si>
  <si>
    <t>199404162018011001</t>
  </si>
  <si>
    <t>Radiografer Mahir</t>
  </si>
  <si>
    <t>120751115-1066163</t>
  </si>
  <si>
    <t>Radiografer</t>
  </si>
  <si>
    <t>12a/1/SIP-Rad_33.10/IV/2018</t>
  </si>
  <si>
    <t>D3 Radiodiagnostik</t>
  </si>
  <si>
    <t>Asisten Manajer Penunjang Non Medik</t>
  </si>
  <si>
    <t>Mariska Sendisetya, S.K.M</t>
  </si>
  <si>
    <t>199112062023212010</t>
  </si>
  <si>
    <t>152162116-1261099</t>
  </si>
  <si>
    <t>Ahli Kesehatan Masyarakat</t>
  </si>
  <si>
    <t>S1 SKM Adm &amp; Kebijakan</t>
  </si>
  <si>
    <t>Yogyakarta, 06/12/1991</t>
  </si>
  <si>
    <t>198406142023212003</t>
  </si>
  <si>
    <t>Yogyakarta, 14 Juni 1984</t>
  </si>
  <si>
    <t>Muhammad Asyrofi Mubarok, S.Tr.Kes.</t>
  </si>
  <si>
    <t>199605092024211014</t>
  </si>
  <si>
    <t xml:space="preserve">IX </t>
  </si>
  <si>
    <t>Teknisi Elektromedis Ahli Pertama</t>
  </si>
  <si>
    <t>D4 Teknik Elektromedik</t>
  </si>
  <si>
    <t>GRESIK</t>
  </si>
  <si>
    <t>GRESIK, 09 Mei 1996</t>
  </si>
  <si>
    <t>Teknisi Elektromedis</t>
  </si>
  <si>
    <t>Diperbantukan Sementara di Tim Kerja Pelayanan Penunjang</t>
  </si>
  <si>
    <t>Instalasi Rawat Jalan</t>
  </si>
  <si>
    <t>Sriyono, S.Kep, Ners, M.M</t>
  </si>
  <si>
    <t>197209111993031002</t>
  </si>
  <si>
    <t>Perawat Ahli Muda</t>
  </si>
  <si>
    <t>140171113-0711935</t>
  </si>
  <si>
    <t>Klaten, 11/9/1972</t>
  </si>
  <si>
    <t>Kepala Ruang</t>
  </si>
  <si>
    <t>Slamet Widodo, S.Kep.Ns, MPH</t>
  </si>
  <si>
    <t>196706191988031002</t>
  </si>
  <si>
    <t>140151217-1343358</t>
  </si>
  <si>
    <t>Ahli Madya Keperawatan</t>
  </si>
  <si>
    <t>892/28/XI/2017</t>
  </si>
  <si>
    <t>Klaten, 19/06/1967</t>
  </si>
  <si>
    <t>PN</t>
  </si>
  <si>
    <t>Surono, S. SiT</t>
  </si>
  <si>
    <t>196701051989031001</t>
  </si>
  <si>
    <t>140161116-1278079</t>
  </si>
  <si>
    <t>Sarjana Sains Terapan</t>
  </si>
  <si>
    <t>798/28/XI/2017</t>
  </si>
  <si>
    <t>D4 Keperawatan</t>
  </si>
  <si>
    <t>Klaten, 5/1/1967</t>
  </si>
  <si>
    <t>Perawat Penyelia</t>
  </si>
  <si>
    <t>AKPER</t>
  </si>
  <si>
    <t>Isharyanti, AMK</t>
  </si>
  <si>
    <t>196801051988032001</t>
  </si>
  <si>
    <t>140152217-1343361</t>
  </si>
  <si>
    <t>801/28/XI/2017</t>
  </si>
  <si>
    <t>D3 Keperawatan</t>
  </si>
  <si>
    <t>Klaten, 5/1/1968</t>
  </si>
  <si>
    <t>Nanik Budiastuti, S.Kep.Ns</t>
  </si>
  <si>
    <t>197001051997032001</t>
  </si>
  <si>
    <t>140172217-1463348</t>
  </si>
  <si>
    <t>197/2/SIPP_33.10/I/2018</t>
  </si>
  <si>
    <t>Gunung Kidul</t>
  </si>
  <si>
    <t>Gunung Kidul, 5/1/1970</t>
  </si>
  <si>
    <t>Edy Widihartono, S.Kep.Ns</t>
  </si>
  <si>
    <t>197006081991031006</t>
  </si>
  <si>
    <t>140171218-2209579</t>
  </si>
  <si>
    <t>Grobogan</t>
  </si>
  <si>
    <t>Grobogan, 8/6/1970</t>
  </si>
  <si>
    <t>Titin Yuningsih</t>
  </si>
  <si>
    <t>197106271993032002</t>
  </si>
  <si>
    <t>Teknisi Gigi Penyelia</t>
  </si>
  <si>
    <t>141152117-1473053</t>
  </si>
  <si>
    <t>Teknisi Gigi</t>
  </si>
  <si>
    <t>01/2/SIP-Teknisi Gigi_3310/V/2018</t>
  </si>
  <si>
    <t>ATG</t>
  </si>
  <si>
    <t>Kebumen, 27/6/1971</t>
  </si>
  <si>
    <t>Sigid Shalihien, SST., Ners</t>
  </si>
  <si>
    <t>197201191993031002</t>
  </si>
  <si>
    <t>140161116-1278075</t>
  </si>
  <si>
    <t>1032/28/XII/2017</t>
  </si>
  <si>
    <t>Klaten, 19/1/1972</t>
  </si>
  <si>
    <t>Basuki Estu Dwi Wibowo, AMK</t>
  </si>
  <si>
    <t>197204101992031002</t>
  </si>
  <si>
    <t>140151217-1343386</t>
  </si>
  <si>
    <t>824/28/XI/2017</t>
  </si>
  <si>
    <t>Klaten, 10/4/1972</t>
  </si>
  <si>
    <t>Nuharjito</t>
  </si>
  <si>
    <t>197209101995031001</t>
  </si>
  <si>
    <t>141131111-0013580</t>
  </si>
  <si>
    <t>PROSES</t>
  </si>
  <si>
    <t>SPTG</t>
  </si>
  <si>
    <t>Lampung</t>
  </si>
  <si>
    <t>Lampung, 10/9/1972</t>
  </si>
  <si>
    <t>Dwi Hasti Handayani, SST, Bdn</t>
  </si>
  <si>
    <t>197306221999032003</t>
  </si>
  <si>
    <t>Bidan Ahli Madya</t>
  </si>
  <si>
    <t>140252217-1377396</t>
  </si>
  <si>
    <t>Bidan Vokasi</t>
  </si>
  <si>
    <t>49a/2/SIPB_33.10/I/2018</t>
  </si>
  <si>
    <t>D4 Kebidanan</t>
  </si>
  <si>
    <t>Klaten, 22/6/1973</t>
  </si>
  <si>
    <t>Irwan Wahyu Utama, AMK</t>
  </si>
  <si>
    <t>197508291999031002</t>
  </si>
  <si>
    <t>140151218-2209544</t>
  </si>
  <si>
    <t>893/28/XI/2017</t>
  </si>
  <si>
    <t>Klaten, 29/8/1975</t>
  </si>
  <si>
    <t>Finis Haryani, AMK</t>
  </si>
  <si>
    <t>198001032000032001</t>
  </si>
  <si>
    <t>140152218-2209574</t>
  </si>
  <si>
    <t>609/2/SIPP_33.10/V/2018</t>
  </si>
  <si>
    <t>Sukoharjo, 3/1/1980</t>
  </si>
  <si>
    <t>N1</t>
  </si>
  <si>
    <t>Lisa Nurcahyani</t>
  </si>
  <si>
    <t>198004092001122001</t>
  </si>
  <si>
    <t>140452112-0165892</t>
  </si>
  <si>
    <t>Perawat Gigi Ahli Madya</t>
  </si>
  <si>
    <t>AKG</t>
  </si>
  <si>
    <t>Blora, 9/4/1980</t>
  </si>
  <si>
    <t>Dwi Kurniawati, AMK</t>
  </si>
  <si>
    <t>198105142003122002</t>
  </si>
  <si>
    <t>130152114-0741219</t>
  </si>
  <si>
    <t>Perawat Ahli madya</t>
  </si>
  <si>
    <t>298/2/SIPP_33.10/II/2018</t>
  </si>
  <si>
    <t>Klaten,14/5/1981</t>
  </si>
  <si>
    <t>Fitriyah Utami, AMKG</t>
  </si>
  <si>
    <t>198108012009122001</t>
  </si>
  <si>
    <t>Terapis Gigi dan Mulut Penyelia</t>
  </si>
  <si>
    <t>140452116-1237543</t>
  </si>
  <si>
    <t>003/2/SIPPG_33.10/IV/2018</t>
  </si>
  <si>
    <t>D3 Kesehatan Gigi</t>
  </si>
  <si>
    <t>Semarang, 1/8/1981</t>
  </si>
  <si>
    <t>Ratri Kartiningsih, A.Md.Kep</t>
  </si>
  <si>
    <t>198304202012122002</t>
  </si>
  <si>
    <t>140152218-2292118</t>
  </si>
  <si>
    <t>793/2/SIPP_33.10/IX/2018</t>
  </si>
  <si>
    <t>Klaten, 20/4/1983</t>
  </si>
  <si>
    <t>Putri Nurvita Rochmawati, S.Kep.Ns</t>
  </si>
  <si>
    <t>198605272008012001</t>
  </si>
  <si>
    <t>140172115-1025897</t>
  </si>
  <si>
    <t>1020/28/XII/2017</t>
  </si>
  <si>
    <t>Sukoharjo, 27/5/1986</t>
  </si>
  <si>
    <t>199210152020121005</t>
  </si>
  <si>
    <t>SLEMAN / 1992-10-15</t>
  </si>
  <si>
    <t>Tugas tambahan PIC Poliklinik Eksekutif</t>
  </si>
  <si>
    <t>199505022020122008</t>
  </si>
  <si>
    <t>KLATEN / 1995-05-02</t>
  </si>
  <si>
    <t>199009142020122005</t>
  </si>
  <si>
    <t>SLEMAN / 1990-09-14</t>
  </si>
  <si>
    <t>Hartono, AMK</t>
  </si>
  <si>
    <t>197112141992031001</t>
  </si>
  <si>
    <t>140151218-2209668</t>
  </si>
  <si>
    <t>1040/28/XII/2017</t>
  </si>
  <si>
    <t>Kebumen, 14/12/1971</t>
  </si>
  <si>
    <t>198805132012122001</t>
  </si>
  <si>
    <t>140152218-2239873</t>
  </si>
  <si>
    <t>563/2/SIPP_33.10/V/2018</t>
  </si>
  <si>
    <t>Samarinda</t>
  </si>
  <si>
    <t>Samarinda, 13 Mei 1988</t>
  </si>
  <si>
    <t>Fitria Ivary Salsabila, AMK</t>
  </si>
  <si>
    <t>198605312008122003</t>
  </si>
  <si>
    <t>140152218-2209527</t>
  </si>
  <si>
    <t>670/2/SIPP_33.10/VII/2018</t>
  </si>
  <si>
    <t>Magelang</t>
  </si>
  <si>
    <t>Magelang, 31/5/1986</t>
  </si>
  <si>
    <t>Agus Purwanta, S.Kep.Ns</t>
  </si>
  <si>
    <t>197407071994031002</t>
  </si>
  <si>
    <t>140151218-1545876</t>
  </si>
  <si>
    <t>870/28/XI/2017</t>
  </si>
  <si>
    <t>Klaten, 7/7/1974</t>
  </si>
  <si>
    <t>Ns. Yulia Marasofi, S.Kep</t>
  </si>
  <si>
    <t>197707111997032001</t>
  </si>
  <si>
    <t>140152218-2209598</t>
  </si>
  <si>
    <t>553/2/SIPP_33.10/V/2018</t>
  </si>
  <si>
    <t>Purworejo, 11/7/1977</t>
  </si>
  <si>
    <t>Triana Ambarwati, A.Md. Kep</t>
  </si>
  <si>
    <t>198310232023212005</t>
  </si>
  <si>
    <t>Perawat Terampil</t>
  </si>
  <si>
    <t>140152217-1343370</t>
  </si>
  <si>
    <t>139/2/SIPP_33.10/I/2018</t>
  </si>
  <si>
    <t>Klaten, 23/10/1983</t>
  </si>
  <si>
    <t>Endra Dewi Anantri Putri Setianingrum, A.Md.Kep</t>
  </si>
  <si>
    <t>199012192023212007</t>
  </si>
  <si>
    <t>140152115-1048677</t>
  </si>
  <si>
    <t>30/28/IV/2017</t>
  </si>
  <si>
    <t>Klaten, 19/12/1990</t>
  </si>
  <si>
    <t>Yuli Dwi Maryani, AMK</t>
  </si>
  <si>
    <t>198207012023212004</t>
  </si>
  <si>
    <t>140152217-1343378</t>
  </si>
  <si>
    <t>805/28/XI/2017</t>
  </si>
  <si>
    <t>Klaten, 1/7/1982</t>
  </si>
  <si>
    <t>Aprilia Dwi Astuti</t>
  </si>
  <si>
    <t>199004082024212031</t>
  </si>
  <si>
    <t xml:space="preserve">Terapis Gigi Dan Mulut Terampil </t>
  </si>
  <si>
    <t>KLATEN, 08 April 1990</t>
  </si>
  <si>
    <t>Tugas tambahan Anggota Tim Kerja Pelayanan Medik pada Program Kerja Non Jaminan Kesehatan Nasional</t>
  </si>
  <si>
    <t>Angga Yudha Desica Lintang Satriavi</t>
  </si>
  <si>
    <t>199612012024212037</t>
  </si>
  <si>
    <t>GROBOGAN</t>
  </si>
  <si>
    <t>GROBOGAN, 01 Desember 1996</t>
  </si>
  <si>
    <t>Sutarni, S.Kep. Ns</t>
  </si>
  <si>
    <t>196804291989032001</t>
  </si>
  <si>
    <t>140172118-2209709</t>
  </si>
  <si>
    <t>798/2/SIPP_33.10/IX/2018</t>
  </si>
  <si>
    <t>Klaten, 29/4/1968</t>
  </si>
  <si>
    <t>Supri Lestari, SST., Bdn</t>
  </si>
  <si>
    <t>196708011988032001</t>
  </si>
  <si>
    <t>1402521140855393</t>
  </si>
  <si>
    <t>Bidan</t>
  </si>
  <si>
    <t>19690801/SIKB_33.10/2015/2381</t>
  </si>
  <si>
    <t>Yogyakarta, 1/8/1967</t>
  </si>
  <si>
    <t>Lilik Setiawan, A.Md.Kep</t>
  </si>
  <si>
    <t>198805072012121002</t>
  </si>
  <si>
    <t>140151218-2209760</t>
  </si>
  <si>
    <t>564/1/SIPP_33.10/V/2018</t>
  </si>
  <si>
    <t>Jepara</t>
  </si>
  <si>
    <t>Jepara, 07/05/1988</t>
  </si>
  <si>
    <t>199501272020122010</t>
  </si>
  <si>
    <t>KLATEN / 1995-01-27</t>
  </si>
  <si>
    <t>AN/ Medical Advisor</t>
  </si>
  <si>
    <t>Purbiandari</t>
  </si>
  <si>
    <t>197801012007102001</t>
  </si>
  <si>
    <t>Arsiparis / Pranata Kearsipan</t>
  </si>
  <si>
    <t>SMA</t>
  </si>
  <si>
    <t>Klaten, 1/1/1978</t>
  </si>
  <si>
    <t>Pengadministrasi Umum</t>
  </si>
  <si>
    <t>E. Eva Zunnira Luqmawati, S. Kep. Ners</t>
  </si>
  <si>
    <t>197103081997032001</t>
  </si>
  <si>
    <t>140172218-2209606</t>
  </si>
  <si>
    <t>845/28/XI/2017</t>
  </si>
  <si>
    <t>Rembang</t>
  </si>
  <si>
    <t>Rembang, 8 Maret 1971</t>
  </si>
  <si>
    <t>Sri Sulistyowati, SST, Bdn.</t>
  </si>
  <si>
    <t>197202121992032002</t>
  </si>
  <si>
    <t>140252217-1388394</t>
  </si>
  <si>
    <t>81a/2/SIPB_33.10/II/2018</t>
  </si>
  <si>
    <t>Klaten, 12/2/1972</t>
  </si>
  <si>
    <t>Hasnan Pradana Al Hakim, A.Md</t>
  </si>
  <si>
    <t>Klaten, 13 Januari 1994</t>
  </si>
  <si>
    <t>D3 Sistem Informasi</t>
  </si>
  <si>
    <t>Serita Destiana Chusnul Qotimah, A.Md.Kep.</t>
  </si>
  <si>
    <t>199412102023212006</t>
  </si>
  <si>
    <t>140152117-2064775</t>
  </si>
  <si>
    <t>160/2/SIPP_33.10/I/2018</t>
  </si>
  <si>
    <t>Klaten, 26/4/1988</t>
  </si>
  <si>
    <t>Tri Susanti, Ners</t>
  </si>
  <si>
    <t>198809062022032001</t>
  </si>
  <si>
    <t>Gunungkidul</t>
  </si>
  <si>
    <t>Gunung Kidul, 06-09-1988</t>
  </si>
  <si>
    <t>Tuti Lestari, AMK</t>
  </si>
  <si>
    <t>198404082023212010</t>
  </si>
  <si>
    <t>140152217-1343380</t>
  </si>
  <si>
    <t>809/28/XI/2017</t>
  </si>
  <si>
    <t>Sukamaju</t>
  </si>
  <si>
    <t>Sukamaju, 8/4/1984</t>
  </si>
  <si>
    <t>199201212023212006</t>
  </si>
  <si>
    <t>140152217-1343372</t>
  </si>
  <si>
    <t>265/2/SIPP_33.10/II/2018</t>
  </si>
  <si>
    <t>Pemalang, 21/01/1992</t>
  </si>
  <si>
    <t>200204112025062011</t>
  </si>
  <si>
    <t>Pekerja Sosial Ahli Pertama</t>
  </si>
  <si>
    <t>S1 Kesejahteraan Sosial</t>
  </si>
  <si>
    <t>KLATEN,11 April 2002</t>
  </si>
  <si>
    <t>Pekerja Sosial</t>
  </si>
  <si>
    <t>200003102025062006</t>
  </si>
  <si>
    <t>PONOROGO</t>
  </si>
  <si>
    <t>PONOROGO,10 Maret 2000</t>
  </si>
  <si>
    <t>199402082025062003</t>
  </si>
  <si>
    <t xml:space="preserve">MALUKU TENGAH	</t>
  </si>
  <si>
    <t xml:space="preserve">MALUKU TENGAH,08 Februari 1994	</t>
  </si>
  <si>
    <t>199602062025062005</t>
  </si>
  <si>
    <t>BANDUNG</t>
  </si>
  <si>
    <t>BANDUNG,06 Februari 1996</t>
  </si>
  <si>
    <t xml:space="preserve">                                                   </t>
  </si>
  <si>
    <t>Nety Sulih Setyorini, S.E.</t>
  </si>
  <si>
    <t>S1 Ekonomi Manajemen</t>
  </si>
  <si>
    <t>Instalasi Rawat Inap</t>
  </si>
  <si>
    <t>TH. Suprapti, S. Kep. Ns</t>
  </si>
  <si>
    <t>196710091988032001</t>
  </si>
  <si>
    <t>140172116-1284428</t>
  </si>
  <si>
    <t>602/28/VIII/2017</t>
  </si>
  <si>
    <t>Klaten, 9/10/1967</t>
  </si>
  <si>
    <t>Ruang Edelweis</t>
  </si>
  <si>
    <t>Yustina Sri Maryanti, S.Kep.Ns</t>
  </si>
  <si>
    <t>198303302008122003</t>
  </si>
  <si>
    <t>140152217-1343389</t>
  </si>
  <si>
    <t>817/28/XI/2017</t>
  </si>
  <si>
    <t>Klaten, 30/3/1983</t>
  </si>
  <si>
    <t>Dewi Masruroh, Ners</t>
  </si>
  <si>
    <t>199510232022032004</t>
  </si>
  <si>
    <t>Sragen, 23-10-1995</t>
  </si>
  <si>
    <t>Purwaningsih, A.Md.Kep</t>
  </si>
  <si>
    <t>198305072023212002</t>
  </si>
  <si>
    <t>140152217-1463372</t>
  </si>
  <si>
    <t>264/2/SIPP_33.10/II/2018</t>
  </si>
  <si>
    <t>Klaten, 7/5/1983</t>
  </si>
  <si>
    <t>Luthfiana Muflikhatul Khusna, Ners</t>
  </si>
  <si>
    <t>199401272022032002</t>
  </si>
  <si>
    <t>Bantul, 27-01-1994</t>
  </si>
  <si>
    <t>Friska Aprilia Kartikasari, S.Kep.,Ns</t>
  </si>
  <si>
    <t>199304222024212038</t>
  </si>
  <si>
    <t>KEPULAUAN YAPEN</t>
  </si>
  <si>
    <t>KEPULAUAN YAPEN, 22 April 1993</t>
  </si>
  <si>
    <t>Erna Yuli Astuti Skep.,Ns</t>
  </si>
  <si>
    <t>Sragen, 28 Oktober 1990</t>
  </si>
  <si>
    <t>BLU Kontrak 2024</t>
  </si>
  <si>
    <t>Ramlakhan Agus Putra S.Kep., Ns</t>
  </si>
  <si>
    <t>Purworejo, 15 Desember 1990</t>
  </si>
  <si>
    <t>198901282023211002</t>
  </si>
  <si>
    <t>Grobogan, 28 Januari 1989</t>
  </si>
  <si>
    <t>Ns. Riska Ambarwati, S.Kep</t>
  </si>
  <si>
    <t>199112012024212040</t>
  </si>
  <si>
    <t>WONOGIRI, 01 Desember 1991</t>
  </si>
  <si>
    <t>199302152025062001</t>
  </si>
  <si>
    <t>BANTUL,15 Februari 1993</t>
  </si>
  <si>
    <t>Susminingsih, S.Kep.Ners</t>
  </si>
  <si>
    <t>198407132006042001</t>
  </si>
  <si>
    <t>140152217-1463355</t>
  </si>
  <si>
    <t>785/2/SIPP_33.10/IX/2018</t>
  </si>
  <si>
    <t>Banyumas</t>
  </si>
  <si>
    <t>Banyumas, 13/7/1984</t>
  </si>
  <si>
    <t>Ruang Melati 2</t>
  </si>
  <si>
    <t>Wakhid Rokhmadi, S. Kep. Ns</t>
  </si>
  <si>
    <t>197312251993031004</t>
  </si>
  <si>
    <t>140171118-2209735</t>
  </si>
  <si>
    <t>361/1/SIPP_33.10/IV/2018</t>
  </si>
  <si>
    <t>Klaten, 25/12/1973</t>
  </si>
  <si>
    <t>Kamiyem, S.Kep.Ns</t>
  </si>
  <si>
    <t>197409231998032002</t>
  </si>
  <si>
    <t>140152217-1463371</t>
  </si>
  <si>
    <t>412/2/SIPP_33.10/IV/2018</t>
  </si>
  <si>
    <t>Kulonprogro</t>
  </si>
  <si>
    <t>Kulonprogro, 23/9/1974</t>
  </si>
  <si>
    <t>Dwi Agustina Sanggarini, AMK</t>
  </si>
  <si>
    <t>196808171989032002</t>
  </si>
  <si>
    <t>140152217-1463356</t>
  </si>
  <si>
    <t>816/28/XI/2017</t>
  </si>
  <si>
    <t>Batang</t>
  </si>
  <si>
    <t>Batang, 17/8/1968</t>
  </si>
  <si>
    <t>Sri Wasini, AMK</t>
  </si>
  <si>
    <t>196803211988032001</t>
  </si>
  <si>
    <t>140152218-2209601</t>
  </si>
  <si>
    <t>355/2/SIPP_33.10/IV/2018</t>
  </si>
  <si>
    <t>Klaten, 21/3/1968</t>
  </si>
  <si>
    <t>Maulita Ferdiandana Yunar, A.Md.Kep</t>
  </si>
  <si>
    <t>198812132010122003</t>
  </si>
  <si>
    <t>140152112-0275264</t>
  </si>
  <si>
    <t>612/2/SIPP_33.10/V/2018</t>
  </si>
  <si>
    <t>Tegal</t>
  </si>
  <si>
    <t>Tegal, 13/12/1988</t>
  </si>
  <si>
    <t>Tri Mulyani</t>
  </si>
  <si>
    <t>197003241991032001</t>
  </si>
  <si>
    <t>Klaten, 24/3/1970</t>
  </si>
  <si>
    <t>Ella Putri Lestari, Ners</t>
  </si>
  <si>
    <t>199609132022032006</t>
  </si>
  <si>
    <t>Rokan Hulu</t>
  </si>
  <si>
    <t>Rokan Hulu, 13-09-1996</t>
  </si>
  <si>
    <t>Galih Adi Pratama, S.Kep., Ns.</t>
  </si>
  <si>
    <t>199506262024211016</t>
  </si>
  <si>
    <t>BANTUL, 26 Juni 1995</t>
  </si>
  <si>
    <t>Isnaini, AMK</t>
  </si>
  <si>
    <t>197704041998032001</t>
  </si>
  <si>
    <t>140152113-0711946</t>
  </si>
  <si>
    <t>805/2/SIPP_33.10/IX/2018</t>
  </si>
  <si>
    <t>Klaten, 4/4/1977</t>
  </si>
  <si>
    <t>Auliya Zakiyah Isnaini, AMK</t>
  </si>
  <si>
    <t>199601122024212031</t>
  </si>
  <si>
    <t>140152117-2025744</t>
  </si>
  <si>
    <t>153/2/SIPP_33.10/I/2018</t>
  </si>
  <si>
    <t>Klaten, 12/01/1996</t>
  </si>
  <si>
    <t>Rina Wijayanti Sagita, S.Kep.Ners., M.Kep</t>
  </si>
  <si>
    <t>198404062010012008</t>
  </si>
  <si>
    <t>Klaten, 6 April 1984</t>
  </si>
  <si>
    <t>PNS Pindahan dari Pemerintah Kabupaten Kulon Progo 1 April 2022</t>
  </si>
  <si>
    <t>200004302025062006</t>
  </si>
  <si>
    <t>KLATEN,30 April 2000</t>
  </si>
  <si>
    <t>199712272025062016</t>
  </si>
  <si>
    <t>PONOROGO,27 Desember 1997</t>
  </si>
  <si>
    <t>Tatik Handayani, S. Kep. Ns</t>
  </si>
  <si>
    <t>197002101993032001</t>
  </si>
  <si>
    <t>140172218-2240861</t>
  </si>
  <si>
    <t>409/2/SIPP_33.10/IV/2018</t>
  </si>
  <si>
    <t>Klaten, 10/2/1970</t>
  </si>
  <si>
    <t>Ruang Melati 3</t>
  </si>
  <si>
    <t>Syeikha Mega Surya Pramita, Ners</t>
  </si>
  <si>
    <t>199703252022032003</t>
  </si>
  <si>
    <t>Sukoharjo, 25-03-1997</t>
  </si>
  <si>
    <t>Pransiska Pranani, S.Kep.Ns</t>
  </si>
  <si>
    <t>197002091990032001</t>
  </si>
  <si>
    <t>140172218-2222261</t>
  </si>
  <si>
    <t>589/2/SIPP_33.10/V/2018</t>
  </si>
  <si>
    <t>Padang, 9 Februari 1970</t>
  </si>
  <si>
    <t>Sri Ratna Widyowati, S.Kep.Ns</t>
  </si>
  <si>
    <t>197510021997032002</t>
  </si>
  <si>
    <t>140172113-0711937</t>
  </si>
  <si>
    <t>1833/28/III/2015</t>
  </si>
  <si>
    <t>Bloro</t>
  </si>
  <si>
    <t>Bloro, 2/10/1975</t>
  </si>
  <si>
    <t>Siti Warohmah, S.Tr. Kep., Ns</t>
  </si>
  <si>
    <t>199609192024212027</t>
  </si>
  <si>
    <t>BOYOLALI</t>
  </si>
  <si>
    <t>BOYOLALI, 19 September 1996</t>
  </si>
  <si>
    <t>Tri Pujiastuti, AMK</t>
  </si>
  <si>
    <t>198903262012122002</t>
  </si>
  <si>
    <t>140152115-1048889</t>
  </si>
  <si>
    <t>795/28/XI/2017</t>
  </si>
  <si>
    <t>Sukoharjo, 26/3/1989</t>
  </si>
  <si>
    <t>Siska Martinawati, AMK</t>
  </si>
  <si>
    <t>199003062024212019</t>
  </si>
  <si>
    <t>140152217-1343352</t>
  </si>
  <si>
    <t>903/28/XI/2017</t>
  </si>
  <si>
    <t>Kendal</t>
  </si>
  <si>
    <t>Kendal, 06/3/1990</t>
  </si>
  <si>
    <t>Ariyati Dyah Wahyuningrum, SE</t>
  </si>
  <si>
    <t>2008100145</t>
  </si>
  <si>
    <t>Klaten, 30/1/1984</t>
  </si>
  <si>
    <t>Penyesuaian ijazah dari D3 Akuntansi ke S1 Akuntansi</t>
  </si>
  <si>
    <t>Yoga Tomi Prabowo S.Tr., Kep., Ns</t>
  </si>
  <si>
    <t>Pekalongan</t>
  </si>
  <si>
    <t>Pekalongan, 29 Maret 1999</t>
  </si>
  <si>
    <t>Ririn Kristiyorini, AMK</t>
  </si>
  <si>
    <t>198101052009122001</t>
  </si>
  <si>
    <t>140152115-1048282</t>
  </si>
  <si>
    <t>261/2/SIPP_33.10/II/2018</t>
  </si>
  <si>
    <t>Boyolali</t>
  </si>
  <si>
    <t>Boyolali, 5/1/1981</t>
  </si>
  <si>
    <t>199801162025062007</t>
  </si>
  <si>
    <t>KLATEN,16 Januari 1998</t>
  </si>
  <si>
    <t>199906192025062004</t>
  </si>
  <si>
    <t>YOGYAKARTA,19 Juni 1999</t>
  </si>
  <si>
    <t>200003202025061006</t>
  </si>
  <si>
    <t>Pengatur</t>
  </si>
  <si>
    <t>II/c</t>
  </si>
  <si>
    <t>KLATEN,20 Maret 2000</t>
  </si>
  <si>
    <t>Eka Hidayati, AMK</t>
  </si>
  <si>
    <t>198210082023212002</t>
  </si>
  <si>
    <t>140152218-2239877</t>
  </si>
  <si>
    <t>414/2/SIPP_33.10/IV/2018</t>
  </si>
  <si>
    <t>Klaten, 8/10/1982</t>
  </si>
  <si>
    <t>Kepala Ruang Melati 4 &amp; Ruang Mawar</t>
  </si>
  <si>
    <t>Ruang Melati 4</t>
  </si>
  <si>
    <t>Satik Isnaini, AMK</t>
  </si>
  <si>
    <t>198210202015032001</t>
  </si>
  <si>
    <t>Perawat Mahir</t>
  </si>
  <si>
    <t>140152115-1048881</t>
  </si>
  <si>
    <t>260/2/SIPP_33.10/II/2018</t>
  </si>
  <si>
    <t>Klaten, 20/10/1982</t>
  </si>
  <si>
    <t>Sri Setiti, S. Kep.Ns</t>
  </si>
  <si>
    <t>197112081996032001</t>
  </si>
  <si>
    <t>140152218-2209532</t>
  </si>
  <si>
    <t>358/2/SIPP_33.10/IV/2018</t>
  </si>
  <si>
    <t>Klaten, 8/12/1971</t>
  </si>
  <si>
    <t>Bambang Sisnawan, AMK</t>
  </si>
  <si>
    <t>197405201996031003</t>
  </si>
  <si>
    <t>140151217-1343353</t>
  </si>
  <si>
    <t>257/1/SIPP_33.10/II/2018</t>
  </si>
  <si>
    <t>Brebes</t>
  </si>
  <si>
    <t>Brebes, 20/5/1974</t>
  </si>
  <si>
    <t>Virga Hasna Ghaida, S.Tr.Kep., Ners</t>
  </si>
  <si>
    <t>199708052022032005</t>
  </si>
  <si>
    <t>Karanganyar, 05-08-1997</t>
  </si>
  <si>
    <t>Ns. Luthfiani Hidayah, S.Kep</t>
  </si>
  <si>
    <t>198511102024212024</t>
  </si>
  <si>
    <t>MADIUN</t>
  </si>
  <si>
    <t>MADIUN, 10 November 1985</t>
  </si>
  <si>
    <t>Erwin Tusiani, AMK</t>
  </si>
  <si>
    <t>198108032023212002</t>
  </si>
  <si>
    <t>140152218-2209586</t>
  </si>
  <si>
    <t>363/2/SIPP_33.10/IV/2018</t>
  </si>
  <si>
    <t>Klaten, 03/08/1981</t>
  </si>
  <si>
    <t>Meike Herlina Arintika, S.Kep., Ners</t>
  </si>
  <si>
    <t>199505172024212041</t>
  </si>
  <si>
    <t>SEMARANG, 17 Mei 1995</t>
  </si>
  <si>
    <t>Dinna Puri Larasati, S.Kep.Ns</t>
  </si>
  <si>
    <t>Klaten, 29 Maret 1994</t>
  </si>
  <si>
    <t>Dini Permatasari, Ners</t>
  </si>
  <si>
    <t>199401232022032002</t>
  </si>
  <si>
    <t>Boyolali, 23-01-1994</t>
  </si>
  <si>
    <t>200001232025062006</t>
  </si>
  <si>
    <t>SUKOHARJO,23 Januari 2000</t>
  </si>
  <si>
    <t>199902262025062002</t>
  </si>
  <si>
    <t>KLATEN,26 Februari 1999</t>
  </si>
  <si>
    <t>Enny Purwaningsih, S.Kep.Ns</t>
  </si>
  <si>
    <t>198208272003122001</t>
  </si>
  <si>
    <t>140152218-2209616</t>
  </si>
  <si>
    <t>362/2/SIPP_33.10/IV/2018</t>
  </si>
  <si>
    <t>Klaten, 27/8/1982</t>
  </si>
  <si>
    <t>Ruang Mawar</t>
  </si>
  <si>
    <t>Aris Sulistiya, AMK</t>
  </si>
  <si>
    <t>197502241997031001</t>
  </si>
  <si>
    <t>140151217-1463357</t>
  </si>
  <si>
    <t>566/1/SIPP_33.10/V/2018</t>
  </si>
  <si>
    <t>Klaten, 24/2/1975</t>
  </si>
  <si>
    <t>198707172023212003</t>
  </si>
  <si>
    <t>Jembrana</t>
  </si>
  <si>
    <t>Jembrana, 17 Juli 1987</t>
  </si>
  <si>
    <t>Dian Mei Purwanti, S,Kep,Ners</t>
  </si>
  <si>
    <t>198905222024212027</t>
  </si>
  <si>
    <t>KLATEN, 22 Mei 1989</t>
  </si>
  <si>
    <t>Nunung Aysyah, A.Md. Kep</t>
  </si>
  <si>
    <t>198604172023212006</t>
  </si>
  <si>
    <t>140152115-1048261</t>
  </si>
  <si>
    <t>271/2/SIPP_33.10/II/2018</t>
  </si>
  <si>
    <t>Klaten, 17/4/1986</t>
  </si>
  <si>
    <t>197211111997031002</t>
  </si>
  <si>
    <t>140161117-1451817</t>
  </si>
  <si>
    <t>796/1/SIPP_33.10/IX/2018</t>
  </si>
  <si>
    <t>Gunung Kidul, 11/11/1972</t>
  </si>
  <si>
    <t>199704022025062004</t>
  </si>
  <si>
    <t>KEBUMEN,02 April 1997</t>
  </si>
  <si>
    <t>199010012025061001</t>
  </si>
  <si>
    <t>BANTUL,01 Oktober 1990</t>
  </si>
  <si>
    <t>Khusnul Widiastuti, A.Md.A.P</t>
  </si>
  <si>
    <t>Klaten, 08/5/1990</t>
  </si>
  <si>
    <t>Sulistiani, S. Kep. Ns</t>
  </si>
  <si>
    <t>197006141993032002</t>
  </si>
  <si>
    <t>140172218-2292119</t>
  </si>
  <si>
    <t>585/2/SIPP_33.1-0/V/2018</t>
  </si>
  <si>
    <t>Bloro, 14/6/1970</t>
  </si>
  <si>
    <t>Ruang Dahlia 2</t>
  </si>
  <si>
    <t>Vina Ayu Rosyita, S. Kep. Ns</t>
  </si>
  <si>
    <t>199009072015032002</t>
  </si>
  <si>
    <t>140172115-1048101</t>
  </si>
  <si>
    <t>2777/28/II/2017</t>
  </si>
  <si>
    <t>Temanggung</t>
  </si>
  <si>
    <t>Temanggung, 07/09/1990</t>
  </si>
  <si>
    <t>Exda Hanung Lidiana, S.Kep.,Ns</t>
  </si>
  <si>
    <t>199104212024211015</t>
  </si>
  <si>
    <t>SRAGEN</t>
  </si>
  <si>
    <t>SRAGEN, 21 April 1991</t>
  </si>
  <si>
    <t>Ika Puji Rahayu</t>
  </si>
  <si>
    <t>199307122024212032</t>
  </si>
  <si>
    <t>KLATEN, 12 Juli 1993</t>
  </si>
  <si>
    <t>Nur Hanief Mahendro Buwono, S.Kep. Ners</t>
  </si>
  <si>
    <t>198810292009122001</t>
  </si>
  <si>
    <t>140152217-1343392</t>
  </si>
  <si>
    <t>820/28/XI/2017</t>
  </si>
  <si>
    <t>Boyolali, 29/10/1988</t>
  </si>
  <si>
    <t>Esti Pramesita</t>
  </si>
  <si>
    <t>198801032024212026</t>
  </si>
  <si>
    <t>140152218-2239879</t>
  </si>
  <si>
    <t>357/2/SIPP_33.10/IV/2018</t>
  </si>
  <si>
    <t>Klaten, 03/01/1988</t>
  </si>
  <si>
    <t>Titalia Aurelie Nur Cahyani, S.Tr.Kep., Ns</t>
  </si>
  <si>
    <t>Sleman, 13 Juli 2000</t>
  </si>
  <si>
    <t>Duanna Syndi Prastika, A.Md.Kep.</t>
  </si>
  <si>
    <t>Klaten, 13 Agustus 1995</t>
  </si>
  <si>
    <t>Bayu Amry Mutashim, S.Tr.Kep., Ners.</t>
  </si>
  <si>
    <t>Sukoharjo, 10 September 1996</t>
  </si>
  <si>
    <t>Fachriza Malika Ramadhani, S.Tr.Kep., Ners</t>
  </si>
  <si>
    <t>Ujung Pandang, 17 Januari 1997</t>
  </si>
  <si>
    <t>Sarjiman, S. Kep. Ns</t>
  </si>
  <si>
    <t>196910201994031004</t>
  </si>
  <si>
    <t>140171116-1284433</t>
  </si>
  <si>
    <t>905/28/XI/2017</t>
  </si>
  <si>
    <t>Klaten, 20/10/1969</t>
  </si>
  <si>
    <t>199003132014022002</t>
  </si>
  <si>
    <t xml:space="preserve"> Klaten, 13 Maret 1990</t>
  </si>
  <si>
    <t>Pindahan Rumah Sakit Pusat Otak Nasional Prof. Dr. dr. Mahar Mardjono Jakarta</t>
  </si>
  <si>
    <t>198608122023212011</t>
  </si>
  <si>
    <t>140252113-0711980</t>
  </si>
  <si>
    <t>614/2/SIPP_33.10/V/2018</t>
  </si>
  <si>
    <t>Klaten, 12/8/1986</t>
  </si>
  <si>
    <t>Widya Wulandari, S.Kep., Ners</t>
  </si>
  <si>
    <t>199203142022032001</t>
  </si>
  <si>
    <t>Cilacap, 14-03-1992</t>
  </si>
  <si>
    <t>198603242023212003</t>
  </si>
  <si>
    <t>140152218-2239876</t>
  </si>
  <si>
    <t>385/2/SIPP_33.10/IV/2018</t>
  </si>
  <si>
    <t>Klaten, 24/3/1986</t>
  </si>
  <si>
    <t>199707212025062008</t>
  </si>
  <si>
    <t>SLEMAN,21 Juli 1997</t>
  </si>
  <si>
    <t>199905202025061009</t>
  </si>
  <si>
    <t>KEBUMEN,20 Mei 1999</t>
  </si>
  <si>
    <t>199209232025061002</t>
  </si>
  <si>
    <t>SUKOHARJO,23 September 1992</t>
  </si>
  <si>
    <t>Juliati, S.Kep.Ns</t>
  </si>
  <si>
    <t>196707231991032001</t>
  </si>
  <si>
    <t>140172116-1283535</t>
  </si>
  <si>
    <t>240/28/VII/2017</t>
  </si>
  <si>
    <t>Semarang, 23/7/1967</t>
  </si>
  <si>
    <t>Kepala Ruang Dahlia 3 dan Ruang Kemoterapi Rawat Jalan</t>
  </si>
  <si>
    <t>Ruang Dahlia 3</t>
  </si>
  <si>
    <t>Jaka Padmana, S. Kep, Ners</t>
  </si>
  <si>
    <t>196704031993031004</t>
  </si>
  <si>
    <t>140151218-2238547</t>
  </si>
  <si>
    <t>1410/28/IV/2014</t>
  </si>
  <si>
    <t>Klaten, 3/4/1967</t>
  </si>
  <si>
    <t>Afriana Nur Pradhani, AMK</t>
  </si>
  <si>
    <t>199002042010122001</t>
  </si>
  <si>
    <t>140152217-1343379</t>
  </si>
  <si>
    <t>793/28/XI/2017</t>
  </si>
  <si>
    <t>Klaten, 4/2/1990</t>
  </si>
  <si>
    <t>Rizki Fitriyani, AMK</t>
  </si>
  <si>
    <t>199303012015032002</t>
  </si>
  <si>
    <t>140152115-0967504</t>
  </si>
  <si>
    <t>Klaten, 01/03/1993</t>
  </si>
  <si>
    <t>Larasati Putri Pertiwi, Ners</t>
  </si>
  <si>
    <t>199802032022032003</t>
  </si>
  <si>
    <t>Klaten, 03-02-1998</t>
  </si>
  <si>
    <t>Resdiyan Dhiwantari, Ners</t>
  </si>
  <si>
    <t>199209122022032004</t>
  </si>
  <si>
    <t>Cilacap, 12-09-1992</t>
  </si>
  <si>
    <t>An Nisa Syari, AMK</t>
  </si>
  <si>
    <t>197111211997032002</t>
  </si>
  <si>
    <t>140152218-2209563</t>
  </si>
  <si>
    <t>1790/28/III/2015</t>
  </si>
  <si>
    <t>Klaten, 21/11/1971</t>
  </si>
  <si>
    <t>Andria Mitasari, AMK</t>
  </si>
  <si>
    <t>198405092008122001</t>
  </si>
  <si>
    <t>140152218-2209551</t>
  </si>
  <si>
    <t>351/2/SIPP_33.10/IV/2018</t>
  </si>
  <si>
    <t>Klaten, 9/5/1984</t>
  </si>
  <si>
    <t>Rini Yuni Astuti, S.Kep., Ns</t>
  </si>
  <si>
    <t>198406222008012003</t>
  </si>
  <si>
    <t>140152218-2209618</t>
  </si>
  <si>
    <t>350/2/SIPP_33.10/IV/2018</t>
  </si>
  <si>
    <t>Madiun, 22/6/1984</t>
  </si>
  <si>
    <t>Daryanti, AMK</t>
  </si>
  <si>
    <t>198812162012122001</t>
  </si>
  <si>
    <t>140152113-0710762</t>
  </si>
  <si>
    <t>Kudus</t>
  </si>
  <si>
    <t>Kudus, 16/12/1988</t>
  </si>
  <si>
    <t>Ari Wisetiyana, A.Md</t>
  </si>
  <si>
    <t>198903292009121001</t>
  </si>
  <si>
    <t>140151115-1048284</t>
  </si>
  <si>
    <t>255/1/SIPP_33.10/II/2018</t>
  </si>
  <si>
    <t>Rembang, 29/3/1989</t>
  </si>
  <si>
    <t>Ulfa Nurul Fatimah, S.Kep.Ns</t>
  </si>
  <si>
    <t>199202172018012001</t>
  </si>
  <si>
    <t>150172116-2012892</t>
  </si>
  <si>
    <t>243/2/SIPP_33.10/II/2018</t>
  </si>
  <si>
    <t>Gunungkidul, 17 Februari 1992</t>
  </si>
  <si>
    <t>Sri Suharti, S.Kep.Ners</t>
  </si>
  <si>
    <t>198112072012122001</t>
  </si>
  <si>
    <t>140152218-2209612</t>
  </si>
  <si>
    <t>348/2/SIPP_33.10/IV/2018</t>
  </si>
  <si>
    <t>Klaten, 7/12/1981</t>
  </si>
  <si>
    <t>199307202020122012</t>
  </si>
  <si>
    <t>Kabanjahe</t>
  </si>
  <si>
    <t>KABANJAHE / 1993-07-20</t>
  </si>
  <si>
    <t>Erma Novita Risti, A.Md. Kep</t>
  </si>
  <si>
    <t>198611202023212009</t>
  </si>
  <si>
    <t>140152218-2209525</t>
  </si>
  <si>
    <t>418/2/SIPP_33.10/IV/2018</t>
  </si>
  <si>
    <t>Boyolali, 20/11/1986</t>
  </si>
  <si>
    <t>198607252023212007</t>
  </si>
  <si>
    <t>140152217-2163004</t>
  </si>
  <si>
    <t>400/2/SIPP_33.10/IV/2018</t>
  </si>
  <si>
    <t>Klaten, 25/7/1986</t>
  </si>
  <si>
    <t>197312152000032001</t>
  </si>
  <si>
    <t>140152218-2209614</t>
  </si>
  <si>
    <t>693/2/SIPP_33.10/VIII/2018</t>
  </si>
  <si>
    <t>Klaten, 15/12/1973</t>
  </si>
  <si>
    <t>Farida Harmi Astuti</t>
  </si>
  <si>
    <t>198701222024212021</t>
  </si>
  <si>
    <t>140152217-1343366</t>
  </si>
  <si>
    <t>268/2/SIPP_33.10/II/2018</t>
  </si>
  <si>
    <t>Sleman, 22/1/1987</t>
  </si>
  <si>
    <t>Rochayati</t>
  </si>
  <si>
    <t>198904072024212027</t>
  </si>
  <si>
    <t>140152218-2209589</t>
  </si>
  <si>
    <t>381/2/SIPP_33.10/IV/2018</t>
  </si>
  <si>
    <t>Klaten, 07/4/1989</t>
  </si>
  <si>
    <t>Eni Susilowati, S.Kep.,Ns</t>
  </si>
  <si>
    <t>198510042012122002</t>
  </si>
  <si>
    <t>557/2/SIPP_33.10/V/2018</t>
  </si>
  <si>
    <t>Karanganyar, 4/10/1985</t>
  </si>
  <si>
    <t>Umi Rahayu Widyasmara, S.Kep., Ners</t>
  </si>
  <si>
    <t>198106092003122002</t>
  </si>
  <si>
    <t>140152115-0900905</t>
  </si>
  <si>
    <t>199/2/SIPP_33.10/I/2018</t>
  </si>
  <si>
    <t>Purwokerto</t>
  </si>
  <si>
    <t>Purwokerto, 9/6/1981</t>
  </si>
  <si>
    <t>Marestyan Afif Falah, S.Kep., Ns</t>
  </si>
  <si>
    <t>Klaten, 14 Mei 1996</t>
  </si>
  <si>
    <t>Ns. Nisa Nurchasanah, S.Tr.Kep</t>
  </si>
  <si>
    <t>Klaten, 10 Maret 1999</t>
  </si>
  <si>
    <t>Ns. Arif Budiman, S.Kep</t>
  </si>
  <si>
    <t>199503122024211015</t>
  </si>
  <si>
    <t>CILACAP</t>
  </si>
  <si>
    <t>CILACAP, 12 Maret 1995</t>
  </si>
  <si>
    <t>Artha Suriani Lumban Gaol, S.Kep.,Ns</t>
  </si>
  <si>
    <t>199510032024212027</t>
  </si>
  <si>
    <t>PEMATANGSIANTAR</t>
  </si>
  <si>
    <t>PEMATANGSIANTAR, 03 Oktober 1995</t>
  </si>
  <si>
    <t>199904122025062002</t>
  </si>
  <si>
    <t>KLATEN,12 April 1999</t>
  </si>
  <si>
    <t>199701132025062002</t>
  </si>
  <si>
    <t>KLATEN,13 Januari 1997</t>
  </si>
  <si>
    <t>Purwanto, S.Kep.Ns</t>
  </si>
  <si>
    <t>197305061994031001</t>
  </si>
  <si>
    <t>140171116-1284432</t>
  </si>
  <si>
    <t>217/28/VI/2017</t>
  </si>
  <si>
    <t>Klaten, 6/5/1973</t>
  </si>
  <si>
    <t>Ruang Dahlia 4</t>
  </si>
  <si>
    <t>Risma Isnaini, S.Kep.Ns</t>
  </si>
  <si>
    <t>199011262020122002</t>
  </si>
  <si>
    <t>150172115-0998220</t>
  </si>
  <si>
    <t>151/2/SIPP_33.10/I/2018</t>
  </si>
  <si>
    <t>Magelang, 26/11/1990</t>
  </si>
  <si>
    <t>Kusnan, S.Kep.Ns</t>
  </si>
  <si>
    <t>197208141994031004</t>
  </si>
  <si>
    <t>140171115-1048288</t>
  </si>
  <si>
    <t>259/1/SIPP_33.10/II/2018</t>
  </si>
  <si>
    <t>Ponorogo</t>
  </si>
  <si>
    <t>Ponorogo, 14/8/1972</t>
  </si>
  <si>
    <t>Endang Setyaningsih, A.Md.Kep</t>
  </si>
  <si>
    <t>196903231992032002</t>
  </si>
  <si>
    <t>140122112-0275280</t>
  </si>
  <si>
    <t>Perawat Kesehatan</t>
  </si>
  <si>
    <t>392/2/SIPP_33.10/IV/2018</t>
  </si>
  <si>
    <t>Klaten, 23/3/1969</t>
  </si>
  <si>
    <t>Dian Ariestya, A.Md.Kep</t>
  </si>
  <si>
    <t>198304092023212005</t>
  </si>
  <si>
    <t>130152217-1343403</t>
  </si>
  <si>
    <t>266/2/SIPP_33.10/II/2018</t>
  </si>
  <si>
    <t>Klaten, 9/4/1983</t>
  </si>
  <si>
    <t>Kuswanti</t>
  </si>
  <si>
    <t>199010222024212035</t>
  </si>
  <si>
    <t>140152113-0712030</t>
  </si>
  <si>
    <t>1744/28/I/2015</t>
  </si>
  <si>
    <t>Klaten, 22/10/1990</t>
  </si>
  <si>
    <t>Ns. Ayik Widiarti, S.Kep</t>
  </si>
  <si>
    <t>199404042024212070</t>
  </si>
  <si>
    <t>SEMARANG, 04 April 1994</t>
  </si>
  <si>
    <t>Rudy Setiyantoro, S.Kep.,Ns</t>
  </si>
  <si>
    <t>199010312024211018</t>
  </si>
  <si>
    <t>KENDAL</t>
  </si>
  <si>
    <t>KENDAL, 31 Oktober 1990</t>
  </si>
  <si>
    <t>Rita Suryandari, S. Kep. Ns</t>
  </si>
  <si>
    <t>197703051999032003</t>
  </si>
  <si>
    <t>140172116-1284427</t>
  </si>
  <si>
    <t>269/2/SIPP_33.10/II/2018</t>
  </si>
  <si>
    <t>Klaten, 5/3/1977</t>
  </si>
  <si>
    <t>Dewi Indah Furbosari, AMK</t>
  </si>
  <si>
    <t>198505162023212004</t>
  </si>
  <si>
    <t>140152217-1343385</t>
  </si>
  <si>
    <t>1053/28/XII/2017</t>
  </si>
  <si>
    <t>Klaten, 16/5/1985</t>
  </si>
  <si>
    <t>Klaten, 27 November 1995</t>
  </si>
  <si>
    <t>Ari Andriyani, AMK</t>
  </si>
  <si>
    <t>Klaten, 30 Oktober 1996</t>
  </si>
  <si>
    <t>Arga Nur Prasetiawan. S.Kep.,Ns</t>
  </si>
  <si>
    <t>Nganjuk</t>
  </si>
  <si>
    <t>Nganjuk, 25 Juli 1994</t>
  </si>
  <si>
    <t>Riyan Sudrajad, S.Kep.Ns</t>
  </si>
  <si>
    <t>GUNUNGKIDUL</t>
  </si>
  <si>
    <t>GUNUNGKIDUL, 2 JANUARI 1991</t>
  </si>
  <si>
    <t>Tulus Dwi Hartanto, S.Kep., Ns</t>
  </si>
  <si>
    <t>Sragen, 21 Oktober 1995</t>
  </si>
  <si>
    <t>Fatihatur Rohmah, S.Kep., Ns</t>
  </si>
  <si>
    <t>199603062024212033</t>
  </si>
  <si>
    <t>BANTUL, 06 Maret 1996</t>
  </si>
  <si>
    <t>Hermin Puji Astuti S.Kep,Ns</t>
  </si>
  <si>
    <t>2024090785</t>
  </si>
  <si>
    <t>Klaten, 28 februari 1989</t>
  </si>
  <si>
    <t>200011012025062005</t>
  </si>
  <si>
    <t>SUKOHARJO,01 November 2000</t>
  </si>
  <si>
    <t>199508262025062005</t>
  </si>
  <si>
    <t>SUKOHARJO,26 Agustus 1995</t>
  </si>
  <si>
    <t>200009222025061002</t>
  </si>
  <si>
    <t>SRAGEN,22 September 2000</t>
  </si>
  <si>
    <t>200209052025062002</t>
  </si>
  <si>
    <t>BOYOLALI,05 September 2002</t>
  </si>
  <si>
    <t>200009032025062008</t>
  </si>
  <si>
    <t>KLATEN,03 September 2000</t>
  </si>
  <si>
    <t>Evalidia Kurniyati, S.Kep.Ners</t>
  </si>
  <si>
    <t>198506072010122003</t>
  </si>
  <si>
    <t>140152218-2238543</t>
  </si>
  <si>
    <t>544/2/SIPP_33.10/V/2018</t>
  </si>
  <si>
    <t>Klaten, 7/6/1985</t>
  </si>
  <si>
    <t>Ruang Dahlia 5</t>
  </si>
  <si>
    <t>Sulimin, SST, Ners.</t>
  </si>
  <si>
    <t>197009091992031002</t>
  </si>
  <si>
    <t>140161116-1283589</t>
  </si>
  <si>
    <t>899/28/XI/2017</t>
  </si>
  <si>
    <t>Tepus</t>
  </si>
  <si>
    <t>Tepus, 9/9/1970</t>
  </si>
  <si>
    <t>Ruli Maryani, A.Md.Kep</t>
  </si>
  <si>
    <t>198704282019022001</t>
  </si>
  <si>
    <t>140152115-1048888</t>
  </si>
  <si>
    <t>270/2/SIPP_33.10/II/2018</t>
  </si>
  <si>
    <t>Klaten, 28/4/1987</t>
  </si>
  <si>
    <t>Yuli Wahyu Utami, Ners</t>
  </si>
  <si>
    <t>199707022022032001</t>
  </si>
  <si>
    <t>Kebumen, 02-07-1997</t>
  </si>
  <si>
    <t>Erwin Hudayat, S.Kep.,Ns</t>
  </si>
  <si>
    <t>199211132024211015</t>
  </si>
  <si>
    <t>GUNUNG KIDUL</t>
  </si>
  <si>
    <t>GUNUNG KIDUL, 13 November 1992</t>
  </si>
  <si>
    <t>Tugas Tambahan sbg Petugas Pemasaran</t>
  </si>
  <si>
    <t>One May Linawati, S.Kep.,Ners</t>
  </si>
  <si>
    <t>199205172024212050</t>
  </si>
  <si>
    <t>KLATEN, 17 Mei 1992</t>
  </si>
  <si>
    <t>Putu Gede Widiantoro, S.Kep.,Ns</t>
  </si>
  <si>
    <t>199410302024211013</t>
  </si>
  <si>
    <t>PURBALINGGA</t>
  </si>
  <si>
    <t>PURBALINGGA, 30 Oktober 1994</t>
  </si>
  <si>
    <t>Ns. Dina Fitria Amalia, S.Kep</t>
  </si>
  <si>
    <t>199801312024212016</t>
  </si>
  <si>
    <t>JEPARA</t>
  </si>
  <si>
    <t>JEPARA, 31 Januari 1998</t>
  </si>
  <si>
    <t>Yuvita Erma Diana, S.Kep., Ns</t>
  </si>
  <si>
    <t>199511142024212027</t>
  </si>
  <si>
    <t>BOYOLALI, 14 November 1995</t>
  </si>
  <si>
    <t>Faza Khoirun Nida, S.Kep., Ners</t>
  </si>
  <si>
    <t>199612292024212025</t>
  </si>
  <si>
    <t>JEPARA, 29 Desember 1996</t>
  </si>
  <si>
    <t>Alifa Farikhah, A.Md</t>
  </si>
  <si>
    <t>199305092023212011</t>
  </si>
  <si>
    <t>140152115-0967520</t>
  </si>
  <si>
    <t>2736/28/I/2017</t>
  </si>
  <si>
    <t>Klaten, 09/05/1993</t>
  </si>
  <si>
    <t>Rina Nugraeni, AMK</t>
  </si>
  <si>
    <t>198408092023212004</t>
  </si>
  <si>
    <t>140152218-2239883</t>
  </si>
  <si>
    <t>354/2/SIPP_33.10/IV/2018</t>
  </si>
  <si>
    <t>Cilacap, 9/8/1984</t>
  </si>
  <si>
    <t>Setiasih Candraningrum, AMK</t>
  </si>
  <si>
    <t>198412132023212006</t>
  </si>
  <si>
    <t>140152218-2239886</t>
  </si>
  <si>
    <t>364/2/SIPP_33.10/IV/2018</t>
  </si>
  <si>
    <t>Klaten, 13/12/1984</t>
  </si>
  <si>
    <t>Nur Dewi Padmawati, AMK</t>
  </si>
  <si>
    <t>198510102023212010</t>
  </si>
  <si>
    <t>140152218-2209594</t>
  </si>
  <si>
    <t>352/2/SIPP_33.10/IV/2018</t>
  </si>
  <si>
    <t>Klaten, 10/10/1985</t>
  </si>
  <si>
    <t>Dwi Suhartanti, A.Md. Kep.</t>
  </si>
  <si>
    <t>Klaten, 15 Februari 1997</t>
  </si>
  <si>
    <t>Novita Amelia Sari, S.Kep., Ns</t>
  </si>
  <si>
    <t>Klaten, 16 Mei 2001</t>
  </si>
  <si>
    <t>Ahnaf Syariful Hidayat, A.Md.Kep.</t>
  </si>
  <si>
    <t>Banyumas, 17 April 2002</t>
  </si>
  <si>
    <t>Ns. Diupicka Listyantoro, S.Kep</t>
  </si>
  <si>
    <t>Klaten, 19 Juni 1989</t>
  </si>
  <si>
    <t>Ockta Karunia Putri, S.Tr.Kep., Ners.</t>
  </si>
  <si>
    <t>Klaten, 4 Oktober 1997</t>
  </si>
  <si>
    <t>Garinda Putri Noer Hanifah, A.Md.Kep.</t>
  </si>
  <si>
    <t>Sukoharjo, 7 September 1994</t>
  </si>
  <si>
    <t>200003092025062017</t>
  </si>
  <si>
    <t>KEBUMEN,09 Maret 2000</t>
  </si>
  <si>
    <t>Tri Windarti, S.Kep, Ners</t>
  </si>
  <si>
    <t>198808142009122001</t>
  </si>
  <si>
    <t>140152218-2209607</t>
  </si>
  <si>
    <t>558/2/SIPP_33.10/V/2018</t>
  </si>
  <si>
    <t>Klaten, 14/8/1988</t>
  </si>
  <si>
    <t>Unit Stroke</t>
  </si>
  <si>
    <t>Anitasari, AMK</t>
  </si>
  <si>
    <t>198503142009122001</t>
  </si>
  <si>
    <t>140152115-0900913</t>
  </si>
  <si>
    <t>584/2/SIPP_33.10/V/2018</t>
  </si>
  <si>
    <t>Sukoharjo, 14/3/1985</t>
  </si>
  <si>
    <t>Diana Nurlaila Sari, Ners</t>
  </si>
  <si>
    <t>199505262022032003</t>
  </si>
  <si>
    <t>Boyolali, 26-05-1995</t>
  </si>
  <si>
    <t>Elfani Febria Rahmawati, Ners</t>
  </si>
  <si>
    <t>199202012022032001</t>
  </si>
  <si>
    <t>Sleman, 01-02-1992</t>
  </si>
  <si>
    <t>Triarso, AMK</t>
  </si>
  <si>
    <t>197404071998031003</t>
  </si>
  <si>
    <t>140151112-0275334</t>
  </si>
  <si>
    <t>1831/28/III/2015</t>
  </si>
  <si>
    <t>Klaten, 7/4/1974</t>
  </si>
  <si>
    <t>Inda Dewi Setyowati, AMK</t>
  </si>
  <si>
    <t>198909092010122001</t>
  </si>
  <si>
    <t>140152218-2209590</t>
  </si>
  <si>
    <t>615/2/SIPP_33.10/V/2018</t>
  </si>
  <si>
    <t>Pekalongan, 9/9/1989</t>
  </si>
  <si>
    <t>199505192020122009</t>
  </si>
  <si>
    <t>GUNUNGKIDUL / 1995-05-19</t>
  </si>
  <si>
    <t>Nurwidayati, S. Kep. Ns</t>
  </si>
  <si>
    <t>197501051998032007</t>
  </si>
  <si>
    <t>140172118-2209736</t>
  </si>
  <si>
    <t>652/2/SIPP_33.10/VII/2018</t>
  </si>
  <si>
    <t>Klaten, 5/1/1975</t>
  </si>
  <si>
    <t>Parwoso, S.Kep. Ners</t>
  </si>
  <si>
    <t>197604072000031001</t>
  </si>
  <si>
    <t>140151218-2209627</t>
  </si>
  <si>
    <t>711/1/SIPP_33.10/VIII/2018</t>
  </si>
  <si>
    <t>Sukoharjo, 7/4/1976</t>
  </si>
  <si>
    <t>Eko Srilestari, A.Md</t>
  </si>
  <si>
    <t>198503092009122001</t>
  </si>
  <si>
    <t>140152218-2209624</t>
  </si>
  <si>
    <t>966/28/XII/2017</t>
  </si>
  <si>
    <t>Boyolali, 9/3/1985</t>
  </si>
  <si>
    <t>Utik Herawati, S.Kep., Ners</t>
  </si>
  <si>
    <t>197609222006042001</t>
  </si>
  <si>
    <t>140152218-2209593</t>
  </si>
  <si>
    <t>597/2/SIPP_33.10/V/2018</t>
  </si>
  <si>
    <t>Klaten, 22/9/1976</t>
  </si>
  <si>
    <t>Dian Mahara Suseno, Ners</t>
  </si>
  <si>
    <t>199011072022032002</t>
  </si>
  <si>
    <t>Klaten, 07-11-1990</t>
  </si>
  <si>
    <t>198809292023212007</t>
  </si>
  <si>
    <t>140152217-2163006</t>
  </si>
  <si>
    <t>393/2/SIPP_33.10/IV/2018</t>
  </si>
  <si>
    <t>Boyolali, 29/09/1988</t>
  </si>
  <si>
    <t>199103162024211015</t>
  </si>
  <si>
    <t>140151217-1354862</t>
  </si>
  <si>
    <t>Ah;i Madya Keperawatan</t>
  </si>
  <si>
    <t>147/1/SIPP_33.10/I/2018</t>
  </si>
  <si>
    <t>Pekalongan, 16/03/1991</t>
  </si>
  <si>
    <t>Fikria Nawaf Aulia, A.Md.Kep.</t>
  </si>
  <si>
    <t>Purwokerto,  Banyumas</t>
  </si>
  <si>
    <t>Purwokerto, Banyumas, 6 Juni 2002</t>
  </si>
  <si>
    <t>Wiwik Misnawati, S.Kep., Ners</t>
  </si>
  <si>
    <t>199108012022032001</t>
  </si>
  <si>
    <t>Klaten, 01-08-1991</t>
  </si>
  <si>
    <t>Anna Wijayanti, S. Kep. Ns</t>
  </si>
  <si>
    <t>197708192005012001</t>
  </si>
  <si>
    <t>140152218-2239875</t>
  </si>
  <si>
    <t>547/2/SIPP_33.10/V/2018</t>
  </si>
  <si>
    <t>Klaten, 19/8/1977</t>
  </si>
  <si>
    <t>199611012025062004</t>
  </si>
  <si>
    <t>SAMARINDA</t>
  </si>
  <si>
    <t>SAMARINDA,01 November 1996</t>
  </si>
  <si>
    <t>Ana Dwi Irianti, SST, Ners</t>
  </si>
  <si>
    <t>197408271998032002</t>
  </si>
  <si>
    <t>140162116-1283569</t>
  </si>
  <si>
    <t>1012/28/XII/2017</t>
  </si>
  <si>
    <t>Boyolali, 27/8/1974</t>
  </si>
  <si>
    <t>Kepala Ruang ICCU GBST &amp; Ruang ICCU Teratai</t>
  </si>
  <si>
    <t>Ruang ICCU</t>
  </si>
  <si>
    <t>Sugimin, S. Kep. Ns</t>
  </si>
  <si>
    <t>197404172000031001</t>
  </si>
  <si>
    <t>140151217-1343382</t>
  </si>
  <si>
    <t>803/28/XI/2017</t>
  </si>
  <si>
    <t>Surakarta, 17/4/1974</t>
  </si>
  <si>
    <t>Hery Susilo, AMK</t>
  </si>
  <si>
    <t>197204051992031001</t>
  </si>
  <si>
    <t>140151218-2239880</t>
  </si>
  <si>
    <t>594/1/SIPP_33.10/V/2018</t>
  </si>
  <si>
    <t>Ngawi</t>
  </si>
  <si>
    <t>Ngawi, 5/4/1972</t>
  </si>
  <si>
    <t>Ns. Yoan Aditia Murti, S. Kep</t>
  </si>
  <si>
    <t>198203062008122003</t>
  </si>
  <si>
    <t>140152217-1343404</t>
  </si>
  <si>
    <t>789/28/XI/2017</t>
  </si>
  <si>
    <t>Klaten, 6/3/1982</t>
  </si>
  <si>
    <t>Nurul Kusniyanti, S.Kep.Ns</t>
  </si>
  <si>
    <t>198907222020122004</t>
  </si>
  <si>
    <t>140172218-2209546</t>
  </si>
  <si>
    <t>552/2/SIPP_33.10/V/2018</t>
  </si>
  <si>
    <t>Klaten,22/07/1989</t>
  </si>
  <si>
    <t>Maria Pujowati, Ns</t>
  </si>
  <si>
    <t>199111232019022001</t>
  </si>
  <si>
    <t>Klaten, 11/23/1991</t>
  </si>
  <si>
    <t>Yulia Dewi Wijayanti, S.Kep.Ns</t>
  </si>
  <si>
    <t>199307312019022001</t>
  </si>
  <si>
    <t>150172117-2147377</t>
  </si>
  <si>
    <t>146/2/SIPP_33.10/I/2018</t>
  </si>
  <si>
    <t>Klaten, 31/07/1993</t>
  </si>
  <si>
    <t>Menik Sri Sarwanti, S.Kep, Ners</t>
  </si>
  <si>
    <t>197803272012122001</t>
  </si>
  <si>
    <t>2057/28/VII/2015</t>
  </si>
  <si>
    <t>Karanganyar, 27/3/1978</t>
  </si>
  <si>
    <t>198702052012122001</t>
  </si>
  <si>
    <t>140152115-0900900</t>
  </si>
  <si>
    <t>2199/28/I/2016</t>
  </si>
  <si>
    <t>Madiun, 5/2/1987</t>
  </si>
  <si>
    <t>Alice Setyawati, A.Md</t>
  </si>
  <si>
    <t>198308062009122002</t>
  </si>
  <si>
    <t>140152218-2209599</t>
  </si>
  <si>
    <t>586/2/SIPP_33.10/V/2018</t>
  </si>
  <si>
    <t>Cilacap, 6/8/1983</t>
  </si>
  <si>
    <t>Susanti, S.Kep.Ns</t>
  </si>
  <si>
    <t>198803282020122005</t>
  </si>
  <si>
    <t>150172115-0998237</t>
  </si>
  <si>
    <t>2773/28/II/2017</t>
  </si>
  <si>
    <t>Bantul, 28/03/1988</t>
  </si>
  <si>
    <t>Chadariyah Dwi Al Insani, AMK</t>
  </si>
  <si>
    <t>198303152023212006</t>
  </si>
  <si>
    <t>140152217-1343399</t>
  </si>
  <si>
    <t>Klaten, 15/3/1983</t>
  </si>
  <si>
    <t>198907092024211019</t>
  </si>
  <si>
    <t>140151217-1343405</t>
  </si>
  <si>
    <t>797/28/XI/2017</t>
  </si>
  <si>
    <t>Klaten,9/7/1989</t>
  </si>
  <si>
    <t>Azizah Maysun Nabihah, A.Md.Kep.</t>
  </si>
  <si>
    <t>Boyolali, 20 Mei 2001</t>
  </si>
  <si>
    <t>Peni Lestari, A.Md.Kep.</t>
  </si>
  <si>
    <t>Ngawi, 19 April 1999</t>
  </si>
  <si>
    <t>Ria Konstantia, AMK</t>
  </si>
  <si>
    <t>199102082012122002</t>
  </si>
  <si>
    <t>140152218-2291633</t>
  </si>
  <si>
    <t>777/2/SIPP_33.10/IX/2018</t>
  </si>
  <si>
    <t>Klaten, 8/2/1991</t>
  </si>
  <si>
    <t>Triah Kustianah, S.Kep., Ners</t>
  </si>
  <si>
    <t>Kebumen, 25 Juni 1999</t>
  </si>
  <si>
    <t>Ns. Heny Udhiyah, S.Kep</t>
  </si>
  <si>
    <t>199511212024212030</t>
  </si>
  <si>
    <t>DEMAK, 21 November 1995</t>
  </si>
  <si>
    <t>Tri Utami Listyaningrum, S. Kep., Ns</t>
  </si>
  <si>
    <t>199309122024212034</t>
  </si>
  <si>
    <t>KLATEN, 12 September 1993</t>
  </si>
  <si>
    <t>199902112025062008</t>
  </si>
  <si>
    <t>KLATEN,11 Februari 1999</t>
  </si>
  <si>
    <t>Ruang ICCU GBST</t>
  </si>
  <si>
    <t>Erna Widiastuti Suharta, S.Kep.Ns</t>
  </si>
  <si>
    <t>198504022020122006</t>
  </si>
  <si>
    <t>140152217-1343388</t>
  </si>
  <si>
    <t>806/28/XI/2017</t>
  </si>
  <si>
    <t>Klaten, 02/4/1985</t>
  </si>
  <si>
    <t>Ruang ICCU Teratai</t>
  </si>
  <si>
    <t>Retno Widyastuti, S.Kep., Ners</t>
  </si>
  <si>
    <t>198201022009122001</t>
  </si>
  <si>
    <t>140152217-1463370</t>
  </si>
  <si>
    <t>710/2/SIPP_33.10/VIII/2018</t>
  </si>
  <si>
    <t>Magelang, 2/1/1982</t>
  </si>
  <si>
    <t>Soni Iva Kurniawan</t>
  </si>
  <si>
    <t>198105022005011010</t>
  </si>
  <si>
    <t>140151115-1048348</t>
  </si>
  <si>
    <t>301/1/SIPP_33.10/II/2018</t>
  </si>
  <si>
    <t>Karawang</t>
  </si>
  <si>
    <t>Karawang,2/5/1981</t>
  </si>
  <si>
    <t>Yulianti Puspitasari, A.Md.Kep</t>
  </si>
  <si>
    <t>198507282023212007</t>
  </si>
  <si>
    <t>140152218-2239896</t>
  </si>
  <si>
    <t>1743/28/I/2015</t>
  </si>
  <si>
    <t>Klaten, 28/7/1985</t>
  </si>
  <si>
    <t>199004302023212004</t>
  </si>
  <si>
    <t>140152116-1250352</t>
  </si>
  <si>
    <t>786/28/XI/2017</t>
  </si>
  <si>
    <t>Yogyakarta, 30/4/1990</t>
  </si>
  <si>
    <t>Erna Febriyanti, S.Kep.,Ns</t>
  </si>
  <si>
    <t>Kab.Semarang</t>
  </si>
  <si>
    <t>Kab.Semarang, 10 Februari 1995</t>
  </si>
  <si>
    <t>Siti Amanah, Ners</t>
  </si>
  <si>
    <t>199601272022032003</t>
  </si>
  <si>
    <t>Bantul, 27-01-1996</t>
  </si>
  <si>
    <t>199105052023211002</t>
  </si>
  <si>
    <t>140151114-0851175</t>
  </si>
  <si>
    <t>Semarang, 05/05/1991</t>
  </si>
  <si>
    <t>Ns. Ike Renita Desti, S.Kep</t>
  </si>
  <si>
    <t>199012272024212024</t>
  </si>
  <si>
    <t>Gunungkidul, 27 Desember 1990</t>
  </si>
  <si>
    <t>Andita Laras Pramesthi, S.Tr.Kep., Ns</t>
  </si>
  <si>
    <t>Sukoharjo, 8 Oktober 1999</t>
  </si>
  <si>
    <t>Pandini Purbasari, S.Kep., Ns</t>
  </si>
  <si>
    <t>Sukoharjo, 9 Januari 1994</t>
  </si>
  <si>
    <t>Risa Nur Latifah S.Kep., Ners</t>
  </si>
  <si>
    <t>Demak</t>
  </si>
  <si>
    <t>Demak,08 Agustus 1993</t>
  </si>
  <si>
    <t>Tino Putra Pamungkas, S.Tr. Kep., Ns</t>
  </si>
  <si>
    <t>Klaten, 09 Mei 1997</t>
  </si>
  <si>
    <t>Tri Nyadasih S.Kep.,Ns</t>
  </si>
  <si>
    <t>Pandeglang</t>
  </si>
  <si>
    <t>Pandeglang, 19 Juni 1996</t>
  </si>
  <si>
    <t>199206032023212008</t>
  </si>
  <si>
    <t>140152114-0722058</t>
  </si>
  <si>
    <t>267/2/SIPP_33.10/II/2018</t>
  </si>
  <si>
    <t>Klaten, 03/06/1992</t>
  </si>
  <si>
    <t>Ruang Cathlab</t>
  </si>
  <si>
    <t>199405062023211001</t>
  </si>
  <si>
    <t>Sukoharjo, 06 Mei 1994</t>
  </si>
  <si>
    <t>Rico Maulana Nugroho, S.Kep, Ners</t>
  </si>
  <si>
    <t>199009292010121001</t>
  </si>
  <si>
    <t>140151112-0275184</t>
  </si>
  <si>
    <t>1808/28/III/2015</t>
  </si>
  <si>
    <t>Sukoharjo, 29/9/1990</t>
  </si>
  <si>
    <t>199907052025062008</t>
  </si>
  <si>
    <t>KARANGANYAR</t>
  </si>
  <si>
    <t>KARANGANYAR,05 Juli 1999</t>
  </si>
  <si>
    <t>Wahyu Yuni Cahyanti, S.Kep.Ners</t>
  </si>
  <si>
    <t>198106122012122001</t>
  </si>
  <si>
    <t>140152116-1264765</t>
  </si>
  <si>
    <t>965/28/XII/2017</t>
  </si>
  <si>
    <t>Klaten, 12/6/1981</t>
  </si>
  <si>
    <t>Kepala Ruang ICU 
GBST dan Ruang ICU 
PIE</t>
  </si>
  <si>
    <t>Ruang ICU</t>
  </si>
  <si>
    <t>Sukirno, S. Kep. Ns</t>
  </si>
  <si>
    <t>196608241987031001</t>
  </si>
  <si>
    <t>140151218-2239890</t>
  </si>
  <si>
    <t>306/1/SIPP_33.10/III/2018</t>
  </si>
  <si>
    <t>Klaten, 24/8/1966</t>
  </si>
  <si>
    <t>Sulistyani,  S.Kep, Ns</t>
  </si>
  <si>
    <t>197803052008122001</t>
  </si>
  <si>
    <t>140152115-0900903</t>
  </si>
  <si>
    <t>2085/28/VII/2015</t>
  </si>
  <si>
    <t>Klaten, 5/3/1978</t>
  </si>
  <si>
    <t>Fitri Nuraini, S.Kep, Ners</t>
  </si>
  <si>
    <t>198108012003122001</t>
  </si>
  <si>
    <t>140152218-2209542</t>
  </si>
  <si>
    <t>773/2/SIPP_33.10/IX/2018</t>
  </si>
  <si>
    <t>Boyolali, 1/8/1981</t>
  </si>
  <si>
    <t>Susilo Hartono</t>
  </si>
  <si>
    <t>198911282010121003</t>
  </si>
  <si>
    <t>140151113-0711973</t>
  </si>
  <si>
    <t>2297/28/II/2016</t>
  </si>
  <si>
    <t>Demak,</t>
  </si>
  <si>
    <t>Demak, 28/11/1989</t>
  </si>
  <si>
    <t>Nimas Bangkit Wijayaningrum, Ners</t>
  </si>
  <si>
    <t>199107252022032004</t>
  </si>
  <si>
    <t>Boyolali, 25-07-1991</t>
  </si>
  <si>
    <t>Rihmaningtyas, Ners</t>
  </si>
  <si>
    <t>199304032022032006</t>
  </si>
  <si>
    <t>Bantul, 03-04-1993</t>
  </si>
  <si>
    <t>Tri Nur Hidayati, Ners</t>
  </si>
  <si>
    <t>199705142022032003</t>
  </si>
  <si>
    <t>Kebumen, 14-05-1997</t>
  </si>
  <si>
    <t>Suwanto, S.Kep.Ners</t>
  </si>
  <si>
    <t>198009182005011003</t>
  </si>
  <si>
    <t>140151117-1420961</t>
  </si>
  <si>
    <t>588/1/SIPP_33.10/V/2018</t>
  </si>
  <si>
    <t>Boyolali, 18/9/1980</t>
  </si>
  <si>
    <t>Joko Kustanto, S.Kep, Ners</t>
  </si>
  <si>
    <t>197808112003121001</t>
  </si>
  <si>
    <t>140151218-2239881</t>
  </si>
  <si>
    <t>608/1/SIPP_33.10/V/2018</t>
  </si>
  <si>
    <t>Klaten, 11/8/1978</t>
  </si>
  <si>
    <t>Kartini, S.Kep, Ns</t>
  </si>
  <si>
    <t>198512172012122001</t>
  </si>
  <si>
    <t>140152218-2209559</t>
  </si>
  <si>
    <t>382/2/SIPP_33.10/IV/2018</t>
  </si>
  <si>
    <t>Klaten, 17/12/1985</t>
  </si>
  <si>
    <t>Wahyu Pamungkas Bayu Aji, S. Kep. Ns</t>
  </si>
  <si>
    <t>199203152020121007</t>
  </si>
  <si>
    <t>150151115-0906753</t>
  </si>
  <si>
    <t>2778/28/II/2017</t>
  </si>
  <si>
    <t>Gunungkidul, 15/03/1992</t>
  </si>
  <si>
    <t>199006242012121001</t>
  </si>
  <si>
    <t>140151115-0900981</t>
  </si>
  <si>
    <t>Perawatan Ahli Madya</t>
  </si>
  <si>
    <t>258/1/SIPP_33.10/II/2018</t>
  </si>
  <si>
    <t>Batang, 24 juni 1990</t>
  </si>
  <si>
    <t>Ratih Setya Palupi, S.Kep.Ns</t>
  </si>
  <si>
    <t>198512192020122005</t>
  </si>
  <si>
    <t>140172116-1200908</t>
  </si>
  <si>
    <t>152/2/SIPP_33.10/I/2018</t>
  </si>
  <si>
    <t>Boyolali, 19/12/1985</t>
  </si>
  <si>
    <t>199409242020122007</t>
  </si>
  <si>
    <t>BREBES / 1994-09-24</t>
  </si>
  <si>
    <t>Sandra Puspita Ningrum, Ners</t>
  </si>
  <si>
    <t>199511182022032004</t>
  </si>
  <si>
    <t>Batang Hari</t>
  </si>
  <si>
    <t>Batang Hari, 18-11-1995</t>
  </si>
  <si>
    <t>Ruri Erwan Fauzi, AMK</t>
  </si>
  <si>
    <t>198404192023211001</t>
  </si>
  <si>
    <t>140151217-1343381</t>
  </si>
  <si>
    <t>764/28/X/2017</t>
  </si>
  <si>
    <t>Klaten, 19/4/1984</t>
  </si>
  <si>
    <t>Sutarno Eko Prasetia, A.Md.Kep</t>
  </si>
  <si>
    <t>198412142023211001</t>
  </si>
  <si>
    <t>140151218-2238551</t>
  </si>
  <si>
    <t>596/1/SIPP_33.10/V/2018</t>
  </si>
  <si>
    <t>Klaten, 14/12/1984</t>
  </si>
  <si>
    <t>Ardik Widiyanto, AMK</t>
  </si>
  <si>
    <t>198106082023211001</t>
  </si>
  <si>
    <t>140151217-1343350</t>
  </si>
  <si>
    <t>788/28/XI/2017</t>
  </si>
  <si>
    <t>Sragen, 08/6/1981</t>
  </si>
  <si>
    <t>Ns. Yunita Dwi Hastuti, S. Kep.</t>
  </si>
  <si>
    <t>198306042023212005</t>
  </si>
  <si>
    <t>140152217-1343356</t>
  </si>
  <si>
    <t>765/28/X/2017</t>
  </si>
  <si>
    <t>Klaten, 04/6/1983</t>
  </si>
  <si>
    <t>Penyesuaian ijazah dari D3 Keperawatan ke Ners, BLU ke PPPK 2022</t>
  </si>
  <si>
    <t>Veronica Sari Wijayanti, AMK</t>
  </si>
  <si>
    <t>198605102023212009</t>
  </si>
  <si>
    <t>140152217-1343357</t>
  </si>
  <si>
    <t>766/28/X/2017</t>
  </si>
  <si>
    <t>Klaten, 10/5/1986</t>
  </si>
  <si>
    <t>Anang Prasetyo Wibowo, AMK</t>
  </si>
  <si>
    <t>198305072023211002</t>
  </si>
  <si>
    <t>140151218-2209587</t>
  </si>
  <si>
    <t>406/1/SIPP_33.10/IV/2018</t>
  </si>
  <si>
    <t>Sragen, 07/05/1983</t>
  </si>
  <si>
    <t>Arsinta Bestiari Tyaswinarsi</t>
  </si>
  <si>
    <t>198906132024212022</t>
  </si>
  <si>
    <t>140152116-1250349</t>
  </si>
  <si>
    <t>968/28/XII/2017</t>
  </si>
  <si>
    <t>Kebumen, 13/6/1989</t>
  </si>
  <si>
    <t>Indria Dwi Utami, AMK</t>
  </si>
  <si>
    <t>199010292023212004</t>
  </si>
  <si>
    <t>140152113-0712010</t>
  </si>
  <si>
    <t>1655/28/XII/2014</t>
  </si>
  <si>
    <t>Klaten, 29/10/1990</t>
  </si>
  <si>
    <t>Gatot Andriyanto, S. Kep, Ners</t>
  </si>
  <si>
    <t>197611241997031003</t>
  </si>
  <si>
    <t>140151218-2238544</t>
  </si>
  <si>
    <t>654/1/SIPP_33.10/VII/2018</t>
  </si>
  <si>
    <t>Klaten, 24/11/1976</t>
  </si>
  <si>
    <t>Mahas Wuri Handayani, S.Kep.,Ns</t>
  </si>
  <si>
    <t>199310032024212036</t>
  </si>
  <si>
    <t>BOYOLALI, 03 Oktober 1993</t>
  </si>
  <si>
    <t>Ahmad Aris Abdul Ghofur, S.Kep.Ns</t>
  </si>
  <si>
    <t>198909092024211025</t>
  </si>
  <si>
    <t>PATI</t>
  </si>
  <si>
    <t>PATI, 09 September 1989</t>
  </si>
  <si>
    <t>Bayu Sri Wahyudi, S.Kep., Ners</t>
  </si>
  <si>
    <t>199112172022031002</t>
  </si>
  <si>
    <t>Wonogiri, 17-12-1991</t>
  </si>
  <si>
    <t>Muhammad Arifin, S.Tr.Kep., Ners.</t>
  </si>
  <si>
    <t>Kab. Semarang</t>
  </si>
  <si>
    <t>Kab. Semarang, 23 Desember 1998</t>
  </si>
  <si>
    <t>Balqis Maharani, S.Kep., Ns.</t>
  </si>
  <si>
    <t>Sukoharjo, 5 Mei 1998</t>
  </si>
  <si>
    <t>Wahyu Isro' Nur A, AMK</t>
  </si>
  <si>
    <t>Boyolali, 30 Desember 1994</t>
  </si>
  <si>
    <t>Cici Puspitasari, AMK</t>
  </si>
  <si>
    <t>199306272023212007</t>
  </si>
  <si>
    <t>140152114-0722033</t>
  </si>
  <si>
    <t>Klaten, 27/06/1993</t>
  </si>
  <si>
    <t>Maratul Qoniah, S.Tr.Kep., Ners.</t>
  </si>
  <si>
    <t>Magetan, 13 Desember 1998</t>
  </si>
  <si>
    <t>Alfina Rizki Pramesti, S.Kep., Ns.</t>
  </si>
  <si>
    <t>Klaten, 6 Oktober 1999</t>
  </si>
  <si>
    <t>Yogi Kurniawan, A.Md.Kep</t>
  </si>
  <si>
    <t>Klaten, 15 April 1999</t>
  </si>
  <si>
    <t>Vidya Eka Dwi Aswara Anggraheni, S.Tr.Kep., Ns</t>
  </si>
  <si>
    <t>Bantul, 23 Maret 2000</t>
  </si>
  <si>
    <t>Amri Rusdiyanto, AMK</t>
  </si>
  <si>
    <t>198308282023211001</t>
  </si>
  <si>
    <t>140151218-2209531</t>
  </si>
  <si>
    <t>1663/28/XII/2014</t>
  </si>
  <si>
    <t>Klaten, 28/8/1983</t>
  </si>
  <si>
    <t>Savitri, Ners</t>
  </si>
  <si>
    <t>199612152022032005</t>
  </si>
  <si>
    <t>Kudus, 15-12-1996</t>
  </si>
  <si>
    <t>ICU GBST</t>
  </si>
  <si>
    <t>199512032025062008</t>
  </si>
  <si>
    <t>KLATEN,03 Desember 1995</t>
  </si>
  <si>
    <t>199711062025062007</t>
  </si>
  <si>
    <t>KLATEN,06 November 1997</t>
  </si>
  <si>
    <t>ICU PIE</t>
  </si>
  <si>
    <t>Irawan Derajat Dewandono, S.Kep., Ns</t>
  </si>
  <si>
    <t>199205172024211016</t>
  </si>
  <si>
    <t>SUKOHARJO, 17 Mei 1992</t>
  </si>
  <si>
    <t>Ifan Nur Hidayat, S.Kep., Ners</t>
  </si>
  <si>
    <t>199405292024211017</t>
  </si>
  <si>
    <t>MAGELANG, 29 Mei 1994</t>
  </si>
  <si>
    <t>Moh. Syukran Azim, S.Kep.,Ns.</t>
  </si>
  <si>
    <t>199007012024211016</t>
  </si>
  <si>
    <t>LOMBOK TENGAH</t>
  </si>
  <si>
    <t>LOMBOK TENGAH, 01 Juli 1990</t>
  </si>
  <si>
    <t>Astutik Irjayanti, AMK</t>
  </si>
  <si>
    <t>198912202024212027</t>
  </si>
  <si>
    <t>140152115-1048035</t>
  </si>
  <si>
    <t>796/28/XI/2017</t>
  </si>
  <si>
    <t>Jayapura</t>
  </si>
  <si>
    <t>Jayapura, 20/12/1989</t>
  </si>
  <si>
    <t xml:space="preserve">  </t>
  </si>
  <si>
    <t>Nihan Narastri, S.Kep, Ners</t>
  </si>
  <si>
    <t>198406272010012026</t>
  </si>
  <si>
    <t>Sleman, 27/062084</t>
  </si>
  <si>
    <t>Ns. Fajar Susanto, S. Kep</t>
  </si>
  <si>
    <t>197007131994031002</t>
  </si>
  <si>
    <t>140151112-0275307</t>
  </si>
  <si>
    <t>712/1/SIPP_33.10/VIII/2018</t>
  </si>
  <si>
    <t>Klaten, 13/7/1970</t>
  </si>
  <si>
    <t>Hartanto, AMK</t>
  </si>
  <si>
    <t>197501271995031001</t>
  </si>
  <si>
    <t>140151218-2209595</t>
  </si>
  <si>
    <t>595/1/SIPP_33.10/V/2018</t>
  </si>
  <si>
    <t>Klaten, 27/1/1975</t>
  </si>
  <si>
    <t>Dwi Ayu Agustin, S.Kep.Ns</t>
  </si>
  <si>
    <t>199208182018012001</t>
  </si>
  <si>
    <t>160172117-2029652</t>
  </si>
  <si>
    <t>237/2/SIPP_33.10/II/2018</t>
  </si>
  <si>
    <t>Lamongan, 18 Agustus 1992</t>
  </si>
  <si>
    <t>Luluk Septia Sari, AMK</t>
  </si>
  <si>
    <t>198709092023212009</t>
  </si>
  <si>
    <t>140152113-0711982</t>
  </si>
  <si>
    <t>1676/28/I/2015</t>
  </si>
  <si>
    <t>Klaten, 09/9/1987</t>
  </si>
  <si>
    <t>Ns. Dedy Surya Irawan, S.Kep</t>
  </si>
  <si>
    <t>198911302010121004</t>
  </si>
  <si>
    <t>140151115-1048286</t>
  </si>
  <si>
    <t>2757/28/II/2017</t>
  </si>
  <si>
    <t>Kr. Anyar, 30/11/1990</t>
  </si>
  <si>
    <t>Yuni Rahmawati, AMK</t>
  </si>
  <si>
    <t>198506072010122001</t>
  </si>
  <si>
    <t>140152218-2209602</t>
  </si>
  <si>
    <t>799/2/SIPP_33.10/IX/2018</t>
  </si>
  <si>
    <t>Boyolali,7/6/1985</t>
  </si>
  <si>
    <t>Hesti Wulandari, AMK</t>
  </si>
  <si>
    <t>198401042008012006</t>
  </si>
  <si>
    <t>140152217-1343371</t>
  </si>
  <si>
    <t>904/28/XI/2017</t>
  </si>
  <si>
    <t>Magelang, 4/1/1984</t>
  </si>
  <si>
    <t>Ria Rahayu Maykewati, S.Kep, Ners</t>
  </si>
  <si>
    <t>199905162024212020</t>
  </si>
  <si>
    <t>DEMAK, 16 Mei 1999</t>
  </si>
  <si>
    <t>Muliawati Nugrahaningtyas, Ners</t>
  </si>
  <si>
    <t>199705272022032001</t>
  </si>
  <si>
    <t>Klaten, 27-05-1997</t>
  </si>
  <si>
    <t>Sudaryanta, A.Md.A.P.</t>
  </si>
  <si>
    <t>Dewi Wirawati, SST, Ners</t>
  </si>
  <si>
    <t>197206212000032001</t>
  </si>
  <si>
    <t>140162116-1278077</t>
  </si>
  <si>
    <t>992/28/XII/2017</t>
  </si>
  <si>
    <t>Sukoharjo, 21/6/1972</t>
  </si>
  <si>
    <t>Ruang NICU</t>
  </si>
  <si>
    <t>Sri Puji Astuti,  S.Kep, Ners</t>
  </si>
  <si>
    <t>197510162000032001</t>
  </si>
  <si>
    <t>140152218-2209578</t>
  </si>
  <si>
    <t>675/2/SIPP_33.10/VII/2018</t>
  </si>
  <si>
    <t>Klaten, 16/10/1975</t>
  </si>
  <si>
    <t>Fitri Astuti</t>
  </si>
  <si>
    <t>197612152001122001</t>
  </si>
  <si>
    <t>656/2/SIPP_33.10/VII/2018</t>
  </si>
  <si>
    <t>Purbalingga</t>
  </si>
  <si>
    <t>Purbalingga, 15/12/1976</t>
  </si>
  <si>
    <t>Ika Yuni Ernawati, S.Kep, Ners</t>
  </si>
  <si>
    <t>198106152003122002</t>
  </si>
  <si>
    <t>140152117-1420959</t>
  </si>
  <si>
    <t>568/2/SIPP_33.10/V/2018</t>
  </si>
  <si>
    <t>Kebumen, 15/6/1981</t>
  </si>
  <si>
    <t>Siti Fatimah, AMK</t>
  </si>
  <si>
    <t>198306052006042004</t>
  </si>
  <si>
    <t>140152117-1420958</t>
  </si>
  <si>
    <t>587/2/SIPP_33.10/V/2018</t>
  </si>
  <si>
    <t>Klaten, 5/6/1983</t>
  </si>
  <si>
    <t>198307142009012003</t>
  </si>
  <si>
    <t>Temanggung, 14/07/1983</t>
  </si>
  <si>
    <t>Rita Wahyuni, S.Kep.Ners</t>
  </si>
  <si>
    <t>198401052005012001</t>
  </si>
  <si>
    <t>140152218-2209550</t>
  </si>
  <si>
    <t>655/2/SIPP_33.10/VII/2018</t>
  </si>
  <si>
    <t>Klaten, 5/1/1984</t>
  </si>
  <si>
    <t>Endah Sulistiyo, AMK</t>
  </si>
  <si>
    <t>198507092008012002</t>
  </si>
  <si>
    <t>140152218-2209537</t>
  </si>
  <si>
    <t>672/2/SIPP_33.10/VII/2018</t>
  </si>
  <si>
    <t>Kr. Anyar, 9/7/1985</t>
  </si>
  <si>
    <t>Lisyaroh Nurul A'ini, S.Kep.Ners</t>
  </si>
  <si>
    <t>198610222008012003</t>
  </si>
  <si>
    <t>140152118-0274574</t>
  </si>
  <si>
    <t>570/2/SIPP_33.10/V/2018</t>
  </si>
  <si>
    <t>Sukoharjo, 22/10/1986</t>
  </si>
  <si>
    <t>Shofiati Nur Hanifah, AMK</t>
  </si>
  <si>
    <t>198709232012122001</t>
  </si>
  <si>
    <t>140152113-0713302</t>
  </si>
  <si>
    <t>2126/28/VIII/2015</t>
  </si>
  <si>
    <t>Sukoharjo, 23/9/1987</t>
  </si>
  <si>
    <t>Elsya Yulita Sari, A.Md.Kep</t>
  </si>
  <si>
    <t>198807192012122001</t>
  </si>
  <si>
    <t>140152113-0713303</t>
  </si>
  <si>
    <t>2126/28/VIII/2016</t>
  </si>
  <si>
    <t>Ngawi, 19/7/1988</t>
  </si>
  <si>
    <t>Putri Asari, S.Kep.Ners</t>
  </si>
  <si>
    <t>198808082010122002</t>
  </si>
  <si>
    <t>140152218-2209603</t>
  </si>
  <si>
    <t>550/2/SIPP_33.10/V/2018</t>
  </si>
  <si>
    <t>Kr. Anyar, 8/8/1988</t>
  </si>
  <si>
    <t>Atina Dien Kartikasari, S.Kep.Ns</t>
  </si>
  <si>
    <t>198904122018012001</t>
  </si>
  <si>
    <t>150172115-0998238</t>
  </si>
  <si>
    <t>2754/28/II/2017</t>
  </si>
  <si>
    <t>Magetan, 12/04/1989</t>
  </si>
  <si>
    <t>Dyah Andriyani Mulyaningrum, S.Kep.Ns</t>
  </si>
  <si>
    <t>199101122019022001</t>
  </si>
  <si>
    <t>150172115-0998227</t>
  </si>
  <si>
    <t>170/2/SIPP_33.10/I/2018</t>
  </si>
  <si>
    <t>Demak, 12/01/1991</t>
  </si>
  <si>
    <t>Sri Wulansari, S.Kep</t>
  </si>
  <si>
    <t>199104092012122001</t>
  </si>
  <si>
    <t>140152218-2209604</t>
  </si>
  <si>
    <t>697/2/SIPP_33.10/VIII/2018</t>
  </si>
  <si>
    <t>S1 Keperawatan</t>
  </si>
  <si>
    <t>Semarang, 9/4/1991</t>
  </si>
  <si>
    <t>199204142020122005</t>
  </si>
  <si>
    <t>Samalanga</t>
  </si>
  <si>
    <t>SAMALANGA / 1992-04-14</t>
  </si>
  <si>
    <t>199210152020122010</t>
  </si>
  <si>
    <t>KEBUMEN / 1992-10-15</t>
  </si>
  <si>
    <t>199211162020122006</t>
  </si>
  <si>
    <t>GUNUNGKIDUL / 1992-11-16</t>
  </si>
  <si>
    <t>Dieta Suryaningsih, S.Kep.Ns</t>
  </si>
  <si>
    <t>199212082018012001</t>
  </si>
  <si>
    <t>140172117-2091930</t>
  </si>
  <si>
    <t>236/2/SIPP_33.10/II/2018</t>
  </si>
  <si>
    <t>Grobogan, 08 Desember 1992</t>
  </si>
  <si>
    <t>Rida Pratika Sari, S.Kep.Ns</t>
  </si>
  <si>
    <t>199303022019022001</t>
  </si>
  <si>
    <t>150172117-2041002</t>
  </si>
  <si>
    <t>166/2/SIPP_33.10/I/2018</t>
  </si>
  <si>
    <t>Sleman, 02/03/1993</t>
  </si>
  <si>
    <t>Ns. Restiana Rahmawati, S.Kep</t>
  </si>
  <si>
    <t>199303282020122007</t>
  </si>
  <si>
    <t>140172117-2123341</t>
  </si>
  <si>
    <t>172/2/SIPP_33.10/I/2018</t>
  </si>
  <si>
    <t>Banjarnegara, 28/03/1993</t>
  </si>
  <si>
    <t>199305102020122015</t>
  </si>
  <si>
    <t>SUKOHARJO / 1993-05-10</t>
  </si>
  <si>
    <t>199403212020122009</t>
  </si>
  <si>
    <t>NGAWI / 1994-03-21</t>
  </si>
  <si>
    <t>199405022020122008</t>
  </si>
  <si>
    <t>YOGYAKARTA / 1994-05-02</t>
  </si>
  <si>
    <t>199503062020122012</t>
  </si>
  <si>
    <t>Kulon Progo</t>
  </si>
  <si>
    <t>KULON PROGO / 1995-03-06</t>
  </si>
  <si>
    <t>Ratih Purbo Harumi, S.Kep.Ns</t>
  </si>
  <si>
    <t>199101152022032002</t>
  </si>
  <si>
    <t>140172115-1048121</t>
  </si>
  <si>
    <t>2768/28/II/2017</t>
  </si>
  <si>
    <t>Klaten, 15/01/1991</t>
  </si>
  <si>
    <t>199501012020122018</t>
  </si>
  <si>
    <t>KLATEN / 1995-01-01</t>
  </si>
  <si>
    <t>Budi Satriyo</t>
  </si>
  <si>
    <t>196911221990031002</t>
  </si>
  <si>
    <t>Klaten, 22/11/1969</t>
  </si>
  <si>
    <t>Pramu Husada</t>
  </si>
  <si>
    <t>Darmono</t>
  </si>
  <si>
    <t>196804091994031002</t>
  </si>
  <si>
    <t>Klaten, 9/4/1968</t>
  </si>
  <si>
    <t>Arini Agustina, Ners</t>
  </si>
  <si>
    <t>199408172022032003</t>
  </si>
  <si>
    <t>Klaten, 17-08-1994</t>
  </si>
  <si>
    <t>Bekti Wulandari, Ners</t>
  </si>
  <si>
    <t>199607032022032002</t>
  </si>
  <si>
    <t>Kebumen, 03-07-1996</t>
  </si>
  <si>
    <t>Dwi Sri Marwanti, AMK</t>
  </si>
  <si>
    <t>198403272023212008</t>
  </si>
  <si>
    <t>140152218-2209583</t>
  </si>
  <si>
    <t>549/2/SIPP_33.10/V/2018</t>
  </si>
  <si>
    <t>Klaten, 27/3/1984</t>
  </si>
  <si>
    <t>Retno Zuhriatul Farida, AMK</t>
  </si>
  <si>
    <t>198507152023212008</t>
  </si>
  <si>
    <t>140152218-2209571</t>
  </si>
  <si>
    <t>695/2/SIPP_33.10/VIII/2018</t>
  </si>
  <si>
    <t>Klaten, 15/7/1985</t>
  </si>
  <si>
    <t>Nunuk Ambarwati</t>
  </si>
  <si>
    <t>198405242023212003</t>
  </si>
  <si>
    <t>140152217-2162915</t>
  </si>
  <si>
    <t>569/2/SIPP_33.10/V/2018</t>
  </si>
  <si>
    <t>Klaten, 24 /5/1984</t>
  </si>
  <si>
    <t>Indarsih, AMK</t>
  </si>
  <si>
    <t xml:space="preserve"> 198612062023212002</t>
  </si>
  <si>
    <t>140152217-2162946</t>
  </si>
  <si>
    <t>692/2/SIPP_33.10/VIII/2018</t>
  </si>
  <si>
    <t>Pekalongan, 06/12/1986</t>
  </si>
  <si>
    <t>Kurniatun, AMK</t>
  </si>
  <si>
    <t>199006032024212027</t>
  </si>
  <si>
    <t>140152218-2337488</t>
  </si>
  <si>
    <t>778/2/SIPP_33.10/IX/2018</t>
  </si>
  <si>
    <t>Klaten, 3/6/1990</t>
  </si>
  <si>
    <t>PPPK 2023 TMT 1 APRIL 2024</t>
  </si>
  <si>
    <t>Grace Rut Dayati, A.Md.Kep</t>
  </si>
  <si>
    <t>199504112023212008</t>
  </si>
  <si>
    <t>150152116-1151835</t>
  </si>
  <si>
    <t>149/2/SIPP_33.10/I/2018</t>
  </si>
  <si>
    <t>Klaten, 11/04/1995</t>
  </si>
  <si>
    <t>Anna Wahidhatun Nisa, AMK</t>
  </si>
  <si>
    <t>199507092024212035</t>
  </si>
  <si>
    <t>140152117-2025754</t>
  </si>
  <si>
    <t>138/2/sipp_33.10/i/2018</t>
  </si>
  <si>
    <t>Lampung, 09/07/1995</t>
  </si>
  <si>
    <t>Apriliani, AMK</t>
  </si>
  <si>
    <t>198404212023212006</t>
  </si>
  <si>
    <t>140152217-1343396</t>
  </si>
  <si>
    <t>612/28/IX/2017</t>
  </si>
  <si>
    <t>Klaten, 21/4/1984</t>
  </si>
  <si>
    <t>Evi Apriliani, S.Par.</t>
  </si>
  <si>
    <t>S1 Hospitality</t>
  </si>
  <si>
    <t>Klaten, 06/4/1988</t>
  </si>
  <si>
    <t>Eka Mey Wulandari, A.Md</t>
  </si>
  <si>
    <t>D3 Seni Kuliner</t>
  </si>
  <si>
    <t>Hanif Alisa Ardhya Garini Sukma., S.Kep., Ns</t>
  </si>
  <si>
    <t>Sleman, 29 Oktober 1992</t>
  </si>
  <si>
    <t>Nurul Cahya Widyaningrum, S.Tr.Kep., Ns</t>
  </si>
  <si>
    <t>Pulau Burung</t>
  </si>
  <si>
    <t>Pulau Burung, 5 April 1999</t>
  </si>
  <si>
    <t>Juliana Sholihah, S.Kep.,Ns</t>
  </si>
  <si>
    <t>Boyolali, 24 Juli 1992</t>
  </si>
  <si>
    <t>Nina Ardiyanti. S.kep, Ns</t>
  </si>
  <si>
    <t>2024090786</t>
  </si>
  <si>
    <t>Salatiga</t>
  </si>
  <si>
    <t>Salatiga, 03 Maret 1996</t>
  </si>
  <si>
    <t>Riska Ayu Melinda Damayanti., S.Kep.,Ns</t>
  </si>
  <si>
    <t>Klaten,17 November 1995</t>
  </si>
  <si>
    <t>Tri Wahyuningsih, S.Kep., Ners</t>
  </si>
  <si>
    <t>Sukoharjo, 29 April 2000</t>
  </si>
  <si>
    <t>Ns. Devie Clarisasari Budiman, S.Kep</t>
  </si>
  <si>
    <t>Semarang, 29 Desember 1999</t>
  </si>
  <si>
    <t>199907062025062004</t>
  </si>
  <si>
    <t>KLATEN,06 Juli 1999</t>
  </si>
  <si>
    <t>200012062025062007</t>
  </si>
  <si>
    <t>SUKOHARJO,06 Desember 2000</t>
  </si>
  <si>
    <t>200005082025062007</t>
  </si>
  <si>
    <t>PEKALONGAN</t>
  </si>
  <si>
    <t>PEKALONGAN,08 Mei 2000</t>
  </si>
  <si>
    <t>200004252025062003</t>
  </si>
  <si>
    <t>GUNUNG KIDUL,25 April 2000</t>
  </si>
  <si>
    <t>198505172023212006</t>
  </si>
  <si>
    <t>140152218-2337489</t>
  </si>
  <si>
    <t>1661/28/XII/2014</t>
  </si>
  <si>
    <t>Boyolali, 17/5/1985</t>
  </si>
  <si>
    <t>Elly Rusmawarti Sunardji, SST, Ners</t>
  </si>
  <si>
    <t>197609151998032001</t>
  </si>
  <si>
    <t>140162116-1284054</t>
  </si>
  <si>
    <t>607/28/VIII/2017</t>
  </si>
  <si>
    <t>Klaten, 15/9/1976</t>
  </si>
  <si>
    <t>Ruang PICU</t>
  </si>
  <si>
    <t>Umi Lestari, S.Kep.,Ners</t>
  </si>
  <si>
    <t>197402021998032001</t>
  </si>
  <si>
    <t>140152117-1420960</t>
  </si>
  <si>
    <t>572/2/SIPP_33.10/V/2018</t>
  </si>
  <si>
    <t>Klaten, 2/2/1974</t>
  </si>
  <si>
    <t>Anna Wahyu Nurhidayati, AMK</t>
  </si>
  <si>
    <t>197602182001122001</t>
  </si>
  <si>
    <t>140152218-2209620</t>
  </si>
  <si>
    <t>571/2/SIPP_33.10/V/2018</t>
  </si>
  <si>
    <t>Klaten, 18/2/1976</t>
  </si>
  <si>
    <t>Heny Indrawati, S. Kep. Ns</t>
  </si>
  <si>
    <t>197812081998032001</t>
  </si>
  <si>
    <t>140152218-2209632</t>
  </si>
  <si>
    <t>554/2/SIPP_33.10/V/2018</t>
  </si>
  <si>
    <t>Klaten, 08/12/1978</t>
  </si>
  <si>
    <t>Sri Wijiyanti, AMK</t>
  </si>
  <si>
    <t>198210012012122001</t>
  </si>
  <si>
    <t>140152218-2209554</t>
  </si>
  <si>
    <t>408/2/SIPP_33.10/IV/2018</t>
  </si>
  <si>
    <t>Klaten, 1/10/1982</t>
  </si>
  <si>
    <t>Tri Surani, AMK</t>
  </si>
  <si>
    <t>198509212012122001</t>
  </si>
  <si>
    <t>140152117-1420962</t>
  </si>
  <si>
    <t>195/2/SIPP_33.10/I/2018</t>
  </si>
  <si>
    <t>Boyolali, 21/9/1985</t>
  </si>
  <si>
    <t>Nunung Ilowati, AMK</t>
  </si>
  <si>
    <t>198605252019022001</t>
  </si>
  <si>
    <t>140152217-1343394</t>
  </si>
  <si>
    <t>609/28/VIII/2017</t>
  </si>
  <si>
    <t>Klaten, 25/5/1986</t>
  </si>
  <si>
    <t>Siti Susika Pupita Sari, A.Md.Kep</t>
  </si>
  <si>
    <t>199008042012122004</t>
  </si>
  <si>
    <t>140152115-0900912</t>
  </si>
  <si>
    <t>1740/28/VII/2015</t>
  </si>
  <si>
    <t>Blora</t>
  </si>
  <si>
    <t>Blora, 04/08/1990</t>
  </si>
  <si>
    <t>Rano Sulistya</t>
  </si>
  <si>
    <t>198406232010121001</t>
  </si>
  <si>
    <t>140151218-2209582</t>
  </si>
  <si>
    <t>394/1/SIPP_33.10/IV/2018</t>
  </si>
  <si>
    <t>Klaten, 23/6/1984</t>
  </si>
  <si>
    <t>199305292020122009</t>
  </si>
  <si>
    <t>KULON PROGO / 1993-05-29</t>
  </si>
  <si>
    <t>Syaiful Rifai, S.Kep.Ns</t>
  </si>
  <si>
    <t>199105072020121002</t>
  </si>
  <si>
    <t>140171116-2011733</t>
  </si>
  <si>
    <t>137/1/SIPP_33.10/I/2018</t>
  </si>
  <si>
    <t>Boyolali, 07/05/1991</t>
  </si>
  <si>
    <t>Parantika Dwi Cahyani, A.Md. Kep</t>
  </si>
  <si>
    <t>198310292023212001</t>
  </si>
  <si>
    <t>140152217-1463373</t>
  </si>
  <si>
    <t>417/2/SIPP_33.10/IV/2018</t>
  </si>
  <si>
    <t>Sleman, 29/10/1983</t>
  </si>
  <si>
    <t>198211062023212002</t>
  </si>
  <si>
    <t>140152218-2209545</t>
  </si>
  <si>
    <t>347/2/SIPP_33.10/IV/2018</t>
  </si>
  <si>
    <t>Klaten, 6/11/1982</t>
  </si>
  <si>
    <t>Rubiyatin, AMK</t>
  </si>
  <si>
    <t>198205212023212004</t>
  </si>
  <si>
    <t>140152218-2292120</t>
  </si>
  <si>
    <t>669/2/SIPP_33.10/VII/2018</t>
  </si>
  <si>
    <t>Sukoharjo, 21/5/1982</t>
  </si>
  <si>
    <t>198801032023212002</t>
  </si>
  <si>
    <t>140152217-1343391</t>
  </si>
  <si>
    <t>1009/28/XII/2017</t>
  </si>
  <si>
    <t>Klaten, 03/1/1988</t>
  </si>
  <si>
    <t>198911122023212004</t>
  </si>
  <si>
    <t>140152218-2209562</t>
  </si>
  <si>
    <t>559/2/SIPP_33.10/V/2018</t>
  </si>
  <si>
    <t>Klaten, 12/11/1989</t>
  </si>
  <si>
    <t>198511252023212005</t>
  </si>
  <si>
    <t>140152218-2209585</t>
  </si>
  <si>
    <t>555/2/SIPP_33.10/V/2018</t>
  </si>
  <si>
    <t>Sleman, 25/11/1985</t>
  </si>
  <si>
    <t>199909292025061008</t>
  </si>
  <si>
    <t>KLATEN,29 September 1999</t>
  </si>
  <si>
    <t>Fitria Candra Dewi, A.Md.A.P</t>
  </si>
  <si>
    <t>Rina Sari Dewi Setyaningsih, S. Kep. Ns</t>
  </si>
  <si>
    <t>197611052000032001</t>
  </si>
  <si>
    <t>140152218-2209510</t>
  </si>
  <si>
    <t>560/2/SIPP_33.10/V/2018</t>
  </si>
  <si>
    <t>Klaten, 5/11/1976</t>
  </si>
  <si>
    <t>Ruang Lily</t>
  </si>
  <si>
    <t>Eni Susilawati, AMK</t>
  </si>
  <si>
    <t>196808011988032001</t>
  </si>
  <si>
    <t>140152218-2238513</t>
  </si>
  <si>
    <t>405/2/SIPP_33.10/IV/2018</t>
  </si>
  <si>
    <t>0/0/2002</t>
  </si>
  <si>
    <t>Klaten, 1/8/1968</t>
  </si>
  <si>
    <t>Wiji Lestari, AMK</t>
  </si>
  <si>
    <t>196809061988032001</t>
  </si>
  <si>
    <t>140152218-2209596</t>
  </si>
  <si>
    <t>407/2/SIPP_33.10/IV/2018</t>
  </si>
  <si>
    <t>Klaten, 6/9/1968</t>
  </si>
  <si>
    <t>Suyadi, AMK</t>
  </si>
  <si>
    <t>197202211992031002</t>
  </si>
  <si>
    <t>140151217-1343354</t>
  </si>
  <si>
    <t>610/28/IX/2017</t>
  </si>
  <si>
    <t>Klaten, 21/2/1972</t>
  </si>
  <si>
    <t>Rini Mastuti Rahayu, S.Kep.Ners</t>
  </si>
  <si>
    <t>197811302008012013</t>
  </si>
  <si>
    <t>140152217-1463354</t>
  </si>
  <si>
    <t>198/2/SIPP_33.10/I/2018</t>
  </si>
  <si>
    <t>Klaten, 30/11/1978</t>
  </si>
  <si>
    <t>Rina Kristiani, S.Kep., Ners</t>
  </si>
  <si>
    <t>198007112010122001</t>
  </si>
  <si>
    <t>140152217-1343393</t>
  </si>
  <si>
    <t>605/28/VIII/2017</t>
  </si>
  <si>
    <t>Klaten, 11/7/1980</t>
  </si>
  <si>
    <t>Rahadiyan Asmaraningrum, SST</t>
  </si>
  <si>
    <t>198310272005012001</t>
  </si>
  <si>
    <t>140162116-1284056</t>
  </si>
  <si>
    <t>902/28/XI/2017</t>
  </si>
  <si>
    <t>Klaten, 27/10/1983</t>
  </si>
  <si>
    <t>Hani Fitri Widyastuti, A.Md.Kep</t>
  </si>
  <si>
    <t>198706202012122001</t>
  </si>
  <si>
    <t>140152218-2209547</t>
  </si>
  <si>
    <t>561/2/SIPP_33.10/V/2018</t>
  </si>
  <si>
    <t>Sragen, 20/6/1987</t>
  </si>
  <si>
    <t>Sri Wulandari, A.Md</t>
  </si>
  <si>
    <t>198706212008122003</t>
  </si>
  <si>
    <t>140152218-2209570</t>
  </si>
  <si>
    <t>403/2/SIPP_33.10/IV/2018</t>
  </si>
  <si>
    <t>Gunung Kidul, 21/6/1987</t>
  </si>
  <si>
    <t>Nurma Puspita Sari, AMK</t>
  </si>
  <si>
    <t>198801222012122003</t>
  </si>
  <si>
    <t>140152115-0975349</t>
  </si>
  <si>
    <t>611/28/IX/2017</t>
  </si>
  <si>
    <t>Semarang, 22/1/1988</t>
  </si>
  <si>
    <t>199504092020122007</t>
  </si>
  <si>
    <t>SRAGEN / 1995-04-09</t>
  </si>
  <si>
    <t>Arum Setyaningsih, Ners</t>
  </si>
  <si>
    <t>199404052022032005</t>
  </si>
  <si>
    <t>Gunung Kidul, 05-04-1994</t>
  </si>
  <si>
    <t>198905052024212046</t>
  </si>
  <si>
    <t>140152115-0966968</t>
  </si>
  <si>
    <t>604/28/VIII/2017</t>
  </si>
  <si>
    <t>Klaten, 05/5/1989</t>
  </si>
  <si>
    <t>199402152024212042</t>
  </si>
  <si>
    <t>140152115-1090142</t>
  </si>
  <si>
    <t>2759/28/II/2017</t>
  </si>
  <si>
    <t>Sukoharjo, 15/02/1994</t>
  </si>
  <si>
    <t>Anggraini Ninda Puspitasari, S.Kep, Ns</t>
  </si>
  <si>
    <t>199502282024212054</t>
  </si>
  <si>
    <t>BANTUL, 28 Februari 1995</t>
  </si>
  <si>
    <t>Heppy Ayu Hernawati</t>
  </si>
  <si>
    <t>198205302003122002</t>
  </si>
  <si>
    <t>140152218-2209548</t>
  </si>
  <si>
    <t>691/2/SIPP_33.10/VIII/2018</t>
  </si>
  <si>
    <t>Surakarta, 30/5/1982</t>
  </si>
  <si>
    <t>Beny Isnaini Prihatiningrum, S.Kep., Ners.</t>
  </si>
  <si>
    <t>Sukoharjo, 3 September 1995</t>
  </si>
  <si>
    <t>Ns. Anggit Atmojo Susilo, S.Kep</t>
  </si>
  <si>
    <t>Klaten, 10 Mei 1999</t>
  </si>
  <si>
    <t>Klaten, 17 Juli 1996</t>
  </si>
  <si>
    <t>Lebakpeniangan</t>
  </si>
  <si>
    <t>Lebakpeniangan, 06 Maret 1994</t>
  </si>
  <si>
    <t>Intan Lidiya Sari, A.Md.Kep</t>
  </si>
  <si>
    <t>Klaten, 5 Maret 1998</t>
  </si>
  <si>
    <t>Dwiana Putri Permatasari, S. Tr. Kep., Ns</t>
  </si>
  <si>
    <t>Klaten, 24 Mei 1999</t>
  </si>
  <si>
    <t>Dari Dahlia 5 ke Lily diperbantukan sementara  mulai tanggal 1 Mei 2025 s.d 12 Juni 2025</t>
  </si>
  <si>
    <t>Mariana Sari Dewi, A.Md.Kep</t>
  </si>
  <si>
    <t>198711252023212002</t>
  </si>
  <si>
    <t>140152114-0851581</t>
  </si>
  <si>
    <t>2766/28/II/2017</t>
  </si>
  <si>
    <t>Klaten, 25/11/1987</t>
  </si>
  <si>
    <t>199804242025062012</t>
  </si>
  <si>
    <t>KLATEN,24 April 1998</t>
  </si>
  <si>
    <t>199801312025062003</t>
  </si>
  <si>
    <t xml:space="preserve">	SUKOHARJO</t>
  </si>
  <si>
    <t xml:space="preserve">	SUKOHARJO,31 Januari 1998</t>
  </si>
  <si>
    <t>199803212025062009</t>
  </si>
  <si>
    <t>JAKARTA,21 Maret 1998</t>
  </si>
  <si>
    <t>Sinung Teguh Kristiyadi</t>
  </si>
  <si>
    <t>197002271990031001</t>
  </si>
  <si>
    <t>Pranata Laboratorium Kesehatan Penyelia</t>
  </si>
  <si>
    <t>141451217-1353188</t>
  </si>
  <si>
    <t>Ahli Madya Teknologi Laboratorium Medik</t>
  </si>
  <si>
    <t>08/1/SIP-ATLM_33.10/I/2015</t>
  </si>
  <si>
    <t>D3 Analis Kesehatan</t>
  </si>
  <si>
    <t>Klaten, 27/2/1970</t>
  </si>
  <si>
    <t>Analis Kesehatan</t>
  </si>
  <si>
    <t>Ruang Patologi Klinik</t>
  </si>
  <si>
    <t>Sri Jariyatun, A.Md</t>
  </si>
  <si>
    <t>197101281991032005</t>
  </si>
  <si>
    <t>141422116-1225562</t>
  </si>
  <si>
    <t>Asisten Analis Kesehatan</t>
  </si>
  <si>
    <t>179/2/SIP-ATLM_33.10/XII/2017</t>
  </si>
  <si>
    <t>Klaten, 28/1/1971</t>
  </si>
  <si>
    <t>Eni Krisnawati. A.Md.AK</t>
  </si>
  <si>
    <t>197102251990032001</t>
  </si>
  <si>
    <t>151452115-0998061</t>
  </si>
  <si>
    <t>Analis Kesehatan Ahli Madya</t>
  </si>
  <si>
    <t>19/2/SIKAK_33.10/VIII/2015</t>
  </si>
  <si>
    <t>Klaten, 25/2/1971</t>
  </si>
  <si>
    <t>Farida Yuniyanti</t>
  </si>
  <si>
    <t>197206201998032001</t>
  </si>
  <si>
    <t>141452217-1353211</t>
  </si>
  <si>
    <t>09/2/SIP-ATLM_33.10/XII/2017</t>
  </si>
  <si>
    <t>Klaten, 20/6/1972</t>
  </si>
  <si>
    <t>Tim Susilowati</t>
  </si>
  <si>
    <t>197404062008012018</t>
  </si>
  <si>
    <t>141452217-1353204</t>
  </si>
  <si>
    <t>11/2/SIP-ATLM_33.10/XII/2017</t>
  </si>
  <si>
    <t>Ngawi, 6/4/1974</t>
  </si>
  <si>
    <t>Yopi Nugraheni, A.Md.Kes</t>
  </si>
  <si>
    <t>197905262010042001</t>
  </si>
  <si>
    <t>Madiun, 26 Mei 1978</t>
  </si>
  <si>
    <t>Dinkes Pemkot Jayapura</t>
  </si>
  <si>
    <t>Tumini, A.Md</t>
  </si>
  <si>
    <t>198308202009032008</t>
  </si>
  <si>
    <t>Boyolali, 20/08/2018</t>
  </si>
  <si>
    <t>Muh Saibani, A.Md</t>
  </si>
  <si>
    <t>198404132023211002</t>
  </si>
  <si>
    <t>Pranata Laboratorium Kesehatan Terampil</t>
  </si>
  <si>
    <t>141451217-1353246</t>
  </si>
  <si>
    <t>12/1/SIP-ATLM_33.10/II/2018</t>
  </si>
  <si>
    <t>Klaten,13/04/1984</t>
  </si>
  <si>
    <t>Atika Riskayani, S.Tr.Kes</t>
  </si>
  <si>
    <t>198408252008122003</t>
  </si>
  <si>
    <t>Pranata Laboratorium Kesehatan Ahli Muda</t>
  </si>
  <si>
    <t>141452115-1026302</t>
  </si>
  <si>
    <t>29/2/SIP-ATLM_33.10/II/2018</t>
  </si>
  <si>
    <t>D4 Analis Kesehatan</t>
  </si>
  <si>
    <t>Yogyakarta, 25/8/1984</t>
  </si>
  <si>
    <t>Fransisca Ratna Wahyu Wijaya, A.Md.AK</t>
  </si>
  <si>
    <t>198507252010012013</t>
  </si>
  <si>
    <t>141452115-1026301</t>
  </si>
  <si>
    <t>143/2/SIP-ATLM_33.10/XII/2016</t>
  </si>
  <si>
    <t>Klaten, 25/07/1985</t>
  </si>
  <si>
    <t>Dian Sumara Eka Putra</t>
  </si>
  <si>
    <t>198610072008011001</t>
  </si>
  <si>
    <t>141451217-2163380</t>
  </si>
  <si>
    <t>24/1/SIP-ATLM_33.10/II/2018</t>
  </si>
  <si>
    <t>Blora, 7/10/1986</t>
  </si>
  <si>
    <t>198612032023212003</t>
  </si>
  <si>
    <t xml:space="preserve"> Pranata Laboratorium Kesehatan Terampil</t>
  </si>
  <si>
    <t>Klaten, 3 Desember 1986</t>
  </si>
  <si>
    <t>Pranata Laboratorium Kesehatan</t>
  </si>
  <si>
    <t>199007062018012001</t>
  </si>
  <si>
    <t>Pranata Laboratorium Kesehatan Ahli Pertama</t>
  </si>
  <si>
    <t>141462217-1353996</t>
  </si>
  <si>
    <t>Ahli Teknologi Laboratorium Medik</t>
  </si>
  <si>
    <t>Purworejo, 06/07/1990</t>
  </si>
  <si>
    <t>Siti Wakhidhiah Nurhayati, A.Md.Ak</t>
  </si>
  <si>
    <t>199303022023212007</t>
  </si>
  <si>
    <t>Bantul, 02 Maret 1993</t>
  </si>
  <si>
    <t>199405172023212010</t>
  </si>
  <si>
    <t>Klaten, 17 Mei 1994</t>
  </si>
  <si>
    <t>199609192020122013</t>
  </si>
  <si>
    <t>Penata laboratorium Kesehatan Ahli Pertama</t>
  </si>
  <si>
    <t>SLEMAN / 1996-09-19</t>
  </si>
  <si>
    <t>Ayu Proboningsih, A.Md.Kes</t>
  </si>
  <si>
    <t>199906162022032003</t>
  </si>
  <si>
    <t>D3 Teknologi Laboratorium Medis</t>
  </si>
  <si>
    <t>Klaten, 16 Juni 1999</t>
  </si>
  <si>
    <t>D3 Manaj. Informatika Perbankan</t>
  </si>
  <si>
    <t>198105312012121001</t>
  </si>
  <si>
    <t>140151115-1048281</t>
  </si>
  <si>
    <t>967/28/XII/2017</t>
  </si>
  <si>
    <t>Kalten</t>
  </si>
  <si>
    <t>Kalten, 31/5/1981</t>
  </si>
  <si>
    <t>Tri Yuni Setiari</t>
  </si>
  <si>
    <t>197606161998032003</t>
  </si>
  <si>
    <t>Pengatur Tk.I</t>
  </si>
  <si>
    <t>II/d</t>
  </si>
  <si>
    <t>Asisten Apoteker / Pengelola Kefarmasian</t>
  </si>
  <si>
    <t>SMF</t>
  </si>
  <si>
    <t>Purwodadi, 16/6/1976</t>
  </si>
  <si>
    <t>Agendaris</t>
  </si>
  <si>
    <t>OS 1</t>
  </si>
  <si>
    <t>Grade 3</t>
  </si>
  <si>
    <t>Kristiyawan, A.Md.Kom.</t>
  </si>
  <si>
    <t>Novianto Ari Handoko, A.Md.A.P</t>
  </si>
  <si>
    <t>Klaten, 21/11/1982</t>
  </si>
  <si>
    <t>Pranata Kearsipan</t>
  </si>
  <si>
    <t>199610122025062006</t>
  </si>
  <si>
    <t>D4 Teknologi Laboratorium Medis</t>
  </si>
  <si>
    <t>KLATEN,12 Oktober 1996</t>
  </si>
  <si>
    <t>199711212025062006</t>
  </si>
  <si>
    <t>KLATEN,21 November 1997</t>
  </si>
  <si>
    <t>199801162025061002</t>
  </si>
  <si>
    <t>SUKOHARJO,16 Januari 1998</t>
  </si>
  <si>
    <t>199811112025062012</t>
  </si>
  <si>
    <t>PURBALINGGA,11 November 1998</t>
  </si>
  <si>
    <t>200101262025062008</t>
  </si>
  <si>
    <t>SLEMAN,26 Januari 2001</t>
  </si>
  <si>
    <t>Febri Nuraeni Subardiyo, S.Tr.Kes.</t>
  </si>
  <si>
    <t>198802282011012008</t>
  </si>
  <si>
    <t>Klaten, 28/02/1988</t>
  </si>
  <si>
    <t>Ruang Patologi Anatomi</t>
  </si>
  <si>
    <t>Wresti Ira Anggraini, A.Md. AK</t>
  </si>
  <si>
    <t>199101152019022001</t>
  </si>
  <si>
    <t>Pranata Laboratorium Kesehatan Mahir</t>
  </si>
  <si>
    <t>Klaten, 01/15/1991</t>
  </si>
  <si>
    <t>200108162025062005</t>
  </si>
  <si>
    <t>KUDUS</t>
  </si>
  <si>
    <t>KUDUS,16 Agustus 2001</t>
  </si>
  <si>
    <t>199808192025062016</t>
  </si>
  <si>
    <t>KLATEN,19 Agustus 1998</t>
  </si>
  <si>
    <t>200006092025062007</t>
  </si>
  <si>
    <t>TULUNGAGUNG</t>
  </si>
  <si>
    <t>TULUNGAGUNG,09 Juni 2000</t>
  </si>
  <si>
    <t>S1 Teknik Informatika</t>
  </si>
  <si>
    <t>Margono, SST, M. Kes</t>
  </si>
  <si>
    <t>196910231990031002</t>
  </si>
  <si>
    <t>Pranata Laboratorium Kesehatan Ahli Madya</t>
  </si>
  <si>
    <t>141451217-1353233</t>
  </si>
  <si>
    <t>87a/1/SIP-ATLM_33.10/XII/2017</t>
  </si>
  <si>
    <t>S2 Magister Kesehatan</t>
  </si>
  <si>
    <t>Klaten, 23/10/1969</t>
  </si>
  <si>
    <t>Ruang Mikrobiologi Klinik</t>
  </si>
  <si>
    <t>Retno Wulandari, S.Tr.Kes.</t>
  </si>
  <si>
    <t>198509302010012026</t>
  </si>
  <si>
    <t>151452114-0860769</t>
  </si>
  <si>
    <t>18/2/SIKAK_33.10/VIII/2015</t>
  </si>
  <si>
    <t>Klaten, 30/9/1985</t>
  </si>
  <si>
    <t>197807051998032002</t>
  </si>
  <si>
    <t>151452115-0998062</t>
  </si>
  <si>
    <t>17/2/SIKAK_33.10/VIII/2015</t>
  </si>
  <si>
    <t>Klaten, 5/7/1978</t>
  </si>
  <si>
    <t>198907112023212003</t>
  </si>
  <si>
    <t>141452217-1353220</t>
  </si>
  <si>
    <t>27/2/SIP-ATLM_33.10/II/2018</t>
  </si>
  <si>
    <t>Bengkulu</t>
  </si>
  <si>
    <t>Bengkulu,11/07/1989</t>
  </si>
  <si>
    <t>199508192024211019</t>
  </si>
  <si>
    <t>Klaten, 19/07/1995</t>
  </si>
  <si>
    <t>199302202024212028</t>
  </si>
  <si>
    <t>Klaten, 02/02/1993</t>
  </si>
  <si>
    <t>Paryadi, A.Md</t>
  </si>
  <si>
    <t>Rahayu, A.Md</t>
  </si>
  <si>
    <t>197202122000032002</t>
  </si>
  <si>
    <t>141452217-1353189</t>
  </si>
  <si>
    <t>10/2/SIP-ATLM_33.10/XII/2017</t>
  </si>
  <si>
    <t>Ruang BDRS</t>
  </si>
  <si>
    <t>Sunarni, A.Md.AK</t>
  </si>
  <si>
    <t>196810061988032001</t>
  </si>
  <si>
    <t>151452115-0998081</t>
  </si>
  <si>
    <t>20/2/SIKAK_33.10/VIII/2015</t>
  </si>
  <si>
    <t>Klaten, 6/10/1968</t>
  </si>
  <si>
    <t>Sumpono, A.Md.Kes</t>
  </si>
  <si>
    <t>198709192023211006</t>
  </si>
  <si>
    <t>Teknisi Transfusi Darah Terampil</t>
  </si>
  <si>
    <t>141931217-1472975</t>
  </si>
  <si>
    <t>Teknisi Transfusi Darah</t>
  </si>
  <si>
    <t>1/1/SIP-TPD_33.10/III/2018</t>
  </si>
  <si>
    <t>D3 Teknologi Transfusi Darah</t>
  </si>
  <si>
    <t>Klaten, 19/9/1987</t>
  </si>
  <si>
    <t>Tenaga Transfusi Darah</t>
  </si>
  <si>
    <t>Penyesuaian ijazah dari D1 Teknologi Transfusi Darah ke D3 Teknologi Transfusi Darah, BLU ke PPPK 2022</t>
  </si>
  <si>
    <t>Muhammad Yusuf Pamungkas, A.Md.Kes.</t>
  </si>
  <si>
    <t>199205092023211004</t>
  </si>
  <si>
    <t>141931217-1472974</t>
  </si>
  <si>
    <t>2/1/SIP-TPD_33.10/III/2018</t>
  </si>
  <si>
    <t>Klaten, 9/5/1992</t>
  </si>
  <si>
    <t>Dwi Lestari, A.Md.AK</t>
  </si>
  <si>
    <t>199306072023212009</t>
  </si>
  <si>
    <t>151452115-0958478</t>
  </si>
  <si>
    <t>25/2/SIKAK_33.10/IX/2015</t>
  </si>
  <si>
    <t>Bantul, 07/06/1993</t>
  </si>
  <si>
    <t>Ita Kurniawati, A.Md.AK</t>
  </si>
  <si>
    <t>199312132022032001</t>
  </si>
  <si>
    <t xml:space="preserve">Pranata Laboratorium Kesehatan Terampil </t>
  </si>
  <si>
    <t>151452115-0958446</t>
  </si>
  <si>
    <t>26/2/SIKAK_33.10/IX/2015</t>
  </si>
  <si>
    <t>Malang</t>
  </si>
  <si>
    <t>Malang, 13/12/1993</t>
  </si>
  <si>
    <t>Yuliana Pratiwi</t>
  </si>
  <si>
    <t>199812192024212023</t>
  </si>
  <si>
    <t>D3 Teknologi Bank Darah</t>
  </si>
  <si>
    <t xml:space="preserve">Sragen </t>
  </si>
  <si>
    <t xml:space="preserve">Sragen, 19 Desember 1988 </t>
  </si>
  <si>
    <t>Teknisi pelayanan Darah</t>
  </si>
  <si>
    <t>Asiska Febrika Putri</t>
  </si>
  <si>
    <t>199902232024212016</t>
  </si>
  <si>
    <t>Wonogiri, 23 Februari 1999</t>
  </si>
  <si>
    <t>199403182025062006</t>
  </si>
  <si>
    <t>BANTUL,18 Maret 1994</t>
  </si>
  <si>
    <t>200007052025062008</t>
  </si>
  <si>
    <t>SLEMAN,05 Juli 2000</t>
  </si>
  <si>
    <t>200107232025062015</t>
  </si>
  <si>
    <t>BOYOLALI,23 Juli 2001</t>
  </si>
  <si>
    <t>Wawan Joko Apriyanto, S. Kep. Ns., M.Kep</t>
  </si>
  <si>
    <t>197604141999031002</t>
  </si>
  <si>
    <t>140171218-2292121</t>
  </si>
  <si>
    <t>582/1/SIPP-33.10/V/2018</t>
  </si>
  <si>
    <t>Klaten, 14/4/1976</t>
  </si>
  <si>
    <t>Kepala Ruang IGD dan IMC</t>
  </si>
  <si>
    <t>Instalasi Gawat Darurat</t>
  </si>
  <si>
    <t>Waluyo, S.Kep.Ners</t>
  </si>
  <si>
    <t>196610191988021001</t>
  </si>
  <si>
    <t>140151113-0711985</t>
  </si>
  <si>
    <t>2088/28/VII/2015</t>
  </si>
  <si>
    <t>Klaten, 19/10/1966</t>
  </si>
  <si>
    <t>Safitri, AM. Keb</t>
  </si>
  <si>
    <t>197012021995032003</t>
  </si>
  <si>
    <t>Bidan  Penyelia</t>
  </si>
  <si>
    <t>140252217-1377134</t>
  </si>
  <si>
    <t>54a/2/SIPB_33.10/II/2018</t>
  </si>
  <si>
    <t>D3 Kebidanan</t>
  </si>
  <si>
    <t>Klaten, 2/12/1970</t>
  </si>
  <si>
    <t>Muhamad Yaeni, S. Kep. Ns</t>
  </si>
  <si>
    <t>197206162006041001</t>
  </si>
  <si>
    <t>140171115-1089714</t>
  </si>
  <si>
    <t>603/28/VIII/2017</t>
  </si>
  <si>
    <t>Klaten, 16/6/1972</t>
  </si>
  <si>
    <t>Triyawan</t>
  </si>
  <si>
    <t>197501012007011059</t>
  </si>
  <si>
    <t>Asisten Perawat</t>
  </si>
  <si>
    <t>SMEA</t>
  </si>
  <si>
    <t>Klaten, 1/1/1975</t>
  </si>
  <si>
    <t>Pengantar Pasien</t>
  </si>
  <si>
    <t>Bardi, S.Kep.Ners</t>
  </si>
  <si>
    <t>197501081996031002</t>
  </si>
  <si>
    <t>140151218-1545873</t>
  </si>
  <si>
    <t>789/1/SIPP_33.10/IX/2018</t>
  </si>
  <si>
    <t>Kr. Anyar, 8/1/1975</t>
  </si>
  <si>
    <t>Ns. Sukini, S.Kep</t>
  </si>
  <si>
    <t>197507141998032001</t>
  </si>
  <si>
    <t>140152218-2209565</t>
  </si>
  <si>
    <t>775/2/SIPP_33.10/IX/2018</t>
  </si>
  <si>
    <t>Sukoharjo, 14/7/1975</t>
  </si>
  <si>
    <t>Sutanti, AM. Keb</t>
  </si>
  <si>
    <t>197601231999032002</t>
  </si>
  <si>
    <t>140252217-1377114</t>
  </si>
  <si>
    <t>47a/2/SIPB_33.10/I/2018</t>
  </si>
  <si>
    <t>Klaten, 23/1/1976</t>
  </si>
  <si>
    <t>Warsini, S.Ak</t>
  </si>
  <si>
    <t>197703082007102001</t>
  </si>
  <si>
    <t>Klaten, 8/3/1977</t>
  </si>
  <si>
    <t>Ns. Bambang Riyanto, S.Kep</t>
  </si>
  <si>
    <t>197901252008011007</t>
  </si>
  <si>
    <t>140151218-1545839</t>
  </si>
  <si>
    <t>212/1/SIPP_33.10/II/2018</t>
  </si>
  <si>
    <t>Sragen, 25/1/1979</t>
  </si>
  <si>
    <t>Sri Puji Handayani, S. Kep. Ners</t>
  </si>
  <si>
    <t>197905022003122002</t>
  </si>
  <si>
    <t>140152218-2239871</t>
  </si>
  <si>
    <t>786/2/SIPP_33.10/IX/2018</t>
  </si>
  <si>
    <t>Boyolali, 2/5/1979</t>
  </si>
  <si>
    <t>Tiyas Diyan Kusuma, AMKeb</t>
  </si>
  <si>
    <t>198001282008122002</t>
  </si>
  <si>
    <t>Bidan Penyelia</t>
  </si>
  <si>
    <t>140252217-1377125</t>
  </si>
  <si>
    <t>589a/2/SIPB_33.10/IV/2018</t>
  </si>
  <si>
    <t>Boyolali, 28/1/1980</t>
  </si>
  <si>
    <t>Sri Puji Astuti Mekratingrum, SST. M.Tr. Keb</t>
  </si>
  <si>
    <t>198109202005012001</t>
  </si>
  <si>
    <t>Bidan Ahli Muda</t>
  </si>
  <si>
    <t>140252217-1377400</t>
  </si>
  <si>
    <t>19810920/SIKB_33.10/2015/2382</t>
  </si>
  <si>
    <t>M. Keb</t>
  </si>
  <si>
    <t>Surakarta, 20/9/1981</t>
  </si>
  <si>
    <t>Wahyudi Wibisono, AMK</t>
  </si>
  <si>
    <t>198311042008011004</t>
  </si>
  <si>
    <t>140151218-2209580</t>
  </si>
  <si>
    <t>369/1/SIPP_33.10/IV/2018</t>
  </si>
  <si>
    <t>Madiun,</t>
  </si>
  <si>
    <t>Madiun, 4/11/1983</t>
  </si>
  <si>
    <t>Fendhy Mahardhian, A.Md</t>
  </si>
  <si>
    <t>198507042008121003</t>
  </si>
  <si>
    <t>140151218-2209669</t>
  </si>
  <si>
    <t>207/1/SIPP_33.10/II/2018</t>
  </si>
  <si>
    <t>Kendal, 4/7/1985</t>
  </si>
  <si>
    <t>Fenti Okta Mustikawati, S.Kep., Ners</t>
  </si>
  <si>
    <t>198510202008012003</t>
  </si>
  <si>
    <t>140152218-2209529</t>
  </si>
  <si>
    <t>787/2/SIPP_33.10/IX/2018</t>
  </si>
  <si>
    <t>Madiun, 20 Oktober 1985</t>
  </si>
  <si>
    <t>Ns. Roby Noor Jayadi, S.Kep</t>
  </si>
  <si>
    <t>198510232008121001</t>
  </si>
  <si>
    <t>140151218-2209576</t>
  </si>
  <si>
    <t>788/1/SIPP_33.10/IX/2018</t>
  </si>
  <si>
    <t>Surakarta, 23/10/1985</t>
  </si>
  <si>
    <t>Evi Ambarwati, AM. Keb</t>
  </si>
  <si>
    <t>198512302008122001</t>
  </si>
  <si>
    <t>140252114-0855298</t>
  </si>
  <si>
    <t>19851230/SIKB_33.10/2015/2361</t>
  </si>
  <si>
    <t>Magelang, 30/12/1985</t>
  </si>
  <si>
    <t>Ani Ratnaningsih, AMK</t>
  </si>
  <si>
    <t>198611042008012001</t>
  </si>
  <si>
    <t>140152218-2209539</t>
  </si>
  <si>
    <t>780/2/SIPP_33.10/IX/2018</t>
  </si>
  <si>
    <t>Klaten, 04 November 1986</t>
  </si>
  <si>
    <t>Azis Nur Rohmat, AMK</t>
  </si>
  <si>
    <t>198911112010121006</t>
  </si>
  <si>
    <t>120151218-2307844</t>
  </si>
  <si>
    <t>774/1/SIPP_33.10/IX/2018</t>
  </si>
  <si>
    <t>Klaten, 11/11/1989</t>
  </si>
  <si>
    <t>085643193678</t>
  </si>
  <si>
    <t xml:space="preserve">Srimpi Kumayaningrum, S.Kep., Ners </t>
  </si>
  <si>
    <t>199002242010122001</t>
  </si>
  <si>
    <t>140152217-1343407</t>
  </si>
  <si>
    <t>812/28/XI/2017</t>
  </si>
  <si>
    <t>Klaten, 24/2/1990</t>
  </si>
  <si>
    <t>Ari Wibowo, S.Kep., Ners.</t>
  </si>
  <si>
    <t>199006192012121002</t>
  </si>
  <si>
    <t>140151113-0708395</t>
  </si>
  <si>
    <t>1613/28/IX/2014</t>
  </si>
  <si>
    <t>Sukoharjo, 19 juni 1990</t>
  </si>
  <si>
    <t>198908202020122005</t>
  </si>
  <si>
    <t>KLATEN / 1989-08-20</t>
  </si>
  <si>
    <t>Kin Binadi</t>
  </si>
  <si>
    <t>197812172008121002</t>
  </si>
  <si>
    <t>Klaten, 17/12/1978</t>
  </si>
  <si>
    <t>198311122023212005</t>
  </si>
  <si>
    <t>140152218-2239878</t>
  </si>
  <si>
    <t>802/2/SIPP_33.10/IX/2018</t>
  </si>
  <si>
    <t>Klaten, 12 November 1983</t>
  </si>
  <si>
    <t>198210102023212005</t>
  </si>
  <si>
    <t>140152218-2239893</t>
  </si>
  <si>
    <t>806/2/SIPP_33.10/IX/2018</t>
  </si>
  <si>
    <t>Klaten, 10/10/1982</t>
  </si>
  <si>
    <t>198303122023212003</t>
  </si>
  <si>
    <t>140152217-1343398</t>
  </si>
  <si>
    <t>539/28/IX/2017</t>
  </si>
  <si>
    <t>Klaten, 12/3/1983</t>
  </si>
  <si>
    <t>Aji Pangarso, A.Md.Kep.</t>
  </si>
  <si>
    <t>198904292023211002</t>
  </si>
  <si>
    <t>140151217-2163001</t>
  </si>
  <si>
    <t>782/1/SIPP_33.10/IX/2018</t>
  </si>
  <si>
    <t>Purworejo, 29/4/1989</t>
  </si>
  <si>
    <t>140252114-0855305</t>
  </si>
  <si>
    <t>19890113/SIKB_33.10/2015/2367</t>
  </si>
  <si>
    <t>Septian Gathot Nugroho, A.Md.Kep</t>
  </si>
  <si>
    <t>199209092023211001</t>
  </si>
  <si>
    <t>140151115-0967553</t>
  </si>
  <si>
    <t>Ngawi, 09/09/1992</t>
  </si>
  <si>
    <t>Luluk Zahfarani, S.Kep., Ns</t>
  </si>
  <si>
    <t>199605052024212048</t>
  </si>
  <si>
    <t>PATI, 05 Mei 1996</t>
  </si>
  <si>
    <t>Anggraini Lizdiana Wulandari, S.Kep., Ns</t>
  </si>
  <si>
    <t>199704052024212037</t>
  </si>
  <si>
    <t>WONOGIRI, 05 April 1997</t>
  </si>
  <si>
    <t>Astry Verasahtimelda, S.Kep., Ns</t>
  </si>
  <si>
    <t>198710212024212020</t>
  </si>
  <si>
    <t>BOGOR</t>
  </si>
  <si>
    <t>BOGOR, 21 Oktober 1987</t>
  </si>
  <si>
    <t>Ridwan Fauzi Nugraha, S.Kep., Ns</t>
  </si>
  <si>
    <t>199601312024211011</t>
  </si>
  <si>
    <t>CIAMIS</t>
  </si>
  <si>
    <t>CIAMIS, 31 Januari 1996</t>
  </si>
  <si>
    <t>Ns. Bastyan Nur Pratama, S.Kep</t>
  </si>
  <si>
    <t>199309292024211016</t>
  </si>
  <si>
    <t>SEMARANG, 29 September 1993</t>
  </si>
  <si>
    <t>Ns. Eni Fitri Sintia, S.Kep</t>
  </si>
  <si>
    <t>199306272024212025</t>
  </si>
  <si>
    <t>JAKARTA, 27 Juni 1993</t>
  </si>
  <si>
    <t>Pratika Putri Kusuma Wardani, S.Kep., Ns.</t>
  </si>
  <si>
    <t>199408012024212051</t>
  </si>
  <si>
    <t>PEKALONGAN, 01 Agustus 1994</t>
  </si>
  <si>
    <t>Intan Wahyu Setyaningsih</t>
  </si>
  <si>
    <t>199308032024212034</t>
  </si>
  <si>
    <t>KLATEN, 03 Agustus 1993</t>
  </si>
  <si>
    <t>Kartika Aulia Ulfah Rachmayani, Ners</t>
  </si>
  <si>
    <t>199606092022032002</t>
  </si>
  <si>
    <t>Yogyakarta, 09-06-1996</t>
  </si>
  <si>
    <t>Petugas Sisrute dan Medical Advisor Ruang IGD</t>
  </si>
  <si>
    <t>Trio Cahyanto, Ners</t>
  </si>
  <si>
    <t>199008252022031001</t>
  </si>
  <si>
    <t>Jepara, 25-08-1990</t>
  </si>
  <si>
    <t>Daya Dwidana, S.Kep., Ners</t>
  </si>
  <si>
    <t>199305032023211004</t>
  </si>
  <si>
    <t>140171117-2123663</t>
  </si>
  <si>
    <t>162/1/SIPP_33.10/I/2018</t>
  </si>
  <si>
    <t>Klaten, 03/05/1993</t>
  </si>
  <si>
    <t>Ns. SUPRIADI, S. Kep</t>
  </si>
  <si>
    <t>199111052020121006</t>
  </si>
  <si>
    <t>Galagang</t>
  </si>
  <si>
    <t>GALAGANG / 1991-11-05</t>
  </si>
  <si>
    <t>140252217-1377124</t>
  </si>
  <si>
    <t>77a/2/SIPB_33.10/II/2018</t>
  </si>
  <si>
    <t>199005312023212005</t>
  </si>
  <si>
    <t>Bidan Terampil</t>
  </si>
  <si>
    <t>140252114-0855300</t>
  </si>
  <si>
    <t>342a/2/SIPB_33.10/I/2018</t>
  </si>
  <si>
    <t>Klaten, 31/5/1990</t>
  </si>
  <si>
    <t>Ngawi, 26 Juni 1991</t>
  </si>
  <si>
    <t>140252217-1377122</t>
  </si>
  <si>
    <t>341a/2/SIPB_33.10/I/2018</t>
  </si>
  <si>
    <t>198908122010122003</t>
  </si>
  <si>
    <t>14 0252114-0855396</t>
  </si>
  <si>
    <t>19890812/SIKB_33.10/2015/2380</t>
  </si>
  <si>
    <t>Yogyakarta, 12/8/1989</t>
  </si>
  <si>
    <t>Aditya Kurnia Prajayanto, A.Md</t>
  </si>
  <si>
    <t>199106212023211004</t>
  </si>
  <si>
    <t>140151115-0967427</t>
  </si>
  <si>
    <t>192/1/SIPP_33.10/I2018</t>
  </si>
  <si>
    <t>Klaten, 21/06/1991</t>
  </si>
  <si>
    <t>Ena Septiningsih, S.Kep.,Ns</t>
  </si>
  <si>
    <t>Bantul, 21 September 1994</t>
  </si>
  <si>
    <t>Panji Tulus Wicaksono, S.Kep., Ns.</t>
  </si>
  <si>
    <t>Sukoharjo, 18 Desember 1991</t>
  </si>
  <si>
    <t>Maria Dwiastuti, A.Md.Kep.</t>
  </si>
  <si>
    <t>Klaten, 11 Mei 1994</t>
  </si>
  <si>
    <t>Eko Purwanto, A.Md</t>
  </si>
  <si>
    <t>Klaten, 20/12/1983</t>
  </si>
  <si>
    <t>Anissa Umi Zaenab, S.Tr.Kep., Ners.</t>
  </si>
  <si>
    <t>Sukoharjo, 9 Januari 1998</t>
  </si>
  <si>
    <t>199304012025062004</t>
  </si>
  <si>
    <t>KLATEN,01 April 1993</t>
  </si>
  <si>
    <t>199910262025062005</t>
  </si>
  <si>
    <t>KLATEN,26 Oktober 1999</t>
  </si>
  <si>
    <t>IMC</t>
  </si>
  <si>
    <t>Agus Herianto, S. Kep. Ns, M.N.Sc.</t>
  </si>
  <si>
    <t>198211122008011005</t>
  </si>
  <si>
    <t>140151218-2209613</t>
  </si>
  <si>
    <t>794/1/SIPP_33.10/IX/2018</t>
  </si>
  <si>
    <t>Jepara, 12/11/1982</t>
  </si>
  <si>
    <t>199010202023211003</t>
  </si>
  <si>
    <t>Klaten, 20 Oktober 1990</t>
  </si>
  <si>
    <t>198203212023212002</t>
  </si>
  <si>
    <t>140152218-2209552</t>
  </si>
  <si>
    <t>674/2/SIPP_33.10/VII/2018</t>
  </si>
  <si>
    <t>Klaten, 21/2/1982</t>
  </si>
  <si>
    <t>Kartinawati, AMK</t>
  </si>
  <si>
    <t>198504202012122001</t>
  </si>
  <si>
    <t>140152218-2209540</t>
  </si>
  <si>
    <t>815/28/XI/2017</t>
  </si>
  <si>
    <t>Klaten, 20/4/1985</t>
  </si>
  <si>
    <t>Nindi Kusdianti, A.Md. Kep</t>
  </si>
  <si>
    <t>198704192023212003</t>
  </si>
  <si>
    <t>140152218-2209573</t>
  </si>
  <si>
    <t>384/2/SIPP_33.10/IV/2018</t>
  </si>
  <si>
    <t>Klaten, 19/4/1987</t>
  </si>
  <si>
    <t>Wahyu Pratiwi, S.Kep., Ners.</t>
  </si>
  <si>
    <t>Magelang, 2 November 1999</t>
  </si>
  <si>
    <t>Rika Susilowati, Ners</t>
  </si>
  <si>
    <t>199401062022032007</t>
  </si>
  <si>
    <t>Sukoharjo, 06-01-1994</t>
  </si>
  <si>
    <t>198409252006042002</t>
  </si>
  <si>
    <t>140152113-0711945</t>
  </si>
  <si>
    <t>1682/28/I/2015</t>
  </si>
  <si>
    <t>Semarang, 25 September 1984</t>
  </si>
  <si>
    <t>Agung Kristanto, S.Kep.Ns, M.Kep</t>
  </si>
  <si>
    <t>197011171995031001</t>
  </si>
  <si>
    <t>140171218-2209625</t>
  </si>
  <si>
    <t>689/1/SIPP_33.10/VIII/2018</t>
  </si>
  <si>
    <t>Klaten, 17/11/1970</t>
  </si>
  <si>
    <t>Instalasi Bedah Sentral</t>
  </si>
  <si>
    <t>197110041992031007</t>
  </si>
  <si>
    <t>140161116-1278074</t>
  </si>
  <si>
    <t>781/28/XI/2017</t>
  </si>
  <si>
    <t>Klaten, 4/10/1971</t>
  </si>
  <si>
    <t>196602071987032004</t>
  </si>
  <si>
    <t>140162116-1278078</t>
  </si>
  <si>
    <t>1035/28/XII/2017</t>
  </si>
  <si>
    <t>Klaten, 7/2/1966</t>
  </si>
  <si>
    <t>Kamirin, AMK</t>
  </si>
  <si>
    <t>196710201991031004</t>
  </si>
  <si>
    <t>140151115-1048824</t>
  </si>
  <si>
    <t>1034/28/XII/2017</t>
  </si>
  <si>
    <t>Magetan, 20/10/1967</t>
  </si>
  <si>
    <t>Yohanes Adi Susilo</t>
  </si>
  <si>
    <t>196804271995031004</t>
  </si>
  <si>
    <t>140251217-1343384</t>
  </si>
  <si>
    <t>792/28/XI/2017</t>
  </si>
  <si>
    <t>Blora, 27/4/1968</t>
  </si>
  <si>
    <t>196808051989032001</t>
  </si>
  <si>
    <t>140152218-2239874</t>
  </si>
  <si>
    <t>661/2/SIPP_33.10/VII/2018</t>
  </si>
  <si>
    <t>Klaten, 5/8/1968</t>
  </si>
  <si>
    <t>Sukirna, AMK</t>
  </si>
  <si>
    <t>196812231988031001</t>
  </si>
  <si>
    <t>140151218-2239872</t>
  </si>
  <si>
    <t>664/1/SIPP_33.10/VII/2018</t>
  </si>
  <si>
    <t>Klaten, 23/12/1968</t>
  </si>
  <si>
    <t>Agus Suprapto</t>
  </si>
  <si>
    <t>196906041991031002</t>
  </si>
  <si>
    <t>140151218-2238541</t>
  </si>
  <si>
    <t>690/1/SIPP_33.10/VIII/2018</t>
  </si>
  <si>
    <t>Sragen, 4/6/1969</t>
  </si>
  <si>
    <t>197012031992031002</t>
  </si>
  <si>
    <t xml:space="preserve">Asisten Penata Anestesi Penyelia </t>
  </si>
  <si>
    <t>141561114-0736739</t>
  </si>
  <si>
    <t>Perawat Anestesi</t>
  </si>
  <si>
    <t>003/30/V/2016</t>
  </si>
  <si>
    <t>D4 Keperawatan Anestesiologi</t>
  </si>
  <si>
    <t>Ngawi, 3/12/1970</t>
  </si>
  <si>
    <t>Suratno, AMK</t>
  </si>
  <si>
    <t>197104051991031002</t>
  </si>
  <si>
    <t>140151218-2209538</t>
  </si>
  <si>
    <t>781/1/SIPP_33.10/IX/2018</t>
  </si>
  <si>
    <t>Klaten, 5/4/1971</t>
  </si>
  <si>
    <t>Budi Hartono, A.Md.Kep</t>
  </si>
  <si>
    <t>197108271992031002</t>
  </si>
  <si>
    <t>140121218-1545411</t>
  </si>
  <si>
    <t>2201/28/I/2016</t>
  </si>
  <si>
    <t>Ponorogo, 27/8/1971</t>
  </si>
  <si>
    <t>197110141992031002</t>
  </si>
  <si>
    <t>140151218-2209523</t>
  </si>
  <si>
    <t>800/1/SIPP_33.10/IX/2018</t>
  </si>
  <si>
    <t>Klaten, 14/10/1971</t>
  </si>
  <si>
    <t>Purwantiningsih, AMK</t>
  </si>
  <si>
    <t>197111081998032001</t>
  </si>
  <si>
    <t>140152218-2239882</t>
  </si>
  <si>
    <t>662/2/SIPP_33.10/VII/2018</t>
  </si>
  <si>
    <t>Klaten, 8/11/1971</t>
  </si>
  <si>
    <t>Ns. Sunardi, S.Kep</t>
  </si>
  <si>
    <t>197201121998031002</t>
  </si>
  <si>
    <t>140151217-1463350</t>
  </si>
  <si>
    <t>673/1/SIPP_33.10/VII/2018</t>
  </si>
  <si>
    <t>Sragen, 12/1/1972</t>
  </si>
  <si>
    <t>Marnowo, S.Kep., Ners</t>
  </si>
  <si>
    <t>197202221992031002</t>
  </si>
  <si>
    <t>140151217-1463349</t>
  </si>
  <si>
    <t>80/28/I/2018</t>
  </si>
  <si>
    <t>Ngawi, 22/2/1972</t>
  </si>
  <si>
    <t>Suwarno, AMK</t>
  </si>
  <si>
    <t>197206121994031004</t>
  </si>
  <si>
    <t>140151218-2238542</t>
  </si>
  <si>
    <t>340/1/SIPP_33.10/III/2018</t>
  </si>
  <si>
    <t>Ponorogo, 12/6/1972</t>
  </si>
  <si>
    <t>Mahbub Junaidi, S. Kep. Ners</t>
  </si>
  <si>
    <t>197207071999031003</t>
  </si>
  <si>
    <t>Penata Anestesi Ahli Madya</t>
  </si>
  <si>
    <t>141551216-1266710</t>
  </si>
  <si>
    <t>09/30/VIII/2017</t>
  </si>
  <si>
    <t>Purworejo, 7/7/1972</t>
  </si>
  <si>
    <t>Mudakir</t>
  </si>
  <si>
    <t>197305151993031003</t>
  </si>
  <si>
    <t>140151218-2209611</t>
  </si>
  <si>
    <t>666/1/SIPP_33.10/VII/2018</t>
  </si>
  <si>
    <t>Klaten, 15/5/1973</t>
  </si>
  <si>
    <t>Mujiyana, AMK</t>
  </si>
  <si>
    <t>197311251994031004</t>
  </si>
  <si>
    <t>140151218-2209705</t>
  </si>
  <si>
    <t>659/2/SIPP_33.10/VII/2018</t>
  </si>
  <si>
    <t>Klaten, 25/11/1973</t>
  </si>
  <si>
    <t>197408011998031003</t>
  </si>
  <si>
    <t>140151218-2209557</t>
  </si>
  <si>
    <t>803/1/SIPP_33.10/IX/2018</t>
  </si>
  <si>
    <t>Klaten, 1/8/1974</t>
  </si>
  <si>
    <t>197408201997032002</t>
  </si>
  <si>
    <t>140152218-2239887</t>
  </si>
  <si>
    <t>663/2/SIPP_33.10/VII/2018</t>
  </si>
  <si>
    <t>Kediri, 20/8/1974</t>
  </si>
  <si>
    <t>197503181999031002</t>
  </si>
  <si>
    <t>140151217-1343363</t>
  </si>
  <si>
    <t>826/28/XI/2017</t>
  </si>
  <si>
    <t>Sukoharjo, 18/3/1975</t>
  </si>
  <si>
    <t>Ns. Sutrisno, S.Kep</t>
  </si>
  <si>
    <t>197505162000031002</t>
  </si>
  <si>
    <t>140151218-2209567</t>
  </si>
  <si>
    <t>784/1/SIPP_33.10/IX/2018</t>
  </si>
  <si>
    <t>Sragen, 16/5/1975</t>
  </si>
  <si>
    <t>197604122010122001</t>
  </si>
  <si>
    <t>140152218-2209763</t>
  </si>
  <si>
    <t>404/2/SIPP_33.10/IV/2018</t>
  </si>
  <si>
    <t>Wonogiri, 12/4/1976</t>
  </si>
  <si>
    <t>Rida Wahyu Widayat, S.Kep, Ners</t>
  </si>
  <si>
    <t>197702271999031003</t>
  </si>
  <si>
    <t>140152217-1343367</t>
  </si>
  <si>
    <t>1027/28/XII/2017</t>
  </si>
  <si>
    <t>Gunung Kidul, 27/2/1977</t>
  </si>
  <si>
    <t>Sudarto, S.Kep. Ners</t>
  </si>
  <si>
    <t>197802061999031001</t>
  </si>
  <si>
    <t>140151218-2209561</t>
  </si>
  <si>
    <t>698/1/SIPP_33.10/VIII/2018</t>
  </si>
  <si>
    <t>Klaten, 6/2/1978</t>
  </si>
  <si>
    <t>Fidianto, S.Kep.Ners</t>
  </si>
  <si>
    <t>197803032008121001</t>
  </si>
  <si>
    <t>140151217-1343362</t>
  </si>
  <si>
    <t>831/28/XI/2017</t>
  </si>
  <si>
    <t>Kudus, 3/3/1978</t>
  </si>
  <si>
    <t>198104102003121001</t>
  </si>
  <si>
    <t>140151218-2209541</t>
  </si>
  <si>
    <t>804/1/SIPP_33.10/IX/2018</t>
  </si>
  <si>
    <t>Magelang, 10/4/1981</t>
  </si>
  <si>
    <t>Iswantara, S.Kep.Ners</t>
  </si>
  <si>
    <t>198111182008121003</t>
  </si>
  <si>
    <t>140151218-2292122</t>
  </si>
  <si>
    <t>790/1/SIPP_33.10/IX/2018</t>
  </si>
  <si>
    <t>Klaten, 18/11/1981</t>
  </si>
  <si>
    <t>198302072006041006</t>
  </si>
  <si>
    <t>141551217-1305905</t>
  </si>
  <si>
    <t>Perawat Anestesi Ahli Madya</t>
  </si>
  <si>
    <t>06/30/VIII/2017</t>
  </si>
  <si>
    <t>Kediri</t>
  </si>
  <si>
    <t>Kediri, 7/2/1983</t>
  </si>
  <si>
    <t>Very Wijaya Pinilih, S.Kep., Ners</t>
  </si>
  <si>
    <t>198407292005011001</t>
  </si>
  <si>
    <t>140151218-2209626</t>
  </si>
  <si>
    <t>1023/28/XII/2017</t>
  </si>
  <si>
    <t>Klaten, 29/7/1984</t>
  </si>
  <si>
    <t>198501262012121001</t>
  </si>
  <si>
    <t>141551216-1266698</t>
  </si>
  <si>
    <t>08/30/VIII/2017</t>
  </si>
  <si>
    <t>Jepara, 26/1/1985</t>
  </si>
  <si>
    <t>Helmi Sudrajat, A.Md</t>
  </si>
  <si>
    <t>198503082009121003</t>
  </si>
  <si>
    <t>140151217-1463347</t>
  </si>
  <si>
    <t>665/1/SIPP_33.10/VII/2018</t>
  </si>
  <si>
    <t>Purbalingga, 8/3/1985</t>
  </si>
  <si>
    <t>198607242012121001</t>
  </si>
  <si>
    <t>551/1/SIPP_33.10/V/2018</t>
  </si>
  <si>
    <t>Klaten, 24/7/1986</t>
  </si>
  <si>
    <t>198703082015031003</t>
  </si>
  <si>
    <t>140151218-2291489</t>
  </si>
  <si>
    <t>866/28/XI/2017</t>
  </si>
  <si>
    <t>Wonogiri, 08/03/1987</t>
  </si>
  <si>
    <t>Evi Aryani Taqwawati, S.Kep, Ners</t>
  </si>
  <si>
    <t>198705052015032004</t>
  </si>
  <si>
    <t>Penata Anestesi Ahli Muda</t>
  </si>
  <si>
    <t>141562117-1466737</t>
  </si>
  <si>
    <t>Penata Anestesi Sain Terapan</t>
  </si>
  <si>
    <t>Klaten, 05/05/1987</t>
  </si>
  <si>
    <t>Rais Hasan, S. Kep. Ns</t>
  </si>
  <si>
    <t>199008242020121003</t>
  </si>
  <si>
    <t>150171115-0952429</t>
  </si>
  <si>
    <t>148/1/SIPP_33.10/I/2018</t>
  </si>
  <si>
    <t>Sukoharjo, 24/08/1990</t>
  </si>
  <si>
    <t>Intan Monita Sari, S.Tr.Kep</t>
  </si>
  <si>
    <t>199804152022032003</t>
  </si>
  <si>
    <t>Penata Anestesi Ahli Pertama</t>
  </si>
  <si>
    <t>Bantul, 15-04-1998</t>
  </si>
  <si>
    <t>Noviani Dwi Wahyuningsih, S.Tr. Kep</t>
  </si>
  <si>
    <t>199711042022032003</t>
  </si>
  <si>
    <t>Kulon Progo, 04-11-1997</t>
  </si>
  <si>
    <t>Afi Budi Kurniawan, Ners</t>
  </si>
  <si>
    <t>199203032022031001</t>
  </si>
  <si>
    <t>Klaten, 03-03-1992</t>
  </si>
  <si>
    <t>Avin Maria, Ners</t>
  </si>
  <si>
    <t>199111212022032004</t>
  </si>
  <si>
    <t>Yogyakarta, 21-11-1991</t>
  </si>
  <si>
    <t>Farizal Yunardhiyantho, S.Kep,Ners</t>
  </si>
  <si>
    <t>199009022012121002</t>
  </si>
  <si>
    <t>140151115-0967010</t>
  </si>
  <si>
    <t>584/1/SIPP_33.10/V/2018</t>
  </si>
  <si>
    <t>Malang, 2/9/1990</t>
  </si>
  <si>
    <t>Tugas Tambahan di ULP</t>
  </si>
  <si>
    <t>Bayu Krisnanta, S.Kep., Ners</t>
  </si>
  <si>
    <t>198612272012121001</t>
  </si>
  <si>
    <t>140151218-2277833</t>
  </si>
  <si>
    <t>415/1/SIPP_33.10/IV/2018</t>
  </si>
  <si>
    <t>Ngawi, 27/12/1986</t>
  </si>
  <si>
    <t>198503282023211001</t>
  </si>
  <si>
    <t>141551216-1266894</t>
  </si>
  <si>
    <t>11/30/VIII/2017</t>
  </si>
  <si>
    <t>Kr. Anyar, 28/3/1985</t>
  </si>
  <si>
    <t>198502182023211001</t>
  </si>
  <si>
    <t>140151217-1343374</t>
  </si>
  <si>
    <t>827/28/XI/2017</t>
  </si>
  <si>
    <t>Klaten, 18/2/1985</t>
  </si>
  <si>
    <t>197803142023212002</t>
  </si>
  <si>
    <t>140152217-1463368</t>
  </si>
  <si>
    <t>795/2/SIPP_33.10/IX/2018</t>
  </si>
  <si>
    <t>Klaten, 14/3/1978</t>
  </si>
  <si>
    <t>198609042023211001</t>
  </si>
  <si>
    <t>140151218-2209553</t>
  </si>
  <si>
    <t>365/1/SIPP_33.10/IV/2018</t>
  </si>
  <si>
    <t>Sukoharjo, 4/9/1986</t>
  </si>
  <si>
    <t>198709192023211007</t>
  </si>
  <si>
    <t>140151218-2209704</t>
  </si>
  <si>
    <t>657/1/SIPP_33.10/VII/2018</t>
  </si>
  <si>
    <t>Ngawi, 19/9/1987</t>
  </si>
  <si>
    <t>198408012023211001</t>
  </si>
  <si>
    <t>150151115-0993408</t>
  </si>
  <si>
    <t>1761/28/II/2015</t>
  </si>
  <si>
    <t>Tanjung Batu</t>
  </si>
  <si>
    <t>Tanjung Batu, 1/8/1984</t>
  </si>
  <si>
    <t>Ns. Rani Ratnaning Tyas, S.Kep</t>
  </si>
  <si>
    <t>199201282023212004</t>
  </si>
  <si>
    <t>140172117-2139890</t>
  </si>
  <si>
    <t>163/2/SIPP_33.10/I/2018</t>
  </si>
  <si>
    <t>Demak, 28/01/1992</t>
  </si>
  <si>
    <t>Atika Fajrin Ayuningtyas, S.Tr.Kep</t>
  </si>
  <si>
    <t>199804192024212015</t>
  </si>
  <si>
    <t>KLATEN, 19 April 1998</t>
  </si>
  <si>
    <t>Kurnia Dewi Saputri, S. Tr. Kep</t>
  </si>
  <si>
    <t>199804232024212021</t>
  </si>
  <si>
    <t>GUNUNG KIDUL, 23 April 1998</t>
  </si>
  <si>
    <t>Emi Saputri Handayani, S.Tr.Kep</t>
  </si>
  <si>
    <t>199805122024212030</t>
  </si>
  <si>
    <t>KLATEN, 12 Mei 1998</t>
  </si>
  <si>
    <t>Nurul Dyah Kusumawati, Ners</t>
  </si>
  <si>
    <t>199701302022032003</t>
  </si>
  <si>
    <t>Bantul, 30-01-1997</t>
  </si>
  <si>
    <t>Amanda Annisa Awaliana, S.Tr.Kes.</t>
  </si>
  <si>
    <t>Bogor</t>
  </si>
  <si>
    <t>Bogor, 11 Agustus 2001</t>
  </si>
  <si>
    <t>Inka Ardhya Puspita, S.Tr.Kes</t>
  </si>
  <si>
    <t>Gunungkidul, 13 Mei 2001</t>
  </si>
  <si>
    <t>Ulinnuha Laily Masrifah, S.Tr.Kes.</t>
  </si>
  <si>
    <t>Sukoharjo, 2 September 2000</t>
  </si>
  <si>
    <t>Arifah Nur Dina, S.Tr.Kes.</t>
  </si>
  <si>
    <t>Boyolali, 28 Oktober 2000</t>
  </si>
  <si>
    <t>Sintia Cahya Wulandari, S.Tr.Kes</t>
  </si>
  <si>
    <t>Sleman, 19 Februari 2000</t>
  </si>
  <si>
    <t>Muhammad Nawa Shidiiqy, S.Kep., Ns.</t>
  </si>
  <si>
    <t>Surakarta, 7 Agustus 1999</t>
  </si>
  <si>
    <t>Shinta Utami, A.Md.Kep.</t>
  </si>
  <si>
    <t>Sukoharjo, 11 Juli 1995</t>
  </si>
  <si>
    <t>Sigit Pambudi Raharjo, A.Md.Kep</t>
  </si>
  <si>
    <t>Rimbo Kedui</t>
  </si>
  <si>
    <t>Rimbo Kedui, 17 Juli 1995</t>
  </si>
  <si>
    <t>Klaten, 01 januari 1989</t>
  </si>
  <si>
    <t>Ahmad Juais S.Kep.,Ns</t>
  </si>
  <si>
    <t>Ngawi, 27 Juli 1992</t>
  </si>
  <si>
    <t>Klaten,27 januari 1990</t>
  </si>
  <si>
    <t>199508142023211003</t>
  </si>
  <si>
    <t>Pemalang, 14 Agustus 1995</t>
  </si>
  <si>
    <t>Fauziyah Latief, Ners</t>
  </si>
  <si>
    <t>199404082022032001</t>
  </si>
  <si>
    <t>Rembang, 08-04-1994</t>
  </si>
  <si>
    <t>Ns. Ilham Rizky Andrean, S.Tr.Kep</t>
  </si>
  <si>
    <t>2024080745</t>
  </si>
  <si>
    <t>Karanganyar, 23 Desember 1998</t>
  </si>
  <si>
    <t>Karimah, S.Kep., Ns.</t>
  </si>
  <si>
    <t>199607102022032002</t>
  </si>
  <si>
    <t>Mekkah</t>
  </si>
  <si>
    <t>Mekkah, 10-07-1996</t>
  </si>
  <si>
    <t>Luthfi Imandani, S.Kep., Ns</t>
  </si>
  <si>
    <t>199508272024211013</t>
  </si>
  <si>
    <t>SINTANG</t>
  </si>
  <si>
    <t>SINTANG, 27 Agustus 1995</t>
  </si>
  <si>
    <t>Fadhillah Sidiq Padang Ar Rosyiid, Ners</t>
  </si>
  <si>
    <t>199604222022031007</t>
  </si>
  <si>
    <t>Sleman, 22-04-1996</t>
  </si>
  <si>
    <t>Ns. Fibrato Hafidulloh, S.Kep.</t>
  </si>
  <si>
    <t>Madiun, 14 Februari 1998</t>
  </si>
  <si>
    <t>199309262025061001</t>
  </si>
  <si>
    <t>JEMBER</t>
  </si>
  <si>
    <t>JEMBER,26 September 1993</t>
  </si>
  <si>
    <t>CPNS 2024, mengundurkan diri TMT 1 Agustus 2025</t>
  </si>
  <si>
    <t>199902172025062006</t>
  </si>
  <si>
    <t>JOMBANG</t>
  </si>
  <si>
    <t>JOMBANG,17 Februari 1999</t>
  </si>
  <si>
    <t>198406082008012003</t>
  </si>
  <si>
    <t>140252217-1377395</t>
  </si>
  <si>
    <t>73a/2/SIPB_33.10/II/2018</t>
  </si>
  <si>
    <t>Boyolali, 8/6/1984</t>
  </si>
  <si>
    <t>Ruang Melati 1</t>
  </si>
  <si>
    <t>Yanik Supriyanti, S.Kep.Ns</t>
  </si>
  <si>
    <t>197911101999032002</t>
  </si>
  <si>
    <t>140172116-1283544</t>
  </si>
  <si>
    <t>1004/28/XII/2017</t>
  </si>
  <si>
    <t>Boyolali, 10/11/1979</t>
  </si>
  <si>
    <t>Fitria Khoirunnisa, A.Md.Keb</t>
  </si>
  <si>
    <t>198904292010122001</t>
  </si>
  <si>
    <t>140252116-1251688</t>
  </si>
  <si>
    <t>601a/2/SIPB_33.10/VII/2018</t>
  </si>
  <si>
    <t>Klaten, 29/4/1989</t>
  </si>
  <si>
    <t>199103312014022004</t>
  </si>
  <si>
    <t>Bidan Mahir</t>
  </si>
  <si>
    <t>140252217-1377130</t>
  </si>
  <si>
    <t>46a/2/SIPB_33.10/I/2018</t>
  </si>
  <si>
    <t>Temanggung, 31/03/1991</t>
  </si>
  <si>
    <t>199107032015032003</t>
  </si>
  <si>
    <t>140252115-0898771</t>
  </si>
  <si>
    <t>19910703/SIKB_33.10/2016/2728</t>
  </si>
  <si>
    <t>Purbalingga, 03/07/1991</t>
  </si>
  <si>
    <t>199109012022032001</t>
  </si>
  <si>
    <t>Ahli Pertama - Bidan</t>
  </si>
  <si>
    <t>Bukittinggi</t>
  </si>
  <si>
    <t>Bukittinggi, 01-09-1991</t>
  </si>
  <si>
    <t>199209082015032001</t>
  </si>
  <si>
    <t>140252114-0835114</t>
  </si>
  <si>
    <t>19920908/SIKB_33.10/2016/2726</t>
  </si>
  <si>
    <t>01/04/0215</t>
  </si>
  <si>
    <t>Magelang, 08/09/1992</t>
  </si>
  <si>
    <t>197909102009032009</t>
  </si>
  <si>
    <t>140252217-1377127</t>
  </si>
  <si>
    <t>68a/2/SIPB_33.10/II/2018</t>
  </si>
  <si>
    <t>Polewali Mandar</t>
  </si>
  <si>
    <t>Polewali Mandar, 10/09/1979</t>
  </si>
  <si>
    <t>Dian Novitasari, Amk.Keb</t>
  </si>
  <si>
    <t>198611242010122001</t>
  </si>
  <si>
    <t>140252217-1469802</t>
  </si>
  <si>
    <t>340a/2/SIPB_33.10/I/2018</t>
  </si>
  <si>
    <t>Jakarta, 24/11/1986</t>
  </si>
  <si>
    <t>Bidan Pelaksana</t>
  </si>
  <si>
    <t>199209062015032001</t>
  </si>
  <si>
    <t>140252217-1377126</t>
  </si>
  <si>
    <t>19920906/SIKB_33.10/2016/2727</t>
  </si>
  <si>
    <t>Purworejo, 06/09/1992</t>
  </si>
  <si>
    <t>140252114-0855303</t>
  </si>
  <si>
    <t>339a/2/SIPB_33.10/I/2018</t>
  </si>
  <si>
    <t>Sri Daruwati Bintari, A.Md.Keb</t>
  </si>
  <si>
    <t>197703272023212001</t>
  </si>
  <si>
    <t>140252217-1377132</t>
  </si>
  <si>
    <t>71a/2/SIPB_33.10/II/2018</t>
  </si>
  <si>
    <t>Banjarnegara, 27/3/1977</t>
  </si>
  <si>
    <t>140252217-1377119</t>
  </si>
  <si>
    <t>72a/2/SIPB_33.10/II/2018</t>
  </si>
  <si>
    <t>Suprapti, A.Md.Keb.</t>
  </si>
  <si>
    <t>197803261999032001</t>
  </si>
  <si>
    <t xml:space="preserve">Penata </t>
  </si>
  <si>
    <t>401/2/SIPP_33.10/IV/2018</t>
  </si>
  <si>
    <t>Klaten, 26/3/1978</t>
  </si>
  <si>
    <t>Humairo' Azzahro, A.Md.Keb</t>
  </si>
  <si>
    <t>198802222009122001</t>
  </si>
  <si>
    <t>140252114-0855302</t>
  </si>
  <si>
    <t>19880222/SIKB_33.10/2015/2366</t>
  </si>
  <si>
    <t>Surakarta, 22/2/1988</t>
  </si>
  <si>
    <t>mutasi dari IGD ke Kamar bersalin TMT 1 Juli 2024</t>
  </si>
  <si>
    <t>198111012005012002</t>
  </si>
  <si>
    <t>140252217-1377398</t>
  </si>
  <si>
    <t>48a/2/SIPB_33.10/I/2018</t>
  </si>
  <si>
    <t>Klaten, 1/11/1981</t>
  </si>
  <si>
    <t>Kepala Ruang Melati 1 dan Ruang Persalinan</t>
  </si>
  <si>
    <t>Ruang Persalinan</t>
  </si>
  <si>
    <t>197312291992122003</t>
  </si>
  <si>
    <t>140252217-1377397</t>
  </si>
  <si>
    <t>74a/2/SIPB_33.10/II/2018</t>
  </si>
  <si>
    <t>Teluk Betung</t>
  </si>
  <si>
    <t>Teluk Betung, 29/12/1973</t>
  </si>
  <si>
    <t>197610251998032001</t>
  </si>
  <si>
    <t>140252217-1377399</t>
  </si>
  <si>
    <t>69a/2/SIPB_33.10/II/2018</t>
  </si>
  <si>
    <t>Boyolali, 25/10/1976</t>
  </si>
  <si>
    <t>198603062008012002</t>
  </si>
  <si>
    <t>140252114-0855394</t>
  </si>
  <si>
    <t>19860306/SIKB_33.10/2015/2399</t>
  </si>
  <si>
    <t>Purwokerto, 6/3/1986</t>
  </si>
  <si>
    <t>Novi Dwi Ambarsari, S.Keb.Bd.</t>
  </si>
  <si>
    <t>199406072022032002</t>
  </si>
  <si>
    <t>Bidan Ahli Pertama</t>
  </si>
  <si>
    <t>S1 Kebidanan</t>
  </si>
  <si>
    <t>Sidoarjo</t>
  </si>
  <si>
    <t>Sidoarjo, 07-06-1994</t>
  </si>
  <si>
    <t>Anggit Dwi Satiti, A.Md.Keb</t>
  </si>
  <si>
    <t>198901272010122003</t>
  </si>
  <si>
    <t>140252114-0855395</t>
  </si>
  <si>
    <t>19890127/SIKB_33.10/2015/2370</t>
  </si>
  <si>
    <t>Boyolali, 27/1/1989</t>
  </si>
  <si>
    <t>199203252014022001</t>
  </si>
  <si>
    <t>150252114-0774098</t>
  </si>
  <si>
    <t>19920325/SIKB_33.10/2015/2433</t>
  </si>
  <si>
    <t>Sleman, 25/03/1992</t>
  </si>
  <si>
    <t>Singgih Widhiawati, S.Tr.Keb,Bd</t>
  </si>
  <si>
    <t>198602142008012001</t>
  </si>
  <si>
    <t>140252114-0855306</t>
  </si>
  <si>
    <t>19860214/SIKB_33.10/2015/2368</t>
  </si>
  <si>
    <t>Klaten, 14/2/1986</t>
  </si>
  <si>
    <t>198412062015032002</t>
  </si>
  <si>
    <t>140252116-1242698</t>
  </si>
  <si>
    <t>19841206/SIKB_33.10/2017/2786</t>
  </si>
  <si>
    <t>Klaten, 06/12/1984</t>
  </si>
  <si>
    <t>140252115-0916185</t>
  </si>
  <si>
    <t>19880216/SIKB_33.10/2015/2363</t>
  </si>
  <si>
    <t>140252115-0916187</t>
  </si>
  <si>
    <t>19871224/SIKB_33.10/2015/2371</t>
  </si>
  <si>
    <t>197607201999032002</t>
  </si>
  <si>
    <t>140252217-1377128</t>
  </si>
  <si>
    <t>76a/2/SIPB_33.10/II/2018</t>
  </si>
  <si>
    <t>Klaten, 20/7/1976</t>
  </si>
  <si>
    <t>199002252023212010</t>
  </si>
  <si>
    <t>140252217-1377120</t>
  </si>
  <si>
    <t>160a/2/SIPB_33.10/II/2018</t>
  </si>
  <si>
    <t>Klaten, 25/2/1990</t>
  </si>
  <si>
    <t>Nuraini Ayu Kinasih, A.Md.Keb</t>
  </si>
  <si>
    <t>198412202023212003</t>
  </si>
  <si>
    <t>140252114-0855295</t>
  </si>
  <si>
    <t>19841220/SIKB_33.10/2014/2326</t>
  </si>
  <si>
    <t>AKBID</t>
  </si>
  <si>
    <t>Klaten, 20/12/1984</t>
  </si>
  <si>
    <t>Diana Trifi Yulianti, S.Tr.Keb.Bdn</t>
  </si>
  <si>
    <t>199207122014022001</t>
  </si>
  <si>
    <t>140252115-0898700</t>
  </si>
  <si>
    <t>19920712/SIKB_33.10/2015/2400</t>
  </si>
  <si>
    <t>Banyumas, 12/6/1992</t>
  </si>
  <si>
    <t>Terra Putri Wahyu Khasanah, S.Tr.Keb., Bdn</t>
  </si>
  <si>
    <t>Karanganyar, 24 Desember 1997</t>
  </si>
  <si>
    <t>Tofik Hidayat, S. Kep. Ns</t>
  </si>
  <si>
    <t>197512121995031002</t>
  </si>
  <si>
    <t>140171218-2239891</t>
  </si>
  <si>
    <t>699/1/SIPP_33.10/VIII/2018</t>
  </si>
  <si>
    <t>Klaten, 12/12/1975</t>
  </si>
  <si>
    <t>Instalasi Hemodialisa</t>
  </si>
  <si>
    <t>Muhtarul Anam, S. Kep. Ns</t>
  </si>
  <si>
    <t>197205031992031002</t>
  </si>
  <si>
    <t>140151218-2209513</t>
  </si>
  <si>
    <t>382/1/SIPP_33.10/IV/2018</t>
  </si>
  <si>
    <t>Ponorogo, 3/5/1972</t>
  </si>
  <si>
    <t>Haris Joko Prasetyo, S. Kep. Ns</t>
  </si>
  <si>
    <t>197302211994031001</t>
  </si>
  <si>
    <t>140151218-2238545</t>
  </si>
  <si>
    <t>389/1/SIPP_33.10/IV/2018</t>
  </si>
  <si>
    <t>Klaten, 21/2/1973</t>
  </si>
  <si>
    <t>Sapardi, AMK</t>
  </si>
  <si>
    <t>197203231999031003</t>
  </si>
  <si>
    <t>140151218-2209521</t>
  </si>
  <si>
    <t>385/1/SIPP_33.10/IV/2018</t>
  </si>
  <si>
    <t>Kulon Progo, 23/3/1972</t>
  </si>
  <si>
    <t>Syamsul Shodiq,  S.Kep, Ners</t>
  </si>
  <si>
    <t>197205101997031005</t>
  </si>
  <si>
    <t>140171115-1048283</t>
  </si>
  <si>
    <t>262/1/SIPP_33.10/II/2018</t>
  </si>
  <si>
    <t>Klaten, 10/5/1972</t>
  </si>
  <si>
    <t>197207231998031005</t>
  </si>
  <si>
    <t>140151218-2238549</t>
  </si>
  <si>
    <t>370/1/SIPP_33.10/IV/2018</t>
  </si>
  <si>
    <t>Kr. Anyar, 23/7/1972</t>
  </si>
  <si>
    <t>197210302000031001</t>
  </si>
  <si>
    <t>140151218-2209597</t>
  </si>
  <si>
    <t>373/1/SIPP_33.10/IV/2018</t>
  </si>
  <si>
    <t>Boyolali, 30/10/1972</t>
  </si>
  <si>
    <t>197302121999031004</t>
  </si>
  <si>
    <t>140151115-1048280</t>
  </si>
  <si>
    <t>413/1/SIPP_33.10/IV/2018</t>
  </si>
  <si>
    <t>Kebumen, 12/2/1973</t>
  </si>
  <si>
    <t>197410191999032004</t>
  </si>
  <si>
    <t>140152218-2209511</t>
  </si>
  <si>
    <t>388/2/SIPP_33.10/IV/2018</t>
  </si>
  <si>
    <t>Klaten, 19/10/1974</t>
  </si>
  <si>
    <t>Isyadi Joko Santoso, S.Kep., Ners</t>
  </si>
  <si>
    <t>197505041994031001</t>
  </si>
  <si>
    <t>140151218-2209514</t>
  </si>
  <si>
    <t>368/1/SIPP_33.10/IV/2018</t>
  </si>
  <si>
    <t>Klaten, 4/5/1975</t>
  </si>
  <si>
    <t>Subagiyo, AMK</t>
  </si>
  <si>
    <t>197604081996031001</t>
  </si>
  <si>
    <t>140151217-1343359</t>
  </si>
  <si>
    <t>573/1/SIPP_33.10/V/2018</t>
  </si>
  <si>
    <t>Magelang, 8/4/1976</t>
  </si>
  <si>
    <t>198411252008122003</t>
  </si>
  <si>
    <t>140152218-2209520</t>
  </si>
  <si>
    <t>372/2/SIPP_33.10/IV/2018</t>
  </si>
  <si>
    <t>Kr. Anyar, 25/11/1984</t>
  </si>
  <si>
    <t>Aseng Apria Wardhana, A.Md</t>
  </si>
  <si>
    <t>198704092009121001</t>
  </si>
  <si>
    <t>140151115-0975323</t>
  </si>
  <si>
    <t>593/1/SIPP_33.10/V/2018</t>
  </si>
  <si>
    <t>Sragen, 9/4/1987</t>
  </si>
  <si>
    <t>198904052010122001</t>
  </si>
  <si>
    <t>140152218-2209534</t>
  </si>
  <si>
    <t>1679/28/I/2015</t>
  </si>
  <si>
    <t>Magelang, 5/4/1989</t>
  </si>
  <si>
    <t>198905112010122001</t>
  </si>
  <si>
    <t>140152218-2209512</t>
  </si>
  <si>
    <t>349/2/SIPP_33.10/IV/2018</t>
  </si>
  <si>
    <t>Bloro, 11/5/1989</t>
  </si>
  <si>
    <t>Nanik Haryanti, S.Kep.Ns</t>
  </si>
  <si>
    <t>199209132019022001</t>
  </si>
  <si>
    <t>140172116-2005752</t>
  </si>
  <si>
    <t>145/2/SIPP_33.10/I/2018</t>
  </si>
  <si>
    <t>Klaten, 13/09/1992</t>
  </si>
  <si>
    <t>Ns. AFIF RIADA PRATAMA, S. Kep</t>
  </si>
  <si>
    <t>199406172020121006</t>
  </si>
  <si>
    <t>Pati</t>
  </si>
  <si>
    <t>PATI / 1994-06-17</t>
  </si>
  <si>
    <t>Dessi Puspitasari, Ners</t>
  </si>
  <si>
    <t>199109102022032002</t>
  </si>
  <si>
    <t>Bantul,</t>
  </si>
  <si>
    <t>Bantul, 10-09-1991</t>
  </si>
  <si>
    <t>Irwan Santoso, Ners</t>
  </si>
  <si>
    <t>199107222022031003</t>
  </si>
  <si>
    <t>Gunung Kidul, 22-07-1991</t>
  </si>
  <si>
    <t>197509012009032001</t>
  </si>
  <si>
    <t>Klaten, 01/10/1975</t>
  </si>
  <si>
    <t>Pindahan Pemkab Magelang</t>
  </si>
  <si>
    <t>Mus'ab Ridho Syafii, Ners</t>
  </si>
  <si>
    <t>199607222022031006</t>
  </si>
  <si>
    <t>Wonogiri, 22-07-1996</t>
  </si>
  <si>
    <t>198503172023212006</t>
  </si>
  <si>
    <t>140152218-2209518</t>
  </si>
  <si>
    <t>387/2/SIPP_33.10/IV/2018</t>
  </si>
  <si>
    <t>Yogyakarta, 17/3/1985</t>
  </si>
  <si>
    <t>199104162023211001</t>
  </si>
  <si>
    <t>Wonogiri, 16 April 1991</t>
  </si>
  <si>
    <t>Unik Rahayu</t>
  </si>
  <si>
    <t>198606252024212015</t>
  </si>
  <si>
    <t>140152115-1048285</t>
  </si>
  <si>
    <t>272/2/SIPP_33.10/II/2018</t>
  </si>
  <si>
    <t>Klaten, 25/6/1986</t>
  </si>
  <si>
    <t>Isna Nur Rahayu, S.Kep., Ns</t>
  </si>
  <si>
    <t>199307072024212045</t>
  </si>
  <si>
    <t>BANTUL, 07 Juli 1993</t>
  </si>
  <si>
    <t>Gunawan Saelendra, S.Kep.,Ns</t>
  </si>
  <si>
    <t>199102232024211012</t>
  </si>
  <si>
    <t>BALIKPAPAN</t>
  </si>
  <si>
    <t>BALIKPAPAN, 23 Februari 1991</t>
  </si>
  <si>
    <t>Feri Mucharom, A.Md.Kep</t>
  </si>
  <si>
    <t>Klaten, 25 Juli 1993</t>
  </si>
  <si>
    <t>Wonogiri, 6 Juli 1996</t>
  </si>
  <si>
    <t>Garry Yoga Dihartaja, S.Kep.,Ns</t>
  </si>
  <si>
    <t>Klaten, 9 Juli 1990</t>
  </si>
  <si>
    <t>Indro Setiawan, S.Kep.,Ns</t>
  </si>
  <si>
    <t>Sukoharjo, 16 September 1991</t>
  </si>
  <si>
    <t>Ns. Riana Verawati, S. Kep</t>
  </si>
  <si>
    <t>Klaten, 05 April 1989</t>
  </si>
  <si>
    <t>Pudika Primalia, Ners</t>
  </si>
  <si>
    <t>199612122022032003</t>
  </si>
  <si>
    <t>Klaten, 12-12-1996</t>
  </si>
  <si>
    <t>Vikani Khairunnisa, Ners</t>
  </si>
  <si>
    <t>199704302022032002</t>
  </si>
  <si>
    <t>Sleman, 30-04-1997</t>
  </si>
  <si>
    <t>199604252025062002</t>
  </si>
  <si>
    <t>WONOGIRI,25 April 1996</t>
  </si>
  <si>
    <t>197606052008121003</t>
  </si>
  <si>
    <t>Radiografer Ahli Muda</t>
  </si>
  <si>
    <t>140751115-0974477</t>
  </si>
  <si>
    <t>19760605/SIKR_33.10/2016/1036</t>
  </si>
  <si>
    <t>D4 Teknik Radiologi</t>
  </si>
  <si>
    <t>Ambarawa</t>
  </si>
  <si>
    <t>Ambarawa, 5/6/1976</t>
  </si>
  <si>
    <t>Instalasi Radiologi</t>
  </si>
  <si>
    <t>196712021993032003</t>
  </si>
  <si>
    <t>Radiografer Ahli Madya</t>
  </si>
  <si>
    <t>1407521150974470</t>
  </si>
  <si>
    <t>19671202/SIKR_33.10/2016/2026</t>
  </si>
  <si>
    <t>Akademi Teknik Rontgen</t>
  </si>
  <si>
    <t>Kendal, 2/12/1967</t>
  </si>
  <si>
    <t>Sri Suprihatin, S. Kep. Ns</t>
  </si>
  <si>
    <t>196607171987032002</t>
  </si>
  <si>
    <t>140172116-1284426</t>
  </si>
  <si>
    <t>196/2/SIPP_33.10/I/2018</t>
  </si>
  <si>
    <t>Klaten, 17/7/1966</t>
  </si>
  <si>
    <t>196702051994031003</t>
  </si>
  <si>
    <t>1407511150974474</t>
  </si>
  <si>
    <t>19670205/SIKR_33.10/2016/1029</t>
  </si>
  <si>
    <t>Klaten, 5/2/1967</t>
  </si>
  <si>
    <t>197109101995031001</t>
  </si>
  <si>
    <t>140751115-0974475</t>
  </si>
  <si>
    <t>19710910/SIKR_33.10/2016/1034</t>
  </si>
  <si>
    <t>Jepara, 10/9/1971</t>
  </si>
  <si>
    <t>197805172005012004</t>
  </si>
  <si>
    <t>Radiografer Penyelia</t>
  </si>
  <si>
    <t>150752112-0136956</t>
  </si>
  <si>
    <t>15a/1/SIP-Rad_33.10/VI/2018</t>
  </si>
  <si>
    <t>Klaten, 17/05/1978</t>
  </si>
  <si>
    <t>198303052009121001</t>
  </si>
  <si>
    <t>'1407511150974483</t>
  </si>
  <si>
    <t>1930305/SIKR_33.10/2016/1032</t>
  </si>
  <si>
    <t>Kendal, 5/3/1983</t>
  </si>
  <si>
    <t>198512032008011001</t>
  </si>
  <si>
    <t>'1407511150974478</t>
  </si>
  <si>
    <t>19841010/SIKR_33.10/2016/1030</t>
  </si>
  <si>
    <t>Yogyakarta, 3/12/1985</t>
  </si>
  <si>
    <t>Dwi Kristiyanto, S.Tr.Kes (Rad)</t>
  </si>
  <si>
    <t>198901012010121001</t>
  </si>
  <si>
    <t>140751115-0974479</t>
  </si>
  <si>
    <t>19890101/SIR_33.10/2016/1031</t>
  </si>
  <si>
    <t>Klaten, 1/1/1989</t>
  </si>
  <si>
    <t>198903172010121004</t>
  </si>
  <si>
    <t>140751115-0974480</t>
  </si>
  <si>
    <t>19890317/SIKR_33.10/2016/1033</t>
  </si>
  <si>
    <t>Brebes, 17/3/1989</t>
  </si>
  <si>
    <t>198904102020122004</t>
  </si>
  <si>
    <t>Radiografer Ahli Pertama</t>
  </si>
  <si>
    <t>D4 Teknik Radiodiagnostik dan Radioterapi</t>
  </si>
  <si>
    <t>AMBARAWA, KAB. SEMARANG / 1989-04-10</t>
  </si>
  <si>
    <t>199001032010122001</t>
  </si>
  <si>
    <t>11a/2/SIP-Rad_33.10/IV/2018</t>
  </si>
  <si>
    <t>Pati, 03/01/1990</t>
  </si>
  <si>
    <t>085640199967</t>
  </si>
  <si>
    <t>199208242018012001</t>
  </si>
  <si>
    <t>140752115-0974693</t>
  </si>
  <si>
    <t>10a/2/SIP-Rad_33.10/IV/2018</t>
  </si>
  <si>
    <t>Cilacap, 8/24/1992</t>
  </si>
  <si>
    <t>Muryanti</t>
  </si>
  <si>
    <t>196907091990032001</t>
  </si>
  <si>
    <t>Klaten, 9/7/1969</t>
  </si>
  <si>
    <t>Pengadministrasi Umum + Pramu Husada</t>
  </si>
  <si>
    <t>Wariman</t>
  </si>
  <si>
    <t>197307202009121001</t>
  </si>
  <si>
    <t>PETUGAS KAMAR GELAP</t>
  </si>
  <si>
    <t>-</t>
  </si>
  <si>
    <t>Klaten, 20/7/1973</t>
  </si>
  <si>
    <t>Petugas Kamar Gelap</t>
  </si>
  <si>
    <t>Ardy Susanto, A.Md.Rad</t>
  </si>
  <si>
    <t>199110172022031002</t>
  </si>
  <si>
    <t>Terampil - Radiografer</t>
  </si>
  <si>
    <t>D3 Teknik Radiodiagnostik dan Radioterapi</t>
  </si>
  <si>
    <t>Klaten, 17 Oktober 1991</t>
  </si>
  <si>
    <t>198806042023212006</t>
  </si>
  <si>
    <t>140752115-0997549</t>
  </si>
  <si>
    <t>19880604/SIKR_33.10/2017/2.048</t>
  </si>
  <si>
    <t>D4 Radiodiagnostik dan Radioterapi</t>
  </si>
  <si>
    <t>Lampung, 04/6/1988</t>
  </si>
  <si>
    <t>Penyetaraan ijazah dari D3 Radiodiagnostik ke D4 Radiodiagnostik dan Radioterapi, BLU ke PPPK 2022</t>
  </si>
  <si>
    <t>198410182023212003</t>
  </si>
  <si>
    <t>Radiografer Terampil</t>
  </si>
  <si>
    <t>'1407521150974482</t>
  </si>
  <si>
    <t>19841010/SIKR_33.10/2016/2027</t>
  </si>
  <si>
    <t>Klaten, 18/10/1984</t>
  </si>
  <si>
    <t>Dinayawati, S.Si</t>
  </si>
  <si>
    <t>198308062023212006</t>
  </si>
  <si>
    <t>Fisikawan Medis Ahli Pertama</t>
  </si>
  <si>
    <t>10/2/SIP-FM_33.10/VII/2018</t>
  </si>
  <si>
    <t>S1 Fisika Medik</t>
  </si>
  <si>
    <t>Semarang, 06/08/1983</t>
  </si>
  <si>
    <t>Fisikawan Medis</t>
  </si>
  <si>
    <t>198203102023212006</t>
  </si>
  <si>
    <t>Semarang, 10 Maret 1982</t>
  </si>
  <si>
    <t>199812102024212015</t>
  </si>
  <si>
    <t>Banyumas, 10/12/1998</t>
  </si>
  <si>
    <t>199503252024212034</t>
  </si>
  <si>
    <t>Semarang, 25/03/1995</t>
  </si>
  <si>
    <t>Emha Ridho Pamungkas</t>
  </si>
  <si>
    <t>199405072015031001</t>
  </si>
  <si>
    <t>Grobogan, 7 Mei 1994</t>
  </si>
  <si>
    <t>Pindahan dari RSUP Kandau</t>
  </si>
  <si>
    <t>Hepy Surya Suhartanti</t>
  </si>
  <si>
    <t>198605122010122006</t>
  </si>
  <si>
    <t>Semarang, 12 Mei 1986</t>
  </si>
  <si>
    <t>Pindahan dari RSPI Prof. Dr. Sulianti Saroso Jakarta</t>
  </si>
  <si>
    <t>197602192000032001</t>
  </si>
  <si>
    <t>140152218-2209762</t>
  </si>
  <si>
    <t>360/2/SIPP_33.10/IV/2018</t>
  </si>
  <si>
    <t>Sragen, 19/2/1976</t>
  </si>
  <si>
    <t>AN/ Staf</t>
  </si>
  <si>
    <t>Nazil Ainurrofik, M.Si</t>
  </si>
  <si>
    <t>S2 Fisikawan Medik</t>
  </si>
  <si>
    <t>Kendal, 25 September 1996</t>
  </si>
  <si>
    <t>200110032025062007</t>
  </si>
  <si>
    <t>S1 Teknik Nuklir</t>
  </si>
  <si>
    <t>WONOSOBO</t>
  </si>
  <si>
    <t>WONOSOBO,03 Oktober 2001</t>
  </si>
  <si>
    <t>199902252025062006</t>
  </si>
  <si>
    <t>Sarjana Terapan Teknologi Radiologi Pencitraan</t>
  </si>
  <si>
    <t>JEPARA,25 Februari 1999</t>
  </si>
  <si>
    <t>200003122025061001</t>
  </si>
  <si>
    <t>REMBANG</t>
  </si>
  <si>
    <t>REMBANG,12 Maret 2000</t>
  </si>
  <si>
    <t>200004232025061002</t>
  </si>
  <si>
    <t>WONOGIRI,23 April 2000</t>
  </si>
  <si>
    <t>199901072025062008</t>
  </si>
  <si>
    <t>WONOGIRI,07 Januari 1999</t>
  </si>
  <si>
    <t>199012202012121001</t>
  </si>
  <si>
    <t>140151218-2332853</t>
  </si>
  <si>
    <t>1530/28/VII/2015</t>
  </si>
  <si>
    <t>Wonogiri, 20/10/1990</t>
  </si>
  <si>
    <t>198706052020121005</t>
  </si>
  <si>
    <t>GROBOGAN / 1987-06-05</t>
  </si>
  <si>
    <t>199105312020121007</t>
  </si>
  <si>
    <t>PATI / 1991-05-31</t>
  </si>
  <si>
    <t>197710052003122002</t>
  </si>
  <si>
    <t>140152116-1250365</t>
  </si>
  <si>
    <t>731/28/X/2017</t>
  </si>
  <si>
    <t>Surakarta, 5/10/1977</t>
  </si>
  <si>
    <t>Lidya Permatasari, S.Kep., Ns</t>
  </si>
  <si>
    <t>198509092008122006</t>
  </si>
  <si>
    <t>140152218-2209549</t>
  </si>
  <si>
    <t>776/2/SIPP_33.10/IX/2018</t>
  </si>
  <si>
    <t>Madiun, 9/9/1985</t>
  </si>
  <si>
    <t>Witriyani, A.Md</t>
  </si>
  <si>
    <t>198701192008122001</t>
  </si>
  <si>
    <t>140152217-1343373</t>
  </si>
  <si>
    <t>804/28/XI/2017</t>
  </si>
  <si>
    <t>Magelang, 19/1/1987</t>
  </si>
  <si>
    <t>AN Ruang Kateterisasi Jantung/ Cath lab</t>
  </si>
  <si>
    <t>Kurniawan, AMK</t>
  </si>
  <si>
    <t>198508052012121001</t>
  </si>
  <si>
    <t>1401511151048825</t>
  </si>
  <si>
    <t>1880/28/VIII/2016</t>
  </si>
  <si>
    <t>Klaten,</t>
  </si>
  <si>
    <t>Klaten, 5/8/1985</t>
  </si>
  <si>
    <t>199205152020121004</t>
  </si>
  <si>
    <t>KLATEN / 1992-05-15</t>
  </si>
  <si>
    <t>AN Ruang Kateterisasi Jantung</t>
  </si>
  <si>
    <t>197403071998032003</t>
  </si>
  <si>
    <t>Fisioterapis Ahli Madya</t>
  </si>
  <si>
    <t>140362217-1321873</t>
  </si>
  <si>
    <t>Fisioterapis Sarjana Saint Terapan</t>
  </si>
  <si>
    <t>19740307/SIPF_33.10/2017/2.050</t>
  </si>
  <si>
    <t>S2 Fisiologi Olah Raga Konsentrasi Fisioterapi</t>
  </si>
  <si>
    <t>Klaten, 7/3/1974</t>
  </si>
  <si>
    <t>Fisioterapis</t>
  </si>
  <si>
    <t>Instalasi Rehabilitasi Medik</t>
  </si>
  <si>
    <t>197907072003122002</t>
  </si>
  <si>
    <t>Penata  Tk.I</t>
  </si>
  <si>
    <t>140852218-1535045</t>
  </si>
  <si>
    <t>Ahli Madya Okupasi Terapis</t>
  </si>
  <si>
    <t>09a/1/SIP-OT_33.10/I/2018</t>
  </si>
  <si>
    <t>Kebumen, 7/7/1979</t>
  </si>
  <si>
    <t>Titik Setyaningsih, S.Fis</t>
  </si>
  <si>
    <t>196512261989032002</t>
  </si>
  <si>
    <t>140362217-1321872</t>
  </si>
  <si>
    <t>Fisioterapis Sarjana Sains Terapan</t>
  </si>
  <si>
    <t>19651226/SIPF_33.10/2017/2_060</t>
  </si>
  <si>
    <t>S1 Fisioterapi</t>
  </si>
  <si>
    <t>Sukoharjo, 26/12/1965</t>
  </si>
  <si>
    <t>196602231991031003</t>
  </si>
  <si>
    <t>140361217-1321855</t>
  </si>
  <si>
    <t>19660223/SIPF_33.10/2015/1027</t>
  </si>
  <si>
    <t>D4 Fisioterapi</t>
  </si>
  <si>
    <t>Sukoharjo, 23/2/1966</t>
  </si>
  <si>
    <t>196612171991032001</t>
  </si>
  <si>
    <t>140362217-1321874</t>
  </si>
  <si>
    <t>19661217/SIPF_33.10/2017/2.051</t>
  </si>
  <si>
    <t>Klaten, 17/12/1966</t>
  </si>
  <si>
    <t>Nuraini, SST</t>
  </si>
  <si>
    <t>197906042005012005</t>
  </si>
  <si>
    <t>140862217-1310596</t>
  </si>
  <si>
    <t>Okupasi Terapis Sarjana Sains Terapan</t>
  </si>
  <si>
    <t>03a/2/SIP-OT_33.10/I/2018</t>
  </si>
  <si>
    <t>D4 Okupasi Terapi</t>
  </si>
  <si>
    <t>Klaten, 4/6/1979</t>
  </si>
  <si>
    <t>Danny Trias Jatmiko, S.Tr.Kes</t>
  </si>
  <si>
    <t>198110282009121005</t>
  </si>
  <si>
    <t>Ortotis Prostetis Penyelia</t>
  </si>
  <si>
    <t>141851217-2185642</t>
  </si>
  <si>
    <t>Ortotis Prostetis Ahli Madya</t>
  </si>
  <si>
    <t>02/1/SIPOP_33.10/IVII/2018</t>
  </si>
  <si>
    <t>D4 Orthotik Prostetik</t>
  </si>
  <si>
    <t>Klaten, 28/10/1981</t>
  </si>
  <si>
    <t>Orthotik Prostetis</t>
  </si>
  <si>
    <t>081227035707</t>
  </si>
  <si>
    <t>198201122010121003</t>
  </si>
  <si>
    <t xml:space="preserve">Fisioterapis Ahli Muda </t>
  </si>
  <si>
    <t>Karanganyar12/1/1980</t>
  </si>
  <si>
    <t>198304132005012002</t>
  </si>
  <si>
    <t>140852217-1310587</t>
  </si>
  <si>
    <t>01a/2/SIP-OT_33.10/I/2018</t>
  </si>
  <si>
    <t>Boyolali, 13/4/1983</t>
  </si>
  <si>
    <t>Yoni Tri Utomo,  A.Md</t>
  </si>
  <si>
    <t>198306062008121001</t>
  </si>
  <si>
    <t>Terapi Wicara Penyelia</t>
  </si>
  <si>
    <t>140651217-1466628</t>
  </si>
  <si>
    <t>Ahli Madya Terapi Wicara</t>
  </si>
  <si>
    <t>06a/1/SIP-Fs_33.10/III/2018</t>
  </si>
  <si>
    <t>D3 Terapi Wicara</t>
  </si>
  <si>
    <t>Magetan, 6/6/1983</t>
  </si>
  <si>
    <t>Terapis Wicara</t>
  </si>
  <si>
    <t>199201252014021001</t>
  </si>
  <si>
    <t>Fisioterapis Mahir</t>
  </si>
  <si>
    <t>D3 Fisioterapi</t>
  </si>
  <si>
    <t>Surakarta, 1/25/1992</t>
  </si>
  <si>
    <t>Taufik Hidayat, A.Md</t>
  </si>
  <si>
    <t>199305162018011001</t>
  </si>
  <si>
    <t>140351115-0967841</t>
  </si>
  <si>
    <t>Fisiterapi Ahli Madya</t>
  </si>
  <si>
    <t>33a/1/SIP-Fis_33.10/VII/2018</t>
  </si>
  <si>
    <t>Surakarta, 5/16/1993</t>
  </si>
  <si>
    <t>Septya Intan Pertiwi, A.Md</t>
  </si>
  <si>
    <t>199409272018012001</t>
  </si>
  <si>
    <t>140352116-1129840</t>
  </si>
  <si>
    <t>Fisioterapi Ahli Madya</t>
  </si>
  <si>
    <t>19940927/SIKF_33.10/2016/2045</t>
  </si>
  <si>
    <t>Bengkulu, 27/09/1994</t>
  </si>
  <si>
    <t>197410302008122001</t>
  </si>
  <si>
    <t>S1 Kom Masyarakat</t>
  </si>
  <si>
    <t>Klaten, 30/10/1974</t>
  </si>
  <si>
    <t>Eka Rahayu</t>
  </si>
  <si>
    <t>196712081994032002</t>
  </si>
  <si>
    <t>Klaten, 8/12/1967</t>
  </si>
  <si>
    <t>Tika Listiyanti</t>
  </si>
  <si>
    <t>199302162024212038</t>
  </si>
  <si>
    <t>Fisioterapis Terampil</t>
  </si>
  <si>
    <t>140352115-0967842</t>
  </si>
  <si>
    <t>19930216/SIKF_33.10/2015/2016</t>
  </si>
  <si>
    <t>Klaten, 16/02/1993</t>
  </si>
  <si>
    <t>198504072023211002</t>
  </si>
  <si>
    <t>Ortotik Prostetis Terampil</t>
  </si>
  <si>
    <t>141851217-2185644</t>
  </si>
  <si>
    <t>01/1/SIPOP_33.10/VII/2018</t>
  </si>
  <si>
    <t>D3 Orthotik Prostetik</t>
  </si>
  <si>
    <t>Boyolali, 07/04/1985</t>
  </si>
  <si>
    <t>198209252009022003</t>
  </si>
  <si>
    <t>Fisioterapis Penyelia</t>
  </si>
  <si>
    <t>Karanganya, 25 September 1982</t>
  </si>
  <si>
    <t>Pindahan dari RSUP Moh. Husein Palembang</t>
  </si>
  <si>
    <t>Ilham Maulana</t>
  </si>
  <si>
    <t>199811242024211011</t>
  </si>
  <si>
    <t>Terapis Wicara Terampil</t>
  </si>
  <si>
    <t>SUKOHARJO, 24 November 1998</t>
  </si>
  <si>
    <t>Nunuk Kartikasari, S.Kep.Ners</t>
  </si>
  <si>
    <t>197109081997032001</t>
  </si>
  <si>
    <t>140122115-0275357</t>
  </si>
  <si>
    <t>Jakarta, 8/9/1971</t>
  </si>
  <si>
    <t>199910062025061004</t>
  </si>
  <si>
    <t>Fisioterapis Ahli Pertama</t>
  </si>
  <si>
    <t>MAGETAN</t>
  </si>
  <si>
    <t>MAGETAN,06 Oktober 1999</t>
  </si>
  <si>
    <t>199912012025062011</t>
  </si>
  <si>
    <t>SRAGEN,01 Desember 1999</t>
  </si>
  <si>
    <t>199601152025062006</t>
  </si>
  <si>
    <t>Psikolog Klinis Ahli Pertama</t>
  </si>
  <si>
    <t>S2 Psikologi Profesi</t>
  </si>
  <si>
    <t>KLATEN,15 Januari 1996</t>
  </si>
  <si>
    <t>Psikolog Klinis</t>
  </si>
  <si>
    <t>199805252025062005</t>
  </si>
  <si>
    <t>Terapi Wicara Terampil</t>
  </si>
  <si>
    <t>BOYOLALI,25 Mei 1998</t>
  </si>
  <si>
    <t>Terapi Wicara</t>
  </si>
  <si>
    <t>200006022025061003</t>
  </si>
  <si>
    <t>MAGELANG,02 Juni 2000</t>
  </si>
  <si>
    <t>Tri Handoko</t>
  </si>
  <si>
    <t>196809091993031002</t>
  </si>
  <si>
    <t>Pemulasaraan Jenazah</t>
  </si>
  <si>
    <t>D3 AKFIS</t>
  </si>
  <si>
    <t>Klaten, 9/9/1968</t>
  </si>
  <si>
    <t>Instalasi Kedokteran Forensik dan Perawatan Jenazah</t>
  </si>
  <si>
    <t>Mardi Sawiji</t>
  </si>
  <si>
    <t>196801122007011052</t>
  </si>
  <si>
    <t>Petugas Keamanan</t>
  </si>
  <si>
    <t>Klaten, 12/1/1968</t>
  </si>
  <si>
    <t>Ngatino</t>
  </si>
  <si>
    <t>197303252009121001</t>
  </si>
  <si>
    <t>Klaten, 25/3/1973</t>
  </si>
  <si>
    <t>OS1</t>
  </si>
  <si>
    <t>M. Anis Yusuf</t>
  </si>
  <si>
    <t>2010070299</t>
  </si>
  <si>
    <t>S1 Agama Islam</t>
  </si>
  <si>
    <t>Sleman, 2/9/1975</t>
  </si>
  <si>
    <t>Pelaksana Perawat Jenazah</t>
  </si>
  <si>
    <t>Widodo, S.M.</t>
  </si>
  <si>
    <t>Klaten, 1/10/1972</t>
  </si>
  <si>
    <t>Rudi Arwanto, A.Md.A.P.</t>
  </si>
  <si>
    <t>Novi Perdana Riptaning Murti, S.Farm, Apt</t>
  </si>
  <si>
    <t>198511122010122002</t>
  </si>
  <si>
    <t>Klaten, 12/11/1985</t>
  </si>
  <si>
    <t>Kepala Instalasi</t>
  </si>
  <si>
    <t>Instalasi Farmasi</t>
  </si>
  <si>
    <t>Dwi Ana Nawangsari, S.Farm., Apt</t>
  </si>
  <si>
    <t>198805252023212005</t>
  </si>
  <si>
    <t>19880525/STRA-UGM/2011/22289</t>
  </si>
  <si>
    <t>19880525/SIPA-Aping/33.10/2016/2066</t>
  </si>
  <si>
    <t>Apoteker Klinis Komunitas</t>
  </si>
  <si>
    <t>Klaten, 25/05/1988</t>
  </si>
  <si>
    <t>Erlina Ervamaulida, S.Farm, Apt</t>
  </si>
  <si>
    <t>198911022023212009</t>
  </si>
  <si>
    <t>19891102/STRA-UNPAD/2014/237192</t>
  </si>
  <si>
    <t>19891102/SIPA-Aping/33.10/2015/2027</t>
  </si>
  <si>
    <t>Bantul, 02/11/1989</t>
  </si>
  <si>
    <t>Lucky Merliana, A.Md.Farm</t>
  </si>
  <si>
    <t>199307142022032001</t>
  </si>
  <si>
    <t>Asisten Apoteker Terampil</t>
  </si>
  <si>
    <t>D3 Farmasi</t>
  </si>
  <si>
    <t>Bekasi</t>
  </si>
  <si>
    <t>Bekasi, 14-07-1993</t>
  </si>
  <si>
    <t>Asisten Apoteker</t>
  </si>
  <si>
    <t>198209132023212001</t>
  </si>
  <si>
    <t>Klaten, 13 September 1982</t>
  </si>
  <si>
    <t>Farida Kustianti, A.Md.,Farm</t>
  </si>
  <si>
    <t>197802262023212001</t>
  </si>
  <si>
    <t>Klaten, 26/2/1978</t>
  </si>
  <si>
    <t>199105082023212007</t>
  </si>
  <si>
    <t>Klaten, 8 Mei 1991</t>
  </si>
  <si>
    <t>Gatot Wahyudi, A.Md.,Farm</t>
  </si>
  <si>
    <t>198603222023211002</t>
  </si>
  <si>
    <t>Klaten,22/3/1986</t>
  </si>
  <si>
    <t>Lanjar, A.Md.Farm</t>
  </si>
  <si>
    <t>198308052023211002</t>
  </si>
  <si>
    <t>Klaten, 5/8/1983</t>
  </si>
  <si>
    <t>Maretha Yesi Yuliana, A.Md.Farm</t>
  </si>
  <si>
    <t>198607162023212007</t>
  </si>
  <si>
    <t>Klaten, 16/7/1986</t>
  </si>
  <si>
    <t>Nur Khasan, A.Md.Farm</t>
  </si>
  <si>
    <t>198707142023211002</t>
  </si>
  <si>
    <t>Klaten, 14/7/1987</t>
  </si>
  <si>
    <t>Risna Desy Kurniawati, A.Md.Farm</t>
  </si>
  <si>
    <t>198612232023212005</t>
  </si>
  <si>
    <t>Lombok</t>
  </si>
  <si>
    <t>Lombok, 23/12/1986</t>
  </si>
  <si>
    <t>Agus Hariyanto, S.Farm, Apt</t>
  </si>
  <si>
    <t>197505061996031001</t>
  </si>
  <si>
    <t>19750506/STRA-UGM/2005/16056</t>
  </si>
  <si>
    <t>19750506/SIPA-Aping/33.10/2016/1049</t>
  </si>
  <si>
    <t>Ujung Pandang, 6/5/1975</t>
  </si>
  <si>
    <t>Slamet, A.Md</t>
  </si>
  <si>
    <t>Klaten, 27/2/1982</t>
  </si>
  <si>
    <t>Dra. Partini, M.Sc, Apt</t>
  </si>
  <si>
    <t>196207171991022001</t>
  </si>
  <si>
    <t>Apoteker Ahli Utama</t>
  </si>
  <si>
    <t>19620717/STRA_UGM/1987/221574</t>
  </si>
  <si>
    <t>19620717/SIPA_33.10/2016/2315</t>
  </si>
  <si>
    <t>Klaten, 17/7/1962</t>
  </si>
  <si>
    <t>Teguh Wijiyanto, A.Md.Farm</t>
  </si>
  <si>
    <t>197412112000031001</t>
  </si>
  <si>
    <t>Asisten Apoteker Penyelia</t>
  </si>
  <si>
    <t>197412111/STRTTK_33/1997/113738</t>
  </si>
  <si>
    <t>Tenaga Teknis Kefarmasian</t>
  </si>
  <si>
    <t>19741211/SIKTTK/33.10/2014/1247</t>
  </si>
  <si>
    <t>Klaten, 11/12/1974</t>
  </si>
  <si>
    <t>Hadianti Rahayuningsih, A.Md.Farm</t>
  </si>
  <si>
    <t>198106192009122001</t>
  </si>
  <si>
    <t>19810619/STRTTK_33/2002/216544</t>
  </si>
  <si>
    <t>Teknis Kefarmasian</t>
  </si>
  <si>
    <t>19810619/SIKTTK_33.10/2015/2297</t>
  </si>
  <si>
    <t>Kebumen, 19/6/1981</t>
  </si>
  <si>
    <t>Atik Nuryah Danaswari, S.Farm,Apt. M.Clin.Pharm</t>
  </si>
  <si>
    <t>198504282009032010</t>
  </si>
  <si>
    <t>Apoteker Ahli Muda</t>
  </si>
  <si>
    <t>19850428/STRA-UII/2008/232353</t>
  </si>
  <si>
    <t>19850428/SIPA_33.10/2014/2011</t>
  </si>
  <si>
    <t>Klaten, 28/04/1985</t>
  </si>
  <si>
    <t>Lucia Ida Ayu Kristiana, S.Farm.Apt</t>
  </si>
  <si>
    <t>199312072018012001</t>
  </si>
  <si>
    <t>19931207/STRA-USD/2017/249261</t>
  </si>
  <si>
    <t>33b/2/SIPA_33.10/VII/2018</t>
  </si>
  <si>
    <t>Klaten, 7 Desember 1993</t>
  </si>
  <si>
    <t>Dhigi Agyvetra</t>
  </si>
  <si>
    <t>199011262019022001</t>
  </si>
  <si>
    <t>Asisten Apoteker Mahir</t>
  </si>
  <si>
    <t>Kendal, 11/26/1990</t>
  </si>
  <si>
    <t>197403241998031002</t>
  </si>
  <si>
    <t>Klaten, 24/3/1974</t>
  </si>
  <si>
    <t>Tyas Kusuma Permana Sari, M.Sc., Apt</t>
  </si>
  <si>
    <t>198804032023212008</t>
  </si>
  <si>
    <t>19880403/STRA-USB/2011/22519</t>
  </si>
  <si>
    <t>19880403/SIPA-Aping/33.10/2016/2065</t>
  </si>
  <si>
    <t>Surakarta, 03/04/1988</t>
  </si>
  <si>
    <t>Penyesuaian ijazah dari Apoteker Klinis Komunitas ke S2 Farmasi Klinik, BLU ke PPPK 2022</t>
  </si>
  <si>
    <t>Tho'atun Ma'rufah, S.Farm., Apt</t>
  </si>
  <si>
    <t>199101222023212004</t>
  </si>
  <si>
    <t>19910122/STRA-UII/2014/237536</t>
  </si>
  <si>
    <t>19910122/SIPA_33.10/2017/2446</t>
  </si>
  <si>
    <t>Magelang, 22/01/1991</t>
  </si>
  <si>
    <t>Herawan Setyo Budi, A.Md.Farm</t>
  </si>
  <si>
    <t>196809291990031002</t>
  </si>
  <si>
    <t>196809291/STRTTK_33/1988/113733</t>
  </si>
  <si>
    <t>19680929/SIKTTK/33.10/2015/1292</t>
  </si>
  <si>
    <t>Klaten, 29/9/1968</t>
  </si>
  <si>
    <t>Erlina Daryati Habsari, A.Md.Farm</t>
  </si>
  <si>
    <t>198601172008012002</t>
  </si>
  <si>
    <t>19860117/STRTTK-33/2007/24752</t>
  </si>
  <si>
    <t>19860117/SIKTTK_33.10/2016/2448</t>
  </si>
  <si>
    <t>Klaten, 17/1/1986</t>
  </si>
  <si>
    <t>Nian Indah Kusumaningrum, A.Md.Farm</t>
  </si>
  <si>
    <t>198804072009122001</t>
  </si>
  <si>
    <t>19880407/STRTTK_33/2009/24797</t>
  </si>
  <si>
    <t xml:space="preserve"> Tenaga Teknis Kefarmasian</t>
  </si>
  <si>
    <t>19880407/SIKTTK_33.10/2016/2385</t>
  </si>
  <si>
    <t>Sukoharjo, 7/4/1988</t>
  </si>
  <si>
    <t>Catur Widi Permana, A.Md.Farm</t>
  </si>
  <si>
    <t>198908282010121001</t>
  </si>
  <si>
    <t>19890828/STRTTK_33/2010/104729</t>
  </si>
  <si>
    <t>19890828/SIKTTK_33.10/2017/1.599</t>
  </si>
  <si>
    <t>Klaten, 28/8/1989</t>
  </si>
  <si>
    <t>Paramita Ryan Marwanto Putri, A.Md.Farm</t>
  </si>
  <si>
    <t>199011032015032002</t>
  </si>
  <si>
    <t>19901103/STRTTK_33/2012/210253</t>
  </si>
  <si>
    <t>36a/2/SIP-TTK_33.10/IV/2018</t>
  </si>
  <si>
    <t>Wonogiri, 03/11/1990</t>
  </si>
  <si>
    <t>Asisten Apoteker Pelaksana</t>
  </si>
  <si>
    <t>Nina Rahmawati, S.Farm.,Apt</t>
  </si>
  <si>
    <t>198207122023212002</t>
  </si>
  <si>
    <t>19820712/STRA-USD/2007/238854</t>
  </si>
  <si>
    <t>19820712/SIPA_33.10/2014/2016</t>
  </si>
  <si>
    <t>Klaten, 12/7/1982</t>
  </si>
  <si>
    <t>198304262023212003</t>
  </si>
  <si>
    <t>19830426/STRA-USB/2006/221547</t>
  </si>
  <si>
    <t>19830426/SIPA-Aping/33.10/2016/2044</t>
  </si>
  <si>
    <t>Klaten, 26/4/1983</t>
  </si>
  <si>
    <t>Muslinatun Latifah, A.Md.Farm</t>
  </si>
  <si>
    <t>198804082023212006</t>
  </si>
  <si>
    <t>19880408/STRTTK_332009/204793</t>
  </si>
  <si>
    <t>19880408/SIKTTK_33.10/2017/2.580</t>
  </si>
  <si>
    <t>Klaten, 08/4/1988</t>
  </si>
  <si>
    <t>Dyah Apriyani Agustina, A.Md.Farm</t>
  </si>
  <si>
    <t>198704142023212006</t>
  </si>
  <si>
    <t>19870414/STRTTK_33/2008/24742</t>
  </si>
  <si>
    <t>19870414/SIKTTK_33.10/2016/2378</t>
  </si>
  <si>
    <t>Klaten, 14/4/1987</t>
  </si>
  <si>
    <t>Agustina Wulaningsih,  S. Farm., Apt</t>
  </si>
  <si>
    <t>198808172023212006</t>
  </si>
  <si>
    <t>19880817/STRA-UMS/2012/226307</t>
  </si>
  <si>
    <t>32a/2/SIPA_33.10/VII/2018</t>
  </si>
  <si>
    <t>Boyolali, 17/08/1988</t>
  </si>
  <si>
    <t>Yulesvan Adit Dwi Nugroho, S.Farm, Apt</t>
  </si>
  <si>
    <t>198807292022031001</t>
  </si>
  <si>
    <t xml:space="preserve"> Apoteker Ahli Pertama</t>
  </si>
  <si>
    <t>19880729/STRA-USB/2011/1058</t>
  </si>
  <si>
    <t>19880729/SIPA-Aping/33.10/2016/1050</t>
  </si>
  <si>
    <t>Klaten, 29/07/1988</t>
  </si>
  <si>
    <t>Siti Kumalasari</t>
  </si>
  <si>
    <t>197002101991032005</t>
  </si>
  <si>
    <t>19700210/STRTTK_341988/223197</t>
  </si>
  <si>
    <t>19700210/SIKTTK_33.10/2016/2465</t>
  </si>
  <si>
    <t>Kediri, 10/2/1970</t>
  </si>
  <si>
    <t>Enggartika Maharani, A.Md.Farm</t>
  </si>
  <si>
    <t>199210132015032003</t>
  </si>
  <si>
    <t>19921013/STRTTK_33/2014/216387</t>
  </si>
  <si>
    <t>19921013/SIKTTK_33.10/2015/2319</t>
  </si>
  <si>
    <t>Nganjuk, 13/10/1992</t>
  </si>
  <si>
    <t>Nurul Agustin, A.Md.Farm</t>
  </si>
  <si>
    <t>198508012023212002</t>
  </si>
  <si>
    <t>19850801/STRTTK_33/2010/216567</t>
  </si>
  <si>
    <t>19850801/SIKTTK_33.10/2015/2326</t>
  </si>
  <si>
    <t>Klaten, 1/8/1985</t>
  </si>
  <si>
    <t>198907032022032001</t>
  </si>
  <si>
    <t>19890703/SIKTTK_33.10/2016/2502</t>
  </si>
  <si>
    <t>Klaten, 3/7/1989</t>
  </si>
  <si>
    <t>Retno Dwi Astutiningsih, A.Md</t>
  </si>
  <si>
    <t>2009060170</t>
  </si>
  <si>
    <t>19840304/STRTTK_33/2005/24821</t>
  </si>
  <si>
    <t>19840304/SIKTTK_33.10/2016/2379</t>
  </si>
  <si>
    <t>D3 Analisa Farmasi &amp; Makanan</t>
  </si>
  <si>
    <t>Klaten, 4/3/1984</t>
  </si>
  <si>
    <t>Purwanti, A.Md.Farm</t>
  </si>
  <si>
    <t>198807212023212004</t>
  </si>
  <si>
    <t>19880721/STRTTK_332009/24816</t>
  </si>
  <si>
    <t>19880721/SIKTTK_33.10/2016/2461</t>
  </si>
  <si>
    <t>Klaten, 21/7/1988</t>
  </si>
  <si>
    <t>Bernadhea Wikan Pangesti, S.Farm.,Apt</t>
  </si>
  <si>
    <t>199105202023212006</t>
  </si>
  <si>
    <t>19910520/STRA-USD/2014/235322</t>
  </si>
  <si>
    <t>19910520/SIPA-Aping/33.10/2015/2021</t>
  </si>
  <si>
    <t>Klaten, 20/05/1991</t>
  </si>
  <si>
    <t>Ermila Nora Fatrotin, S.Farm, Apt</t>
  </si>
  <si>
    <t>198810182023212005</t>
  </si>
  <si>
    <t>19881018/STRA-UMS/2011/28619</t>
  </si>
  <si>
    <t>19881018/SIPA-Aping/33.10/2016/2061</t>
  </si>
  <si>
    <t>Surakarta, 18/10/1988</t>
  </si>
  <si>
    <t>Riske Aulia Septi Mulyani, S.Farm.Apt</t>
  </si>
  <si>
    <t>198709182023212008</t>
  </si>
  <si>
    <t>19870918/STRA-UII/2011/26294</t>
  </si>
  <si>
    <t>19870918/SIPA-Aping/33.10/2017/2076</t>
  </si>
  <si>
    <t>Surakarta, 18/09/1987</t>
  </si>
  <si>
    <t>Totok Hardiyanto, A.Md Farm</t>
  </si>
  <si>
    <t>199001092023211002</t>
  </si>
  <si>
    <t>19900109/STRTTK-33 2011/17033</t>
  </si>
  <si>
    <t>19900109/SIKTTK_33.10/2016/2414</t>
  </si>
  <si>
    <t>Klaten, 09/01/1990</t>
  </si>
  <si>
    <t>Oktafiana Kristina Dewi, A.Md.Farm</t>
  </si>
  <si>
    <t>198510132023212005</t>
  </si>
  <si>
    <t>19851013/STRTTK_332007/200700</t>
  </si>
  <si>
    <t>19851013/SIKTTK_33.10/2016/2.499</t>
  </si>
  <si>
    <t>Klaten, 13/10/1985</t>
  </si>
  <si>
    <t>Lina Hanifah, S.Farm., Apt</t>
  </si>
  <si>
    <t>199010302023212009</t>
  </si>
  <si>
    <t>19901030/STRA-UAD/2015/239679</t>
  </si>
  <si>
    <t>19901030/SIPA-Aping/33.10/2016/2055</t>
  </si>
  <si>
    <t>Magelang, 30/10/1990</t>
  </si>
  <si>
    <t>199610192020122004</t>
  </si>
  <si>
    <t>SUKOHARJO / 1996-10-19</t>
  </si>
  <si>
    <t>199207012020122012</t>
  </si>
  <si>
    <t>KLATEN / 1992-07-01</t>
  </si>
  <si>
    <t>199311022020122007</t>
  </si>
  <si>
    <t>KLATEN / 1993-11-02</t>
  </si>
  <si>
    <t>Pramodya Wardany, A.Md.Far</t>
  </si>
  <si>
    <t>198412072010121003</t>
  </si>
  <si>
    <t>198412077/STRTTK_332010/18025</t>
  </si>
  <si>
    <t>19841207/SIKTTK_33.10/2017/1.597</t>
  </si>
  <si>
    <t>Banyumas, 7/12/1984</t>
  </si>
  <si>
    <t>Apt. Aditya Kartika Wardhani, S. Farm</t>
  </si>
  <si>
    <t>198910022023212005</t>
  </si>
  <si>
    <t>19891002/STRA_UAD/2012/226200</t>
  </si>
  <si>
    <t>19891002/SIPA-Aping/33.10/2017/2.084</t>
  </si>
  <si>
    <t>Sukoharjo, 2/10/1989</t>
  </si>
  <si>
    <t>Nofa Tri Martana, A.Md.Farm</t>
  </si>
  <si>
    <t>198711042023211001</t>
  </si>
  <si>
    <t>19871104/STRTTK_33/2010/104798</t>
  </si>
  <si>
    <t>19871104/SIKTTK_33.10/2017/1.598</t>
  </si>
  <si>
    <t>Klaten, 04/11/1987</t>
  </si>
  <si>
    <t>Ardi Prasetiawan, A.Md.Farm</t>
  </si>
  <si>
    <t>198504292023211003</t>
  </si>
  <si>
    <t>19850429/STRTTK-332016/14720</t>
  </si>
  <si>
    <t>19850429/SIKTTK_33.10/2016/1507</t>
  </si>
  <si>
    <t>Sleman, 29/4/1985</t>
  </si>
  <si>
    <t>Nindya Sarastri, A.Md.Farm</t>
  </si>
  <si>
    <t>199312112020122009</t>
  </si>
  <si>
    <t>19931211/STRTTK_33/2014/216944</t>
  </si>
  <si>
    <t>19931211/SIKTTK_33.10/2017/2.572</t>
  </si>
  <si>
    <t>Klaten, 11/12/1993</t>
  </si>
  <si>
    <t>Anita Pratiwi Astuti, A.Md. Farm</t>
  </si>
  <si>
    <t>198606232023212003</t>
  </si>
  <si>
    <t>19860623/STRTTK-332007/24719</t>
  </si>
  <si>
    <t>19860623/SIKTTK_33.10/2016/2503</t>
  </si>
  <si>
    <t>Wonogiri, 23/6/1986</t>
  </si>
  <si>
    <t>BLU ke PPPK 2023</t>
  </si>
  <si>
    <t>Sri Haryanti, A.Md.Farm</t>
  </si>
  <si>
    <t>197504282001122002</t>
  </si>
  <si>
    <t>19750428/STRTTK_33/1994/213735</t>
  </si>
  <si>
    <t>38a/2/SIP-TTK_33.10/IV/2018</t>
  </si>
  <si>
    <t>Purworejo, 28/4/1975</t>
  </si>
  <si>
    <t>Rika Choyi Juniana, A.Md.Farm</t>
  </si>
  <si>
    <t>198806012010122001</t>
  </si>
  <si>
    <t>19880601/SIKTTK-33.10/2387</t>
  </si>
  <si>
    <t>19880601/STRTTK_33/2009/24824</t>
  </si>
  <si>
    <t>Kudus, 1/6/1988</t>
  </si>
  <si>
    <t>M. Syarif Hidayat, A.Md</t>
  </si>
  <si>
    <t>198204242024211007</t>
  </si>
  <si>
    <t>Klaten, 24/4/1982</t>
  </si>
  <si>
    <t>Wahyu Edhi Prasetyo, A.Md</t>
  </si>
  <si>
    <t>198911032023211021</t>
  </si>
  <si>
    <t>Klaten, 03/11/1989</t>
  </si>
  <si>
    <t>Pranata Komputer</t>
  </si>
  <si>
    <t>198701092018012001</t>
  </si>
  <si>
    <t>Klaten, 09 Januari 1987</t>
  </si>
  <si>
    <t>Pindahan dari RSUP Prof. Dr. R.D. Kandou Manado</t>
  </si>
  <si>
    <t>Cianjur</t>
  </si>
  <si>
    <t>Cianjur, 21 Juni 1995</t>
  </si>
  <si>
    <t>Klaten, 26 April 1994</t>
  </si>
  <si>
    <t>Febby Sukmawati, A.Md.Farm</t>
  </si>
  <si>
    <t>Purworejo, 08 Februari 1998</t>
  </si>
  <si>
    <t>Klaten, 06 Oktober 1995</t>
  </si>
  <si>
    <t>Ninda Setiya Sari, A.Md</t>
  </si>
  <si>
    <t>Kab.Semarang, 30 Juli 1993</t>
  </si>
  <si>
    <t>Aldia Putri Pradana, A.Md.Farm</t>
  </si>
  <si>
    <t>2024080771</t>
  </si>
  <si>
    <t>Klaten, 09 Februari 2001</t>
  </si>
  <si>
    <t>Yohana Saratika, A.Md,Farm</t>
  </si>
  <si>
    <t>2024090788</t>
  </si>
  <si>
    <t>Boyolali, 04 Juli 1995</t>
  </si>
  <si>
    <t>Kharimah Faizathus Tsalatsatun,A.Md.Farm</t>
  </si>
  <si>
    <t>2024080773</t>
  </si>
  <si>
    <t>SUKOHARJO, 22 MARET 1997</t>
  </si>
  <si>
    <t>Alfina Defitriani, A.Md.Farm.</t>
  </si>
  <si>
    <t>2024080774</t>
  </si>
  <si>
    <t>Karanganyar, 27 Juli 2000</t>
  </si>
  <si>
    <t>Paramita Endang Pratiwi, A.Md.Farm</t>
  </si>
  <si>
    <t>2024080775</t>
  </si>
  <si>
    <t>Klaten, 12 April 2002</t>
  </si>
  <si>
    <t>Alfira Rizky Pratiwi, A.Md.Farm</t>
  </si>
  <si>
    <t>2024080776</t>
  </si>
  <si>
    <t>Klaten, 15 Mei 2002</t>
  </si>
  <si>
    <t>Modita Ambarsari Putri, A.Md.</t>
  </si>
  <si>
    <t>2024080778</t>
  </si>
  <si>
    <t>Klaten, 28 Oktober 1993</t>
  </si>
  <si>
    <t>Nurvita Widya Nusnaini, A. Md., Farm</t>
  </si>
  <si>
    <t>2024080780</t>
  </si>
  <si>
    <t>Surakarta, 9 Mei 1995</t>
  </si>
  <si>
    <t>Indah Ayuningsih, A. Md. Farm</t>
  </si>
  <si>
    <t>2024080781</t>
  </si>
  <si>
    <t>Klaten, 24 September 1999</t>
  </si>
  <si>
    <t>Ana Kusumaningsih, A.Md. Farm</t>
  </si>
  <si>
    <t>2024080777</t>
  </si>
  <si>
    <t>Sukoharjo, 20 Agustus 1993</t>
  </si>
  <si>
    <t>Fami Pratiwi, A.Md.Farm</t>
  </si>
  <si>
    <t>2024090782</t>
  </si>
  <si>
    <t>Sukoharjo, 06 Juli 1997</t>
  </si>
  <si>
    <t>Oktavia Farida Irna Kuswandari, A.Md.Farm</t>
  </si>
  <si>
    <t>2024090783</t>
  </si>
  <si>
    <t>Klaten, 23 Oktober 1999</t>
  </si>
  <si>
    <t>200010242025062017</t>
  </si>
  <si>
    <t>KLATEN,24 Oktober 2000</t>
  </si>
  <si>
    <t>199910292025062007</t>
  </si>
  <si>
    <t>SUKOHARJO,29 Oktober 1999</t>
  </si>
  <si>
    <t>200001182025062010</t>
  </si>
  <si>
    <t>YOGYAKARTA,18 Januari 2000</t>
  </si>
  <si>
    <t>199812162025062004</t>
  </si>
  <si>
    <t>BANYUMAS,16 Desember 1998</t>
  </si>
  <si>
    <t>199810102025062006</t>
  </si>
  <si>
    <t>KLATEN,10 Oktober 1998</t>
  </si>
  <si>
    <t>199904222025062003</t>
  </si>
  <si>
    <t>SURAKARTA</t>
  </si>
  <si>
    <t>SURAKARTA,22 April 1999</t>
  </si>
  <si>
    <t>200101152025062008</t>
  </si>
  <si>
    <t>KARANGANYAR,15 Januari 2001</t>
  </si>
  <si>
    <t>200103102025062007</t>
  </si>
  <si>
    <t>KLATEN,10 Maret 2001</t>
  </si>
  <si>
    <t>Mawar Lestari, A.Md.Gz</t>
  </si>
  <si>
    <t>199303052014022001</t>
  </si>
  <si>
    <t>Nutrisionis Mahir</t>
  </si>
  <si>
    <t>140952114-0728058</t>
  </si>
  <si>
    <t>Teknisi Gizi Teregistrasi</t>
  </si>
  <si>
    <t>09/2/SIKTGz-33.10/III/2015</t>
  </si>
  <si>
    <t>D3 Gizi</t>
  </si>
  <si>
    <t>Semarang, 05/03/1993</t>
  </si>
  <si>
    <t>Instalasi Gizi</t>
  </si>
  <si>
    <t>196706261991032001</t>
  </si>
  <si>
    <t>Nutrisionis Ahli Madya</t>
  </si>
  <si>
    <t>140982117-2160142</t>
  </si>
  <si>
    <t>Magister Gizi</t>
  </si>
  <si>
    <t>01/2/SIP-TGz_33.10/III/2018</t>
  </si>
  <si>
    <t>S2 Gizi</t>
  </si>
  <si>
    <t>Klaten, 26/6/1967</t>
  </si>
  <si>
    <t>Nutrisionis</t>
  </si>
  <si>
    <t>Ketua Komite Nakes Lainnya</t>
  </si>
  <si>
    <t>Fithri Umul Hasanah, A.Md.Gz</t>
  </si>
  <si>
    <t>197908242005012005</t>
  </si>
  <si>
    <t>Nutrisionis Penyelia</t>
  </si>
  <si>
    <t>140952217-1356616</t>
  </si>
  <si>
    <t>Ahli Madya Gizi</t>
  </si>
  <si>
    <t>04/2/SIP-TGz_33.10/III/2018</t>
  </si>
  <si>
    <t>Klaten, 24/8/1979</t>
  </si>
  <si>
    <t>Cici Nuraini, A.Md</t>
  </si>
  <si>
    <t>Ibnu Harjanto, A.Md</t>
  </si>
  <si>
    <t>Klaten, 14/8/1984</t>
  </si>
  <si>
    <t>Isnani Arianingtyas, A.Md</t>
  </si>
  <si>
    <t>Tri Wiji Utami, S.Gz</t>
  </si>
  <si>
    <t>196610201990032001</t>
  </si>
  <si>
    <t>140962217-1356619</t>
  </si>
  <si>
    <t>Sarjana Terapan Gizi</t>
  </si>
  <si>
    <t>02/2/SIP-Tgz_33.10/III/2018</t>
  </si>
  <si>
    <t>S1 Gizi</t>
  </si>
  <si>
    <t>Purworejo, 20/10/1966</t>
  </si>
  <si>
    <t>Natiroh, A.Md.Gz</t>
  </si>
  <si>
    <t>197107251993032001</t>
  </si>
  <si>
    <t>140952217-1356610</t>
  </si>
  <si>
    <t>06/2/SIP-TGz_33.10/III/2018</t>
  </si>
  <si>
    <t>Klaten, 25/7/1971</t>
  </si>
  <si>
    <t>Toniti, A.Md.Gz</t>
  </si>
  <si>
    <t>197107281993032003</t>
  </si>
  <si>
    <t>140952217-1356613</t>
  </si>
  <si>
    <t>07/2/SIP-TGz_33.10/III/2018</t>
  </si>
  <si>
    <t>Tegal, 28/7/1971</t>
  </si>
  <si>
    <t>Marjudi, S.Gz</t>
  </si>
  <si>
    <t>197601251997031002</t>
  </si>
  <si>
    <t>140951217-1341241</t>
  </si>
  <si>
    <t>08/1/SIP-TGz_33.10/III/2018</t>
  </si>
  <si>
    <t>Kulon Progo, 25/1/1976</t>
  </si>
  <si>
    <t>Eny Sudaryanti, A.Md.Gz</t>
  </si>
  <si>
    <t>197704052005012002</t>
  </si>
  <si>
    <t>140952217-1341257</t>
  </si>
  <si>
    <t>03/2/SIP-TGz_33.10/III/2018</t>
  </si>
  <si>
    <t>Klaten, 5/4/1977</t>
  </si>
  <si>
    <t>Jihad Kurniawan Sihana, A.Md.</t>
  </si>
  <si>
    <t>198306102010011012</t>
  </si>
  <si>
    <t>Nutrisionis Terampil</t>
  </si>
  <si>
    <t>Klaten, 6/10/1983</t>
  </si>
  <si>
    <t>Pindahan Pemkab Lebak</t>
  </si>
  <si>
    <t>Margareta Maria Alacoque Niwndyane, A.Md.Gz</t>
  </si>
  <si>
    <t>199210162019022001</t>
  </si>
  <si>
    <t>Klaten, 10/16/1992</t>
  </si>
  <si>
    <t>Her Kurniawati, S.Tr.Gz</t>
  </si>
  <si>
    <t>199404102018012001</t>
  </si>
  <si>
    <t>150952115-1055571</t>
  </si>
  <si>
    <t>70/2/SIP-TGz_33.10/III/2018</t>
  </si>
  <si>
    <t>D4 Gizi</t>
  </si>
  <si>
    <t>Gunung Kidil</t>
  </si>
  <si>
    <t>Gunung Kidul, 4/10/1994</t>
  </si>
  <si>
    <t>199703152020122011</t>
  </si>
  <si>
    <t>Nutrisionis Ahli Pertama</t>
  </si>
  <si>
    <t>KLATEN / 1997-03-15</t>
  </si>
  <si>
    <t>Tri Catur Nugrahasari, S.Gz</t>
  </si>
  <si>
    <t>199305112022032002</t>
  </si>
  <si>
    <t>150962115-1010545</t>
  </si>
  <si>
    <t>Ahli Gizi/ Nutrisionist and Dietition</t>
  </si>
  <si>
    <t>30/2/SIKTGz_33.10/III/2016</t>
  </si>
  <si>
    <t>Magelang, 11/05/1993</t>
  </si>
  <si>
    <t>BLU Menjadi CPNS 2021</t>
  </si>
  <si>
    <t>Sophia Denta Prapdika Sari, S.Tr.Gz</t>
  </si>
  <si>
    <t>199712312022032004</t>
  </si>
  <si>
    <t>Klaten, 31 Desember 1997</t>
  </si>
  <si>
    <t>Siti Nurrochmah Bayuningsih, S.Gz</t>
  </si>
  <si>
    <t>199105292023212004</t>
  </si>
  <si>
    <t>140962117-2075196</t>
  </si>
  <si>
    <t>28/2/SIP-TGz_33.10/III/2018</t>
  </si>
  <si>
    <t>Sleman, 29/05/1991</t>
  </si>
  <si>
    <t>Dian Eka Sari, S.Gz</t>
  </si>
  <si>
    <t>199310162023212009</t>
  </si>
  <si>
    <t>150962115-1062529</t>
  </si>
  <si>
    <t>27/2/SIKTGz_33.10/III/2016</t>
  </si>
  <si>
    <t>Karanganyar, 16/10/1993</t>
  </si>
  <si>
    <t>Siti Kumairoh, S.Gz</t>
  </si>
  <si>
    <t>199205022023212011</t>
  </si>
  <si>
    <t>140962115-0997321</t>
  </si>
  <si>
    <t>29/2/SIKTGz_33.10/III/2016</t>
  </si>
  <si>
    <t>Sragen, 02/05/1992</t>
  </si>
  <si>
    <t>199309082023212013</t>
  </si>
  <si>
    <t>Ujung Pandang, 8 September 1993</t>
  </si>
  <si>
    <t>Dhea Nisa Pangestri, S.Gz</t>
  </si>
  <si>
    <t>199607022024212026</t>
  </si>
  <si>
    <t>BOYOLALI, 02 Juli 1996</t>
  </si>
  <si>
    <t>Sukristiani</t>
  </si>
  <si>
    <t>197506232007012021</t>
  </si>
  <si>
    <t>Pramubakti</t>
  </si>
  <si>
    <t>Klaten, 23/6/1975</t>
  </si>
  <si>
    <t>Pemasak</t>
  </si>
  <si>
    <t>Djumijem</t>
  </si>
  <si>
    <t>196901172008122001</t>
  </si>
  <si>
    <t>Klaten, 17/1/1969</t>
  </si>
  <si>
    <t>Sunar</t>
  </si>
  <si>
    <t>196905102007011062</t>
  </si>
  <si>
    <t>STM</t>
  </si>
  <si>
    <t>Klaten, 10/5/1969</t>
  </si>
  <si>
    <t>Suprapti</t>
  </si>
  <si>
    <t>197401152007012015</t>
  </si>
  <si>
    <t>SMK</t>
  </si>
  <si>
    <t>Kr. Anyar, 15/1/1974</t>
  </si>
  <si>
    <t>D3 Teknik Boga</t>
  </si>
  <si>
    <t>Dewanti Retna Amiati, A.Md</t>
  </si>
  <si>
    <t>Klaten, 01/9/1989</t>
  </si>
  <si>
    <t>Endraswati</t>
  </si>
  <si>
    <t>197603012006042005</t>
  </si>
  <si>
    <t>Klaten, 1/3/1976</t>
  </si>
  <si>
    <t>Pramusaji</t>
  </si>
  <si>
    <t>Sri Maryati</t>
  </si>
  <si>
    <t>198304212008122002</t>
  </si>
  <si>
    <t>SMKK</t>
  </si>
  <si>
    <t>Klaten, 21/4/1983</t>
  </si>
  <si>
    <t>Mamik</t>
  </si>
  <si>
    <t>196802152008122001</t>
  </si>
  <si>
    <t>Paket C</t>
  </si>
  <si>
    <t>Pasuruan, 15/2/1968</t>
  </si>
  <si>
    <t>Sriyono</t>
  </si>
  <si>
    <t>196812192007011024</t>
  </si>
  <si>
    <t>Klaten, 19/12/1968</t>
  </si>
  <si>
    <t>Tri Wardoyo</t>
  </si>
  <si>
    <t>196908112009121001</t>
  </si>
  <si>
    <t>Klaten, 11/8/1969</t>
  </si>
  <si>
    <t>Suyanto</t>
  </si>
  <si>
    <t>197003182007011026</t>
  </si>
  <si>
    <t>Gunung Kidul, 18/3/1970</t>
  </si>
  <si>
    <t>Sri Wahyuni</t>
  </si>
  <si>
    <t>197007302007012017</t>
  </si>
  <si>
    <t>Klaten, 30/7/1970</t>
  </si>
  <si>
    <t>Sunarno</t>
  </si>
  <si>
    <t>197203052007011032</t>
  </si>
  <si>
    <t>Gunung Kidul, 5/3/1972</t>
  </si>
  <si>
    <t>Padi Widada</t>
  </si>
  <si>
    <t>197403152006041006</t>
  </si>
  <si>
    <t>Klaten, 15/3/1974</t>
  </si>
  <si>
    <t>Aluisius Marwoto</t>
  </si>
  <si>
    <t>197505012009121001</t>
  </si>
  <si>
    <t>Fakih Ariadi, A.Md</t>
  </si>
  <si>
    <t>Klaten, 5/6/1986</t>
  </si>
  <si>
    <t>Linda Pusvita Sari, A.Md</t>
  </si>
  <si>
    <t>Sugeng Widodo, A.Md</t>
  </si>
  <si>
    <t>Suginem, SST</t>
  </si>
  <si>
    <t>196707081988032002</t>
  </si>
  <si>
    <t>140162116-1284055</t>
  </si>
  <si>
    <t>284/28/VII/2017</t>
  </si>
  <si>
    <t>Klaten, 8/7/1967</t>
  </si>
  <si>
    <t>Surveilan</t>
  </si>
  <si>
    <t>Pencegahan dan Pengendalian Infeksi</t>
  </si>
  <si>
    <t>Nurdin, S.Kep. Ns, M.M</t>
  </si>
  <si>
    <t>197105081992031003</t>
  </si>
  <si>
    <t>140171218-2209635</t>
  </si>
  <si>
    <t>391/1/SIPP_33.10/IV/2018</t>
  </si>
  <si>
    <t>Madiun, 8/5/1971</t>
  </si>
  <si>
    <t>Nurtami, S.ST, Ners</t>
  </si>
  <si>
    <t>197410271998032002</t>
  </si>
  <si>
    <t>140172117-1462499</t>
  </si>
  <si>
    <t>653/2/SIPP_33.10/VII/2019</t>
  </si>
  <si>
    <t>Klaten, 27/10/1974</t>
  </si>
  <si>
    <t>Hidayat Mangestiaji, SE</t>
  </si>
  <si>
    <t>197712212009021002</t>
  </si>
  <si>
    <t>Yogyakarta, 21/12/1977</t>
  </si>
  <si>
    <t>Asisten Manajer Perencanaan Program Anggaran</t>
  </si>
  <si>
    <t>Tim Kerja Perencanaan Program, Anggaran dan Evaluasi</t>
  </si>
  <si>
    <t>Sub Tim Kerja Perencanaan Program Anggaran</t>
  </si>
  <si>
    <t>Rohmiyati, SE</t>
  </si>
  <si>
    <t>196802261998032002</t>
  </si>
  <si>
    <t>Perencana Ahli Madya</t>
  </si>
  <si>
    <t>Klaten, 26/2/1968</t>
  </si>
  <si>
    <t>Setyo Raharjo, SE</t>
  </si>
  <si>
    <t>198701042023211011</t>
  </si>
  <si>
    <t>Boyolali, 04/01/1987</t>
  </si>
  <si>
    <t>Maryani Nur, S.Ak</t>
  </si>
  <si>
    <t>199107072023212049</t>
  </si>
  <si>
    <t>Jakarta, 7 Juli 1991</t>
  </si>
  <si>
    <t>Perencana</t>
  </si>
  <si>
    <t>Optimalisasi PPPK 2022</t>
  </si>
  <si>
    <t>Devinta Stany</t>
  </si>
  <si>
    <t>198506132023212035</t>
  </si>
  <si>
    <t>Perencana Ahli Pertama</t>
  </si>
  <si>
    <t>Klaten, 13/6/1985</t>
  </si>
  <si>
    <t>Pratami Kuswidyastuti, SE</t>
  </si>
  <si>
    <t>197009302006042001</t>
  </si>
  <si>
    <t>Yogyakarta, 30/9/1970</t>
  </si>
  <si>
    <t>Asisten Manajer Evaluasi dan Pelaporan</t>
  </si>
  <si>
    <t>Sub Tim Kerja Evaluasi dan Pelaporan</t>
  </si>
  <si>
    <t>Nur Ihwan, S.Ak.</t>
  </si>
  <si>
    <t>Penata Rekening</t>
  </si>
  <si>
    <t>Sri Budi Utami, S.Ak.</t>
  </si>
  <si>
    <t>197009042007012027</t>
  </si>
  <si>
    <t>Pranata Keuangan APBN Terampil</t>
  </si>
  <si>
    <t>Klaten, 4/9/1970</t>
  </si>
  <si>
    <t>Asisten Manajer Pelaksanaan Keuangan</t>
  </si>
  <si>
    <t>Tim Kerja Pelaksanaan Keuangan</t>
  </si>
  <si>
    <t>Pratikto, A.Md</t>
  </si>
  <si>
    <t>197504222005011002</t>
  </si>
  <si>
    <t>Pranata Keuangan APBN Penyelia</t>
  </si>
  <si>
    <t>Pemalang, 22/4/1975</t>
  </si>
  <si>
    <t>Pembantu Bendahara Pengeluaran Rupiah BLU</t>
  </si>
  <si>
    <t>Rina Listyanti</t>
  </si>
  <si>
    <t>198510152009122002</t>
  </si>
  <si>
    <t>Pranata Keuangan APBN Mahir</t>
  </si>
  <si>
    <t>Klaten, 15/10/1985</t>
  </si>
  <si>
    <t>Pembuat Daftar Gaji</t>
  </si>
  <si>
    <t>D3 Perpajakan</t>
  </si>
  <si>
    <t>Dyah Pradnya Narenswari, A.Md.Ak</t>
  </si>
  <si>
    <t>199906292022022001</t>
  </si>
  <si>
    <t>Semarang, 29 Juni 1999</t>
  </si>
  <si>
    <t>Bendahara Pengeluaran</t>
  </si>
  <si>
    <t>STAN</t>
  </si>
  <si>
    <t>Pungki Rusdiana Dewi, A.Md.Ak</t>
  </si>
  <si>
    <t>200005072022022001</t>
  </si>
  <si>
    <t>Mojokerto</t>
  </si>
  <si>
    <t>Mojokerto, 7 Mei 2000</t>
  </si>
  <si>
    <t>Bendahara Penerimaan</t>
  </si>
  <si>
    <t>Titania Asyaditama, A.Md.Ak</t>
  </si>
  <si>
    <t>200004012022022002</t>
  </si>
  <si>
    <t>Temanggung, 1 April 2000</t>
  </si>
  <si>
    <t>Sri Hastuti, A.Md.Ak</t>
  </si>
  <si>
    <t>199911172022022001</t>
  </si>
  <si>
    <t>Demak, 17 November 1999</t>
  </si>
  <si>
    <t>200001102025062007</t>
  </si>
  <si>
    <t>SURAKARTA,10 Januari 2000</t>
  </si>
  <si>
    <t>Pranata Keuangan APBN</t>
  </si>
  <si>
    <t>Bardiyanta, SE</t>
  </si>
  <si>
    <t>196809112006041002</t>
  </si>
  <si>
    <t>Klaten, 11/9/1968</t>
  </si>
  <si>
    <t>Sugeng Priyana</t>
  </si>
  <si>
    <t>196907091993031001</t>
  </si>
  <si>
    <t>Sugiman, SE</t>
  </si>
  <si>
    <t>197101082005011004</t>
  </si>
  <si>
    <t>Pengadministrasi Keuangan</t>
  </si>
  <si>
    <t>Klaten, 8/1/1971</t>
  </si>
  <si>
    <t>Siti Fajriyah, SE</t>
  </si>
  <si>
    <t>198109222012122002</t>
  </si>
  <si>
    <t>Klaten, 22/9/1981</t>
  </si>
  <si>
    <t>Klaten, 21/1/1986</t>
  </si>
  <si>
    <t>Desi Prihatini, A.Md</t>
  </si>
  <si>
    <t>2008100150</t>
  </si>
  <si>
    <t>Sukoharjo, 12/12/1984</t>
  </si>
  <si>
    <t>Moh. Arif Yunianto, A.Md</t>
  </si>
  <si>
    <t>198306042023211019</t>
  </si>
  <si>
    <t>Klaten, 4/6/1983</t>
  </si>
  <si>
    <t>Tugiono, SE</t>
  </si>
  <si>
    <t>198506242020121001</t>
  </si>
  <si>
    <t>Banjarnegara, 24/06/1985</t>
  </si>
  <si>
    <t>Asisten Manajer Akuntansi</t>
  </si>
  <si>
    <t>Tim Kerja Akuntansi dan BMN</t>
  </si>
  <si>
    <t>Sub Tim Kerja Akuntansi</t>
  </si>
  <si>
    <t>Saminah, S.E</t>
  </si>
  <si>
    <t>196801142007012016</t>
  </si>
  <si>
    <t>Klaten, 14/1/1968</t>
  </si>
  <si>
    <t>197404162000032004</t>
  </si>
  <si>
    <t>Klaten, 16/4/1974</t>
  </si>
  <si>
    <t>197704292008122001</t>
  </si>
  <si>
    <t>Klaten, 29/4/1977</t>
  </si>
  <si>
    <t>Penata Laporan Keuangan</t>
  </si>
  <si>
    <t>Oktora Irawati, S.Ak</t>
  </si>
  <si>
    <t>198210292012122002</t>
  </si>
  <si>
    <t>Klaten, 29/10/1982</t>
  </si>
  <si>
    <t>Fauziah Afni Rahmawati, S.Ak</t>
  </si>
  <si>
    <t>199504152022032003</t>
  </si>
  <si>
    <t>Klaten, 15 April 1995</t>
  </si>
  <si>
    <t>197901072009032002</t>
  </si>
  <si>
    <t>Penata Muda Tk. I</t>
  </si>
  <si>
    <t>Klaten, 07/01/1979</t>
  </si>
  <si>
    <t>Mutasi dari Anggota ULP ke Analis Pengelolaan Keuangan APBN Timker akuntansi dan BMN TMT 1 Juli 2024</t>
  </si>
  <si>
    <t>Yan Ika Indriyaningrum, A.Md</t>
  </si>
  <si>
    <t>Penyetaraan ijazah dari D3 Akuntansi ke S1 Akuntansi</t>
  </si>
  <si>
    <t>Yulia Puspitasari, S.E.</t>
  </si>
  <si>
    <t>Sulastri, SE</t>
  </si>
  <si>
    <t>197201031994032003</t>
  </si>
  <si>
    <t>Perencana Ahli Muda</t>
  </si>
  <si>
    <t>Magelang, 3/1/1972</t>
  </si>
  <si>
    <t>Asisten Manajer Pengelolaan BMN</t>
  </si>
  <si>
    <t>Sub Tim Kerja Pengelolaan BMN</t>
  </si>
  <si>
    <t>Dwi Widayanto, A.Md</t>
  </si>
  <si>
    <t>198601102010121002</t>
  </si>
  <si>
    <t>Pengelola Barang Milik Negara</t>
  </si>
  <si>
    <t>D3 Teknik Komputer</t>
  </si>
  <si>
    <t>Klaten, 10/1/1986</t>
  </si>
  <si>
    <t>Akita Sari Martha, S.E</t>
  </si>
  <si>
    <t>199002172022032001</t>
  </si>
  <si>
    <t>Boyolali, 17 Februari 1990</t>
  </si>
  <si>
    <t>Ika Widyastuti, A.Md</t>
  </si>
  <si>
    <t>D3 Sekretaris</t>
  </si>
  <si>
    <t>Pengelola BMN</t>
  </si>
  <si>
    <t>mutasi dari sekretaris TURT ke Pengelola BMN Tim Kerja Akuntansi dan BMN TMT 13 Juni 2024</t>
  </si>
  <si>
    <t>200401282025062001</t>
  </si>
  <si>
    <t>BOGOR,28 Januari 2004</t>
  </si>
  <si>
    <t>Donny Kuncoro, S.Kep.Ns</t>
  </si>
  <si>
    <t>199306052022031001</t>
  </si>
  <si>
    <t>140171117-2123664</t>
  </si>
  <si>
    <t>191/1/SIPP_33.10/I/2018</t>
  </si>
  <si>
    <t>Klaten, 05/06/1993</t>
  </si>
  <si>
    <t>Asisten Manajer Pemasaran</t>
  </si>
  <si>
    <t>Tim Kerja Hukum dan Humas</t>
  </si>
  <si>
    <t>Sub Tim Kerja Pemasaran</t>
  </si>
  <si>
    <t>S1 Ilmu Komunikasi</t>
  </si>
  <si>
    <t>Petugas pemasaran</t>
  </si>
  <si>
    <t>Penyetaraan ijazah dari D3 Hubungan Masyarakat ke S1 Ilmu Komunikasi</t>
  </si>
  <si>
    <t>Reninta Amelia, A.Md</t>
  </si>
  <si>
    <t>D3 MARS</t>
  </si>
  <si>
    <t>Nur Rohman Fahrurozi, S.Ak</t>
  </si>
  <si>
    <t>199605082018121001</t>
  </si>
  <si>
    <t>Gunung Kidul, 5/8/1996</t>
  </si>
  <si>
    <t>Asisten Manajer Hubungan Masyarakat</t>
  </si>
  <si>
    <t>Sub Tim Kerja Hubungan Masyarakat</t>
  </si>
  <si>
    <t>D3 Hubungan Masyarakat</t>
  </si>
  <si>
    <t>Martha Christa Uli Boru Hutagalung, A.Md</t>
  </si>
  <si>
    <t>Petrus Tri Joko Praptopo, SKM</t>
  </si>
  <si>
    <t>197001281993031002</t>
  </si>
  <si>
    <t>Penyuluh Kesehatan Masyarakat Ahli Madya</t>
  </si>
  <si>
    <t>S1 SKM Penilik Kesmas</t>
  </si>
  <si>
    <t>Magelang, 28/1/1970</t>
  </si>
  <si>
    <t>Penyuluh Kesehatan</t>
  </si>
  <si>
    <t>Nurheni Setyaningsih, S.K.M</t>
  </si>
  <si>
    <t>198903222023212003</t>
  </si>
  <si>
    <t>Penyuluh Kesehatan Masyarakat Ahli Pertama</t>
  </si>
  <si>
    <t>1421621161252435</t>
  </si>
  <si>
    <t>Karanganyar, 22/03/1989</t>
  </si>
  <si>
    <t>Titin Alwiyati Ningrum, S.KM.</t>
  </si>
  <si>
    <t>198612082023212007</t>
  </si>
  <si>
    <t>142162115-0923691</t>
  </si>
  <si>
    <t>Klaten, 08/12/1986</t>
  </si>
  <si>
    <t>Pengelola Layanan Kehumasan</t>
  </si>
  <si>
    <t>Retno Ambarwati, A.Md</t>
  </si>
  <si>
    <t>Asmaratri Murwo Wibowo, SH</t>
  </si>
  <si>
    <t>198402032010122001</t>
  </si>
  <si>
    <t>S1 Hukum</t>
  </si>
  <si>
    <t>Semarang, 3/2/1984</t>
  </si>
  <si>
    <t>Asisten Manajer Hukum</t>
  </si>
  <si>
    <t>Sub Tim Kerja Hukum</t>
  </si>
  <si>
    <t>Kemaludin, SKM, MPH</t>
  </si>
  <si>
    <t>197006211991011001</t>
  </si>
  <si>
    <t>Analis Hukum Ahli Madya</t>
  </si>
  <si>
    <t>Ngawi, 21/06/1970</t>
  </si>
  <si>
    <t>Analis Hukum</t>
  </si>
  <si>
    <t>Nurcahyo Adi Nugroho, SH., M.H</t>
  </si>
  <si>
    <t>198206072015031001</t>
  </si>
  <si>
    <t>Analis Kepegawaian Ahli / Analis Sumber Daya Manusia Aparatur</t>
  </si>
  <si>
    <t>S2 Hukum</t>
  </si>
  <si>
    <t>Surakarta. 007/06/1982</t>
  </si>
  <si>
    <t>S1 Sos</t>
  </si>
  <si>
    <t>Sri Asih Wulandari, SH</t>
  </si>
  <si>
    <t>197109101998032002</t>
  </si>
  <si>
    <t>Perekam Medis Penyelia</t>
  </si>
  <si>
    <t>Klaten, 10/9/1971</t>
  </si>
  <si>
    <t>Asep Ilyas Mulyana, SH</t>
  </si>
  <si>
    <t>197705052024211005</t>
  </si>
  <si>
    <t>Analis Hukum Ahli Pertama</t>
  </si>
  <si>
    <t>TASIKMALAYA</t>
  </si>
  <si>
    <t>TASIKMALAYA, 05 Mei 1977</t>
  </si>
  <si>
    <t>Ari Setyono, SH., MH</t>
  </si>
  <si>
    <t>198312012010121004</t>
  </si>
  <si>
    <t>Analis Hukum Ahli Muda</t>
  </si>
  <si>
    <t>Purworejo, 1 Desember 1983</t>
  </si>
  <si>
    <t>Pindahan dari Sekretariat Direktorat Jenderal Kefarmasian dan Alat Kesehatan</t>
  </si>
  <si>
    <t>197803132006041008</t>
  </si>
  <si>
    <t>Klaten, 13/3/1978</t>
  </si>
  <si>
    <t>Asisten Manajer Tata Usaha dan Rumah Tangga</t>
  </si>
  <si>
    <t>Tim Kerja Tata Usaha dan Rumah Tangga</t>
  </si>
  <si>
    <t>Suhardi, S.A.P.</t>
  </si>
  <si>
    <t>197107162009121001</t>
  </si>
  <si>
    <t>Klaten, 16/7/1971</t>
  </si>
  <si>
    <t>Arsiparis Pemula</t>
  </si>
  <si>
    <t>Jumbadi</t>
  </si>
  <si>
    <t>197202222007011016</t>
  </si>
  <si>
    <t>Pemelihara Sarana Dan Prasarana</t>
  </si>
  <si>
    <t>Klaten, 22/2/1972</t>
  </si>
  <si>
    <t>Pengurus Barang</t>
  </si>
  <si>
    <t>Aidatul Khoiriyah, A.Md</t>
  </si>
  <si>
    <t>198005102006042018</t>
  </si>
  <si>
    <t>Purworejo, 10/5/1980</t>
  </si>
  <si>
    <t>Pengelola Data &amp; Arsiparis</t>
  </si>
  <si>
    <t>Sekretaris Direktur Utama</t>
  </si>
  <si>
    <t>Tina Ekawati Suparno, A.Md</t>
  </si>
  <si>
    <t>198604152024212017</t>
  </si>
  <si>
    <t>Arsiparis Terampil</t>
  </si>
  <si>
    <t>Sekretaris Direktur Medik dan Keperawatan</t>
  </si>
  <si>
    <t>Novita Retnaning Winastuti, A.Md</t>
  </si>
  <si>
    <t>198911112024212053</t>
  </si>
  <si>
    <t>D3 manajemen Informatika</t>
  </si>
  <si>
    <t>Sekretaris Direktur Keuangan</t>
  </si>
  <si>
    <t>Satiyo, S.E.</t>
  </si>
  <si>
    <t>Sekretaris</t>
  </si>
  <si>
    <t>Mutasi dari Analis Data dan Informasi Timker Akuntansi dan BMN  ke Sekretaris TURT TMT 13 Juni 2024</t>
  </si>
  <si>
    <t>199505132025061003</t>
  </si>
  <si>
    <t>Arsiparis Ahli Pertama</t>
  </si>
  <si>
    <t>D4 Kearsipan</t>
  </si>
  <si>
    <t>MOJOKERTO</t>
  </si>
  <si>
    <t>MOJOKERTO,13 Mei 1995</t>
  </si>
  <si>
    <t>Arsiparis</t>
  </si>
  <si>
    <t>Joko Purwadi</t>
  </si>
  <si>
    <t>197405232007011019</t>
  </si>
  <si>
    <t>Pengemudi Ambulan</t>
  </si>
  <si>
    <t>Klaten, 23/5/1974</t>
  </si>
  <si>
    <t>Sehono</t>
  </si>
  <si>
    <t>196901302007011020</t>
  </si>
  <si>
    <t>PENGEMUDI</t>
  </si>
  <si>
    <t>Klaten, 30/01/1969</t>
  </si>
  <si>
    <t>Pengemudi</t>
  </si>
  <si>
    <t>085868460118</t>
  </si>
  <si>
    <t>Radianto Nugroho</t>
  </si>
  <si>
    <t>197411182007011013</t>
  </si>
  <si>
    <t>Klaten, 18/11/1974</t>
  </si>
  <si>
    <t>Jarot Harsana Nugraha</t>
  </si>
  <si>
    <t>197806302009121001</t>
  </si>
  <si>
    <t>Klaten, 30/6/1978</t>
  </si>
  <si>
    <t>Fx. Bambang Nurmayadi</t>
  </si>
  <si>
    <t>197809132008121003</t>
  </si>
  <si>
    <t>Pengatur Tk.1</t>
  </si>
  <si>
    <t>Klaten, 13/9/1978</t>
  </si>
  <si>
    <t>Winarsih, SE</t>
  </si>
  <si>
    <t>197002161992032001</t>
  </si>
  <si>
    <t>Penata Tk.1</t>
  </si>
  <si>
    <t>Klaten, 16/2/1970</t>
  </si>
  <si>
    <t>Nanang Edi Sasongko</t>
  </si>
  <si>
    <t>197211252007101001</t>
  </si>
  <si>
    <t>Klaten, 25/11/1972</t>
  </si>
  <si>
    <t>Kusdiarto</t>
  </si>
  <si>
    <t>197801062009121001</t>
  </si>
  <si>
    <t>Klaten, 6/1/1978</t>
  </si>
  <si>
    <t>Arief Almas, S.E</t>
  </si>
  <si>
    <t>198012012008121001</t>
  </si>
  <si>
    <t>Klaten, 1/12/1980</t>
  </si>
  <si>
    <t>Aris Budianto, A.Md</t>
  </si>
  <si>
    <t>D3 Desain Teknologi Sepatu/ Produk Kulit</t>
  </si>
  <si>
    <t>Surana, A.Md.A.P</t>
  </si>
  <si>
    <t>Klaten, 15/9/1979</t>
  </si>
  <si>
    <t>Aan Fitri Suparmanto, S.Tr.RMIK.</t>
  </si>
  <si>
    <t>198705192009121001</t>
  </si>
  <si>
    <t>Perekam Medis Mahir</t>
  </si>
  <si>
    <t>D4 Rekam Medik</t>
  </si>
  <si>
    <t>Klaten, 19/5/1987</t>
  </si>
  <si>
    <t>Instalasi Rekam Medik &amp; Penjaminan Pasien</t>
  </si>
  <si>
    <t>Risti Wijayanti, S.Tr.RMIK</t>
  </si>
  <si>
    <t>198803132010122001</t>
  </si>
  <si>
    <t xml:space="preserve">Perekam Medis Penyelia </t>
  </si>
  <si>
    <t>141052217-2149108</t>
  </si>
  <si>
    <t>Perekam Medis dan Informasi Kesehatan</t>
  </si>
  <si>
    <t>104/2/SIP-PM_33.10/VII/2018</t>
  </si>
  <si>
    <t>Klaten, 13/3/1988</t>
  </si>
  <si>
    <t>Perekam Medis</t>
  </si>
  <si>
    <t>Mita Nurhidayati, S.Tr.RMIK</t>
  </si>
  <si>
    <t>198906062010122001</t>
  </si>
  <si>
    <t>141052217-2179109</t>
  </si>
  <si>
    <t>Perekam Medik dan Informatika Kesehatan</t>
  </si>
  <si>
    <t>106/2/SIP-PM_33.10/VII/2018</t>
  </si>
  <si>
    <t>Klaten, 6/6/1989</t>
  </si>
  <si>
    <t>Yuliana Dwi Utami, A.Md</t>
  </si>
  <si>
    <t>198907112010122001</t>
  </si>
  <si>
    <t>141052117-2149110</t>
  </si>
  <si>
    <t>102/2/SIP-PM_33.10/VII/2018</t>
  </si>
  <si>
    <t>D3 Rekam Medik</t>
  </si>
  <si>
    <t>Klaten, 11/7/1989</t>
  </si>
  <si>
    <t>Dwi Hapsari, S.Tr.RMIK</t>
  </si>
  <si>
    <t>198212222010012012</t>
  </si>
  <si>
    <t>Perekam Medis Ahli Muda</t>
  </si>
  <si>
    <t>140152217-2183479</t>
  </si>
  <si>
    <t>109/2/SIP-P&lt;_33.10/VII/2018</t>
  </si>
  <si>
    <t>Klaten, 22/12/1982</t>
  </si>
  <si>
    <t>Janni Cahya Wulan, A. Md</t>
  </si>
  <si>
    <t>198412012009122001</t>
  </si>
  <si>
    <t>151052116-1102799</t>
  </si>
  <si>
    <t>PEREKAM MEDIS</t>
  </si>
  <si>
    <t>14/2/SIP-PM_33.10/XI/2017</t>
  </si>
  <si>
    <t>Sragen, 1/12/1984</t>
  </si>
  <si>
    <t>Sri Wahyuningsih, A.Md</t>
  </si>
  <si>
    <t>198501012010012033</t>
  </si>
  <si>
    <t>69/2/SIP-PM_33.10/XI/2017</t>
  </si>
  <si>
    <t>Boyolali, 01/01/1985</t>
  </si>
  <si>
    <t>085640620954</t>
  </si>
  <si>
    <t>Danik Yulianti, A.Md</t>
  </si>
  <si>
    <t>198707052011012018</t>
  </si>
  <si>
    <t>141052217-2149106</t>
  </si>
  <si>
    <t>108/2/SIP-PM_33.10/VII/2018</t>
  </si>
  <si>
    <t>Klaten, 05/07/1987</t>
  </si>
  <si>
    <t>Nuriyanti</t>
  </si>
  <si>
    <t>198902032010122001</t>
  </si>
  <si>
    <t>141052217-1319473</t>
  </si>
  <si>
    <t>Ahli Madya RMIK</t>
  </si>
  <si>
    <t>1/2/SIP-PM_33.10/XI/2017</t>
  </si>
  <si>
    <t>Wonogiri, 3/2/1989</t>
  </si>
  <si>
    <t>198902272014022003</t>
  </si>
  <si>
    <t>141052217-1319472</t>
  </si>
  <si>
    <t>2/2/SIP-PM_33.10/XI/2017</t>
  </si>
  <si>
    <t>Surakarta, 27/2/1989</t>
  </si>
  <si>
    <t>Alfiyah, A.Md.</t>
  </si>
  <si>
    <t>198904102010122001</t>
  </si>
  <si>
    <t>141052217-2149104</t>
  </si>
  <si>
    <t>19890410/SIKPM_33.10/2015/2003</t>
  </si>
  <si>
    <t>Klaten, 10/4/1989</t>
  </si>
  <si>
    <t>Duwi Retno Ningrum, A.Md.</t>
  </si>
  <si>
    <t>198905132010122003</t>
  </si>
  <si>
    <t>141052217-1346575</t>
  </si>
  <si>
    <t>16/2/SIP-PM_33.10/XI/2017</t>
  </si>
  <si>
    <t>Wonogiri, 13/5/1989</t>
  </si>
  <si>
    <t>Sri Mariyati, A. Md. RMIK</t>
  </si>
  <si>
    <t>199205272014022001</t>
  </si>
  <si>
    <t>141052114-0716913</t>
  </si>
  <si>
    <t>19920527/SIKPM_33.10/2015/2013</t>
  </si>
  <si>
    <t>Karanganyar, 27/05/1992</t>
  </si>
  <si>
    <t>Febrica Arydiana, A.Md</t>
  </si>
  <si>
    <t>199302212019022001</t>
  </si>
  <si>
    <t>141052115-1061483</t>
  </si>
  <si>
    <t>Perekam Medik danInformasi Kesehatan</t>
  </si>
  <si>
    <t>48/2/SIKPM_33.10/VII/2016</t>
  </si>
  <si>
    <t>Karanganyar, 21/02/1993</t>
  </si>
  <si>
    <t>Adi Purnomo, A.Md</t>
  </si>
  <si>
    <t>199405072018011001</t>
  </si>
  <si>
    <t>141051116-1179600</t>
  </si>
  <si>
    <t>93/1/SIP-PM_33.10/III/2018</t>
  </si>
  <si>
    <t>Sukoharjo, 07/05/1994</t>
  </si>
  <si>
    <t>Dito Yogo Waskito, S.Tr.RMIK</t>
  </si>
  <si>
    <t>199603172019021001</t>
  </si>
  <si>
    <t>Boyolali, 3/17/1996</t>
  </si>
  <si>
    <t>Layla Rismanani, S.ST</t>
  </si>
  <si>
    <t>199608042022032005</t>
  </si>
  <si>
    <t>Perekam Medis Ahli Pertama</t>
  </si>
  <si>
    <t>Bondowoso</t>
  </si>
  <si>
    <t>Bondowoso, 04-08-1996</t>
  </si>
  <si>
    <t>Laksmi Reisita, S.Tr.Kes</t>
  </si>
  <si>
    <t>199605302022032003</t>
  </si>
  <si>
    <t>Merauke</t>
  </si>
  <si>
    <t>Merauke, 30-05-1996</t>
  </si>
  <si>
    <t>Adi Prasetyo</t>
  </si>
  <si>
    <t>198608072015031005</t>
  </si>
  <si>
    <t>Sukoharjo, 07 Agustus 1986</t>
  </si>
  <si>
    <t>Pindahan dari RSUP Ratatotok Buyat</t>
  </si>
  <si>
    <t>Dwi Noraini, A.Md</t>
  </si>
  <si>
    <t>198311092023212003</t>
  </si>
  <si>
    <t>Perekam Medis Terampil</t>
  </si>
  <si>
    <t>151052116-1102859</t>
  </si>
  <si>
    <t>41/2/SIP-PM_33.10/XI/2017</t>
  </si>
  <si>
    <t>Magetan, 9/11/1983</t>
  </si>
  <si>
    <t>Atien Fauziah Novarie, A.Md.Kes</t>
  </si>
  <si>
    <t>198508182023212005</t>
  </si>
  <si>
    <t>Klaten, 18/8/1985</t>
  </si>
  <si>
    <t>Penyesuaian ijazah dari D3 MARS ke D3 Rekam Medik, BLU ke PPPK 2022</t>
  </si>
  <si>
    <t>Asri Wulandari, A.Md</t>
  </si>
  <si>
    <t>198312012023212003</t>
  </si>
  <si>
    <t>151052116-1102851</t>
  </si>
  <si>
    <t>44/2/SIP-PM_33.10/XI/2017</t>
  </si>
  <si>
    <t>D3 MARM</t>
  </si>
  <si>
    <t>Klaten, 1/12/1983</t>
  </si>
  <si>
    <t>141051217-2183483</t>
  </si>
  <si>
    <t>111/1/SIP-PM_33.10/VII/2018</t>
  </si>
  <si>
    <t>Isti Barokah, A.Md.PK</t>
  </si>
  <si>
    <t xml:space="preserve"> 198508262023212004</t>
  </si>
  <si>
    <t>141052217-2149105</t>
  </si>
  <si>
    <t>107/2/SIP-PM_33.10/VII/2018</t>
  </si>
  <si>
    <t>Boyolali, 26/8/1985</t>
  </si>
  <si>
    <t>Novita Anggra Dewi</t>
  </si>
  <si>
    <t>198706172024212013</t>
  </si>
  <si>
    <t>141052217-2149107</t>
  </si>
  <si>
    <t>10/2/SIP-PM_33.10/VII/2018</t>
  </si>
  <si>
    <t>Klaten, 17/6/1987</t>
  </si>
  <si>
    <t>Dhian Novia Puspita, A.Md</t>
  </si>
  <si>
    <t>198711192023212003</t>
  </si>
  <si>
    <t>141052217-2183476</t>
  </si>
  <si>
    <t>101/2/SIP-PM_33.10/VII/2018</t>
  </si>
  <si>
    <t>Klaten, 19/11/1987</t>
  </si>
  <si>
    <t>Siti Mahmudah, A.Md</t>
  </si>
  <si>
    <t>198710252023212009</t>
  </si>
  <si>
    <t>141052217-2183482</t>
  </si>
  <si>
    <t>4/2/SIP-PM_33.10/VII/2018</t>
  </si>
  <si>
    <t>Klaten, 25/10/1987</t>
  </si>
  <si>
    <t>Dana Ady Permata</t>
  </si>
  <si>
    <t>198811042024211010</t>
  </si>
  <si>
    <t>141051217-2183481</t>
  </si>
  <si>
    <t>105/1/SIP-PM_33.10/VII/2018</t>
  </si>
  <si>
    <t>Klaten, 04/11/1988</t>
  </si>
  <si>
    <t>Retna Raraswati, A.Md</t>
  </si>
  <si>
    <t>199303032023212008</t>
  </si>
  <si>
    <t>141052115-0968129</t>
  </si>
  <si>
    <t>42/2/SIPPM_33.10/VIII/2017</t>
  </si>
  <si>
    <t>Klaten, 03/03/1993</t>
  </si>
  <si>
    <t>Tri Hanggoro Kurniawan, A.Md</t>
  </si>
  <si>
    <t>199406062024211018</t>
  </si>
  <si>
    <t>141051116-2008489</t>
  </si>
  <si>
    <t>54/SIPPM_33.10/VIII/2017</t>
  </si>
  <si>
    <t>Klaten, 06/06/1994</t>
  </si>
  <si>
    <t>Christyaningrum Lindawati Rumaharbo, A.Md.Kes</t>
  </si>
  <si>
    <t>198407232023212004</t>
  </si>
  <si>
    <t>Klaten, 23/7/1984</t>
  </si>
  <si>
    <t>Rahmadi, A.Md.Kes</t>
  </si>
  <si>
    <t>198703122023211003</t>
  </si>
  <si>
    <t>Klaten, 12/3/1987</t>
  </si>
  <si>
    <t>1 Februari 2023</t>
  </si>
  <si>
    <t>Dwi Fianti</t>
  </si>
  <si>
    <t>198804292024212020</t>
  </si>
  <si>
    <t>141052217-1346574</t>
  </si>
  <si>
    <t>5/2/SIP-PM_33.10/XI/2017</t>
  </si>
  <si>
    <t>Klaten, 29/04/1988</t>
  </si>
  <si>
    <t>Rinawati, A.Md</t>
  </si>
  <si>
    <t>Bandung</t>
  </si>
  <si>
    <t>Sehana, A.Md</t>
  </si>
  <si>
    <t>196807082005011004</t>
  </si>
  <si>
    <t>Klaten, 8/7/1968</t>
  </si>
  <si>
    <t>Rohmani Ebtaningsih, A.Md</t>
  </si>
  <si>
    <t>140252114-0848971</t>
  </si>
  <si>
    <t>Verifikator</t>
  </si>
  <si>
    <t>Yassinta Aulia</t>
  </si>
  <si>
    <t>199404092024212042</t>
  </si>
  <si>
    <t>KLATEN, 09 April 1994</t>
  </si>
  <si>
    <t>Dini Bagus Prasetyo, S.Kom</t>
  </si>
  <si>
    <t>198103092023211005</t>
  </si>
  <si>
    <t>Pranata Komputer Ahli Pertama</t>
  </si>
  <si>
    <t>Batang, 09/03/1981</t>
  </si>
  <si>
    <t>Instalasi Sistem Informasi Manajemen Rumah Sakit</t>
  </si>
  <si>
    <t>197511252006041002</t>
  </si>
  <si>
    <t>Demak, 25/11/1975</t>
  </si>
  <si>
    <t>Agung Wahyu Kuncoro Wati, A.Md</t>
  </si>
  <si>
    <t>198612292023212023</t>
  </si>
  <si>
    <t>Klaten, 29/12/1986</t>
  </si>
  <si>
    <t>Danar Pratomo Widodo, S.Kom</t>
  </si>
  <si>
    <t>198904062023211015</t>
  </si>
  <si>
    <t>Klaten, 06 April 1989</t>
  </si>
  <si>
    <t>Analis Sistem</t>
  </si>
  <si>
    <t>Luqman Arif Wibisono, S.Kom</t>
  </si>
  <si>
    <t>198902042024211018</t>
  </si>
  <si>
    <t>Klaten, 04/02/1989</t>
  </si>
  <si>
    <t>Programer</t>
  </si>
  <si>
    <t>Rahanata, S.Kom</t>
  </si>
  <si>
    <t>199006242023211020</t>
  </si>
  <si>
    <t>Klaten, 24/06/1990</t>
  </si>
  <si>
    <t>Tri Yulianto, A.Md</t>
  </si>
  <si>
    <t>198707192023211014</t>
  </si>
  <si>
    <t>Magelang, 19/07/1987</t>
  </si>
  <si>
    <t>Pengelola Data (Hardware dan Jaringan)</t>
  </si>
  <si>
    <t>Ismi Alfi Sarah, A.Md</t>
  </si>
  <si>
    <t>199304052022032001</t>
  </si>
  <si>
    <t>Surakarta, 05/04/1993</t>
  </si>
  <si>
    <t>BLU menjadi CPNS</t>
  </si>
  <si>
    <t>199710072023211008</t>
  </si>
  <si>
    <t>Sukoharjo, 07/10/1993</t>
  </si>
  <si>
    <t>BLU Kontrak ke Optimalisasi PPPK 2022</t>
  </si>
  <si>
    <t>Nor Sabowosari, S.Kom</t>
  </si>
  <si>
    <t>Rochmat Aprillianto, A.Md</t>
  </si>
  <si>
    <t>199004102022031001</t>
  </si>
  <si>
    <t>Wonogiri, 10/04/1990</t>
  </si>
  <si>
    <t>Ari Munandar, S.Kom</t>
  </si>
  <si>
    <t>199209102022031004</t>
  </si>
  <si>
    <t>Sragen, 10/09/1992</t>
  </si>
  <si>
    <t>Mila Rosyida Uswatunnisa, S.Kom</t>
  </si>
  <si>
    <t>199808082022032002</t>
  </si>
  <si>
    <t>Klaten, 08 Agustus 1998</t>
  </si>
  <si>
    <t>Dwi Suryanta, S.Kom</t>
  </si>
  <si>
    <t>198908052022031001</t>
  </si>
  <si>
    <t>Bantul, 05 Agustus  1989</t>
  </si>
  <si>
    <t>Catur Apriyanto, A.Md</t>
  </si>
  <si>
    <t>198904032023211021</t>
  </si>
  <si>
    <t>Klaten, 3 April 1989</t>
  </si>
  <si>
    <t>Muchlisin, A.Md</t>
  </si>
  <si>
    <t>198307172023211014</t>
  </si>
  <si>
    <t>Klaten, 17 Juli 1983</t>
  </si>
  <si>
    <t>Anggun Surya Dwianto, S.Kom</t>
  </si>
  <si>
    <t>198812312023211039</t>
  </si>
  <si>
    <t>Sleman, 31 Desember 1988</t>
  </si>
  <si>
    <t>Ahmad Syaifudin, S.Kom</t>
  </si>
  <si>
    <t>199112082023211022</t>
  </si>
  <si>
    <t>Klaten, 8 Desember 1991</t>
  </si>
  <si>
    <t>Muhammad Iqbal, S.Kom</t>
  </si>
  <si>
    <t>198907122023211013</t>
  </si>
  <si>
    <t>Yogyakarta, 12 Juli 1989</t>
  </si>
  <si>
    <t>Surtiningsih, S.Kep.Ns</t>
  </si>
  <si>
    <t>197111091992032001</t>
  </si>
  <si>
    <t>140172116-1284429</t>
  </si>
  <si>
    <t>193/2/SIPP_33.10/I/2018</t>
  </si>
  <si>
    <t>Pacitan</t>
  </si>
  <si>
    <t>Pacitan, 9/11/1971</t>
  </si>
  <si>
    <t>Instalasi Pemeliharaan Sarana Prasarana RS</t>
  </si>
  <si>
    <t>Herbowo Haryanto, S.T</t>
  </si>
  <si>
    <t>197304111997031001</t>
  </si>
  <si>
    <t>Teknisi Elektromedis Penyelia</t>
  </si>
  <si>
    <t>141351217-1310603</t>
  </si>
  <si>
    <t>Elektromedis</t>
  </si>
  <si>
    <t>04a/2/SIP-Fis_33.10/III/2018</t>
  </si>
  <si>
    <t>S1 Teknik Elektro</t>
  </si>
  <si>
    <t>Sragen, 11/4/1973</t>
  </si>
  <si>
    <t>Teknisi Elektromedik</t>
  </si>
  <si>
    <t>Sumarno</t>
  </si>
  <si>
    <t>196807151992031001</t>
  </si>
  <si>
    <t>Klaten, 15/7/1968</t>
  </si>
  <si>
    <t>Teknisi Listrik</t>
  </si>
  <si>
    <t>Hery Tommi</t>
  </si>
  <si>
    <t>196807231994031003</t>
  </si>
  <si>
    <t>141351217-1310602</t>
  </si>
  <si>
    <t>03a/2/SIP-Fis_33.10/III/2018</t>
  </si>
  <si>
    <t>ATEM</t>
  </si>
  <si>
    <t>Jakarta, 23/7/1968</t>
  </si>
  <si>
    <t>Junaidi</t>
  </si>
  <si>
    <t>197106102007011027</t>
  </si>
  <si>
    <t>Klaten, 10/6/1971</t>
  </si>
  <si>
    <t>Djoko Kristanto</t>
  </si>
  <si>
    <t>197207212008121002</t>
  </si>
  <si>
    <t>Klaten, 21/7/1972</t>
  </si>
  <si>
    <t>Irdani</t>
  </si>
  <si>
    <t>197405281999031001</t>
  </si>
  <si>
    <t>141351217-1310606</t>
  </si>
  <si>
    <t>06a/2/SIP-Fis_33.10/II/2018</t>
  </si>
  <si>
    <t>Kebumen, 28/5/1974</t>
  </si>
  <si>
    <t>Edi Dwi Susilo Paryata, A.Md.TEM</t>
  </si>
  <si>
    <t>197901112001121002</t>
  </si>
  <si>
    <t>05a/2/SIP-Fis_33.10/I/2018</t>
  </si>
  <si>
    <t>Semarang, 11/1/1979</t>
  </si>
  <si>
    <t>Andik Prasetija, A.Md</t>
  </si>
  <si>
    <t>198507262010121003</t>
  </si>
  <si>
    <t>D3 Teknik Listrik</t>
  </si>
  <si>
    <t>Madiun, 26/7/1985</t>
  </si>
  <si>
    <t>Ivan Dwi Prasetya, A.Md</t>
  </si>
  <si>
    <t>199502212019021001</t>
  </si>
  <si>
    <t>Teknisi Elektromedis Mahir</t>
  </si>
  <si>
    <t>D3 Teknik Elektromedik</t>
  </si>
  <si>
    <t>Klaten, 2/21/1995</t>
  </si>
  <si>
    <t>Rizki Andriyanto, A.Md.Kes</t>
  </si>
  <si>
    <t>199705152022031004</t>
  </si>
  <si>
    <t xml:space="preserve">Pengatur </t>
  </si>
  <si>
    <t>Teknisi Elektromedis Terampil</t>
  </si>
  <si>
    <t>Purworejo, 15-05-1997</t>
  </si>
  <si>
    <t>Alfonsus Toby Purnomo, A.Md.T.</t>
  </si>
  <si>
    <t>199810312022031003</t>
  </si>
  <si>
    <t>Sukoharjo, 31-10-1998</t>
  </si>
  <si>
    <t>Nita Nurlina, S.Tr.Kes.</t>
  </si>
  <si>
    <t>199506042024212039</t>
  </si>
  <si>
    <t>SUMENEP</t>
  </si>
  <si>
    <t>SUMENEP, 04 Juni 1995</t>
  </si>
  <si>
    <t>Rizki Ayu Shalekhah</t>
  </si>
  <si>
    <t>199609242024212032</t>
  </si>
  <si>
    <t>KEDIRI</t>
  </si>
  <si>
    <t>KEDIRI, 24 September 1996</t>
  </si>
  <si>
    <t>S1 Teknik Mesin</t>
  </si>
  <si>
    <t>Penyesuaian ijazah dari D3 Teknik Listrik ke S1 Teknik Elektro</t>
  </si>
  <si>
    <t>Penyesuaian ijazah dari D3 Teknik Mesin ke S1 Teknik Elektro</t>
  </si>
  <si>
    <t>Teknisi Bangunan</t>
  </si>
  <si>
    <t>D3 Teknik Mesin</t>
  </si>
  <si>
    <t>Teknisi Mesin</t>
  </si>
  <si>
    <t>Baikuni Ahmadi, ST</t>
  </si>
  <si>
    <t>2010070297</t>
  </si>
  <si>
    <t>Klaten, 31/10/1981</t>
  </si>
  <si>
    <t>S1 Teknik Sipil</t>
  </si>
  <si>
    <t>S1 Teknik Arsitektur</t>
  </si>
  <si>
    <t>D3 Teknik Elektronika</t>
  </si>
  <si>
    <t>Pemelihara Sarana dan Prasarana</t>
  </si>
  <si>
    <t>Erni Asni Nababan, SST</t>
  </si>
  <si>
    <t>196708181990032001</t>
  </si>
  <si>
    <t>Sanitarian Ahli Madya</t>
  </si>
  <si>
    <t>141262217-1465816</t>
  </si>
  <si>
    <t>Teknisi Sanitarian Utama</t>
  </si>
  <si>
    <t>08/2/SIP-TS_33.10/I/2018</t>
  </si>
  <si>
    <t>D4 Kesehatan Lingkungan</t>
  </si>
  <si>
    <t>Klaten, 18/8/1967</t>
  </si>
  <si>
    <t>Instalasi Kesehatan Lingkungan dan K3RS</t>
  </si>
  <si>
    <t>Soni Triyoko, SKM</t>
  </si>
  <si>
    <t>196603301988031001</t>
  </si>
  <si>
    <t>141261217-1465805</t>
  </si>
  <si>
    <t>07/1/SIP-TS_33.10/I/2018</t>
  </si>
  <si>
    <t>S1 SKM Kesling</t>
  </si>
  <si>
    <t>Ngawi, 30/3/1966</t>
  </si>
  <si>
    <t>Sanitarian</t>
  </si>
  <si>
    <t>R. Duta Cahyawan</t>
  </si>
  <si>
    <t>196808291992031002</t>
  </si>
  <si>
    <t>Sanitarian Penyelia</t>
  </si>
  <si>
    <t>141251217-1465815</t>
  </si>
  <si>
    <t>Teknisi Sanitarian Madya</t>
  </si>
  <si>
    <t>10/1/SIP-TS_33.10/I/2018</t>
  </si>
  <si>
    <t>D3 Sanitasi Penilik Kesehatan</t>
  </si>
  <si>
    <t>Jakarta, 29/8/1968</t>
  </si>
  <si>
    <t>Minarni, A.Md.KL</t>
  </si>
  <si>
    <t>197005091991012001</t>
  </si>
  <si>
    <t>151252117-2153080</t>
  </si>
  <si>
    <t>12/2/SIP-TS_33.10/XI/2017</t>
  </si>
  <si>
    <t>D3 Sanitasi</t>
  </si>
  <si>
    <t>Magetan, 9/5/1970</t>
  </si>
  <si>
    <t>Ashari Rochmad, S.Kom</t>
  </si>
  <si>
    <t>197110292007011010</t>
  </si>
  <si>
    <t>S1 Komputer</t>
  </si>
  <si>
    <t>Klaten, 29/10/1971</t>
  </si>
  <si>
    <t>Juwanda, A.Md.KL</t>
  </si>
  <si>
    <t>197905042023211002</t>
  </si>
  <si>
    <t>Sanitarian Terampil</t>
  </si>
  <si>
    <t>141251217-1465808</t>
  </si>
  <si>
    <t>11/1/SIP-TS_33.10/I/2018</t>
  </si>
  <si>
    <t>D3 Kesehatan Lingkungan</t>
  </si>
  <si>
    <t>Pemalang, 4/5/1979</t>
  </si>
  <si>
    <t>Tri Purwanti, A.Md.KL</t>
  </si>
  <si>
    <t>198504062023212004</t>
  </si>
  <si>
    <t>141252217-1465806</t>
  </si>
  <si>
    <t>13/2/SIP-TS_33.10/I/2018</t>
  </si>
  <si>
    <t>Klaten, 06/4/1985</t>
  </si>
  <si>
    <t>Yoni Lestari, S.K.M.</t>
  </si>
  <si>
    <t>2012050426</t>
  </si>
  <si>
    <t>141252114-0828457</t>
  </si>
  <si>
    <t>14/2/SIKTS_33.10/III/2015</t>
  </si>
  <si>
    <t>Pacitan, 18/4/1981</t>
  </si>
  <si>
    <t>Penyesuaian ijazah dari D3 Sanitasi ke S1 Kesehatan Masyarakat</t>
  </si>
  <si>
    <t>Suci Rahayu, S.ST</t>
  </si>
  <si>
    <t>199303022023212008</t>
  </si>
  <si>
    <t>Pembimbing Kesehatan Kerja Ahli Pertama</t>
  </si>
  <si>
    <t>D4 Keselamatan Kesehatan Kerja</t>
  </si>
  <si>
    <t>Purworejo, 02/03/1993</t>
  </si>
  <si>
    <t>Petugas K3</t>
  </si>
  <si>
    <t>Endro Nugroho, A.Md</t>
  </si>
  <si>
    <t>Klaten, 10/1/1980</t>
  </si>
  <si>
    <t>Alfa Nugroho Yekti, S.Farm, A.Pt, M.M.</t>
  </si>
  <si>
    <t>198111142011041002</t>
  </si>
  <si>
    <t>19811112/STRA-USB/2004/11278</t>
  </si>
  <si>
    <t>19811114/SIPA_33.10/2017/1447</t>
  </si>
  <si>
    <t>Abepura</t>
  </si>
  <si>
    <t>Abepura, 14/11/1981</t>
  </si>
  <si>
    <t>Instalasi Sterilisasi Sentral dan Binatu</t>
  </si>
  <si>
    <t>08121522248</t>
  </si>
  <si>
    <t>Sriyanto</t>
  </si>
  <si>
    <t>196906142007011037</t>
  </si>
  <si>
    <t>Klaten, 14/6/1969</t>
  </si>
  <si>
    <t>Pencuci</t>
  </si>
  <si>
    <t>Yuliyanta</t>
  </si>
  <si>
    <t>197407272007011028</t>
  </si>
  <si>
    <t>Klaten, 27/7/1974</t>
  </si>
  <si>
    <t>Sarpinah</t>
  </si>
  <si>
    <t>197003241994032003</t>
  </si>
  <si>
    <t>Pati, 24/03/1970</t>
  </si>
  <si>
    <t>Petugas Sterilisasi</t>
  </si>
  <si>
    <t>Sri Wahyu, A.Md.Farm</t>
  </si>
  <si>
    <t>198110082023211002</t>
  </si>
  <si>
    <t>Klaten, 8/10/1981</t>
  </si>
  <si>
    <t>Arlia Wahyu Agustin, A.Md.Kom</t>
  </si>
  <si>
    <t>198608282023212042</t>
  </si>
  <si>
    <t>Cianjur, 28/8/1986</t>
  </si>
  <si>
    <t>Hendro Raharjo, A.Md.Kom.</t>
  </si>
  <si>
    <t>Sukisno, A.Md.A.P.</t>
  </si>
  <si>
    <t>Klaten, 15/8/1979</t>
  </si>
  <si>
    <t>198109062005011003</t>
  </si>
  <si>
    <t>Kebumen, 6/9/1981</t>
  </si>
  <si>
    <t>Asisten Manajer Organisasi, Perencanaan SDM, dan Budaya Kerja</t>
  </si>
  <si>
    <t>Tim Kerja Organisasi dan SDM</t>
  </si>
  <si>
    <t>Sub Tim Kerja Organisasi, Perencanaan SDM, dan Budaya Kerja</t>
  </si>
  <si>
    <t>Nawang Mustaqim, S.Kom</t>
  </si>
  <si>
    <t>198703032010121002</t>
  </si>
  <si>
    <t>Pranata Teknologi Informasi Komputer</t>
  </si>
  <si>
    <t>Sukoharjo, 3/3/1987</t>
  </si>
  <si>
    <t>Perancang Peraturan Perundang-Undangan</t>
  </si>
  <si>
    <t>Dyna Verawati, A.Md</t>
  </si>
  <si>
    <t>198112162009022005</t>
  </si>
  <si>
    <t>141052217-2183480</t>
  </si>
  <si>
    <t>19811216/SIKPM_33.10/2015/2026</t>
  </si>
  <si>
    <t>Klaten, 16/12/1981</t>
  </si>
  <si>
    <t>197210212005011005</t>
  </si>
  <si>
    <t>Sleman, 21/10/1972</t>
  </si>
  <si>
    <t>Asisten Manajer Manajemen dan Pengembangan SDM</t>
  </si>
  <si>
    <t>Sub Tim Kerja Manajemen dan Pengembangan SDM</t>
  </si>
  <si>
    <t>08157934422</t>
  </si>
  <si>
    <t>Anik Suprihatin, A.Md</t>
  </si>
  <si>
    <t>198812092010122001</t>
  </si>
  <si>
    <t>Boyolali, 9/12/1988</t>
  </si>
  <si>
    <t>Fitri Aksari, A.Md</t>
  </si>
  <si>
    <t>199310092023212041</t>
  </si>
  <si>
    <t>Klaten, 09/10/1993</t>
  </si>
  <si>
    <t>Rian Dwi Pawestri, S.Kom</t>
  </si>
  <si>
    <t>199203012023212049</t>
  </si>
  <si>
    <t>Analis Sumber Daya Manusia Aparatur Ahli Pertama</t>
  </si>
  <si>
    <t>Klaten, 01/03/1992</t>
  </si>
  <si>
    <t>081225431780</t>
  </si>
  <si>
    <t>198009022003121003</t>
  </si>
  <si>
    <t>Perawat</t>
  </si>
  <si>
    <t>140151117-1420957</t>
  </si>
  <si>
    <t>590/1/SIPP_33.10/V/2018</t>
  </si>
  <si>
    <t>Grobogan, 2/9/1980</t>
  </si>
  <si>
    <t>Dewi Susilowati, S.Kep.Ns</t>
  </si>
  <si>
    <t>197407311998032001</t>
  </si>
  <si>
    <t>140172117-1462498</t>
  </si>
  <si>
    <t>653/2/SIPP_33.10/VII/2018</t>
  </si>
  <si>
    <t>Boyolali, 31/7/1974</t>
  </si>
  <si>
    <t>Asisten Manajer Remunerasi dan Penegakan Disiplin</t>
  </si>
  <si>
    <t>Irwan Yunianto, S.Kom</t>
  </si>
  <si>
    <t>198306012009031002</t>
  </si>
  <si>
    <t>Gunungkidul, 01/06/1983</t>
  </si>
  <si>
    <t>D3 Manajemen Perusahaan</t>
  </si>
  <si>
    <t>Andi Rohmadi, A.Md</t>
  </si>
  <si>
    <t>198504192024211006</t>
  </si>
  <si>
    <t>Pranata Sumber Daya Manusia Aparatur Terampil</t>
  </si>
  <si>
    <t>Klaten, 19/04/1985</t>
  </si>
  <si>
    <t>199911192025061003</t>
  </si>
  <si>
    <t>KLATEN,19 November 1999</t>
  </si>
  <si>
    <t>199409272025061004</t>
  </si>
  <si>
    <t>BANTUL,27 September 1994</t>
  </si>
  <si>
    <t>Analis Sumber Daya Manusia Aparatur</t>
  </si>
  <si>
    <t>199510292025062002</t>
  </si>
  <si>
    <t>S1 Administrasi Negara</t>
  </si>
  <si>
    <t>SURAKARTA,29 Oktober 1995</t>
  </si>
  <si>
    <t>200011182025062013</t>
  </si>
  <si>
    <t>BLORA,18 November 2000</t>
  </si>
  <si>
    <t>Pranata Sumber Daya Manusia Aparatur</t>
  </si>
  <si>
    <t>Agus Wahyudi, S.Kep.Ns</t>
  </si>
  <si>
    <t>197406011998031003</t>
  </si>
  <si>
    <t>140171113-0711972</t>
  </si>
  <si>
    <t>Klaten, 1/6/1974</t>
  </si>
  <si>
    <t>Asisten Manajer Pendidikan</t>
  </si>
  <si>
    <t>Tim Kerja Pendidikan dan Pelatihan</t>
  </si>
  <si>
    <t>Listyo Riyono, S.Pd</t>
  </si>
  <si>
    <t>199005012024211016</t>
  </si>
  <si>
    <t>S1 Manajemen Pendidikan</t>
  </si>
  <si>
    <t>Kulon Progo, 06/12/1990</t>
  </si>
  <si>
    <t>Pandu Setyawan, S.Kep.Ners</t>
  </si>
  <si>
    <t>198910312010121001</t>
  </si>
  <si>
    <t>140151115-1048349</t>
  </si>
  <si>
    <t>1026/28/XII/2017</t>
  </si>
  <si>
    <t>Boyolali, 31/10/1989</t>
  </si>
  <si>
    <t>Asisten Manajer Pelatihan</t>
  </si>
  <si>
    <t>Nur Hidayatul Khasanah, SE</t>
  </si>
  <si>
    <t>198301142008122002</t>
  </si>
  <si>
    <t>Klaten, 14/1/1983</t>
  </si>
  <si>
    <t>Heri Fajar Nugroho, A.Md.Kom.</t>
  </si>
  <si>
    <t>Sri Lestari 2</t>
  </si>
  <si>
    <t>197009192007012024</t>
  </si>
  <si>
    <t>Klaten, 19/9/1970</t>
  </si>
  <si>
    <t>Pramu Asrama</t>
  </si>
  <si>
    <t>Chatarina Nur Handayani, SE</t>
  </si>
  <si>
    <t>197012292006042003</t>
  </si>
  <si>
    <t>Klaten, 29/12/1970</t>
  </si>
  <si>
    <t>Wiji Pamungkas, A.Md</t>
  </si>
  <si>
    <t>Ayu Nur Indah Sari, A.Md</t>
  </si>
  <si>
    <t>199411032023212040</t>
  </si>
  <si>
    <t>D3 Arsiparis</t>
  </si>
  <si>
    <t>Klaten, 03/11/1994</t>
  </si>
  <si>
    <t>199612272025062002</t>
  </si>
  <si>
    <t>Pustakawan Ahli Pertama</t>
  </si>
  <si>
    <t>S1 Ilmu Perpustakaan</t>
  </si>
  <si>
    <t>WONOSOBO,27 Desember 1996</t>
  </si>
  <si>
    <t>Pustakawan</t>
  </si>
  <si>
    <t>Tim Kerja Clinical Research Unit (CRU)</t>
  </si>
  <si>
    <t>Kurnia Insan Setiawan, A.Md</t>
  </si>
  <si>
    <t>197206092006041011</t>
  </si>
  <si>
    <t>Sukoharjo, 9/6/1972</t>
  </si>
  <si>
    <t>Kunto Wicaksono, A.Md</t>
  </si>
  <si>
    <t>199310022023211020</t>
  </si>
  <si>
    <t>Klaten, 02/10/1993</t>
  </si>
  <si>
    <t>140252114-0848734</t>
  </si>
  <si>
    <t>19661104/SIKB_33.10/2015/2388</t>
  </si>
  <si>
    <t>D3 Manajemen Administrasi</t>
  </si>
  <si>
    <t>Klaten, September 2025</t>
  </si>
  <si>
    <t>NIP 197404091998032003</t>
  </si>
  <si>
    <t>JUMLAH</t>
  </si>
  <si>
    <t>DATA JUMLAH PEGAWAI BERDASARKAN PENDIDIKAN</t>
  </si>
  <si>
    <t>RSUP dr. SOERADJI TIRTONEGORO</t>
  </si>
  <si>
    <t>No</t>
  </si>
  <si>
    <t>Pegawai Berdasarkan Pendidikan</t>
  </si>
  <si>
    <t>I.</t>
  </si>
  <si>
    <t>MEDIK</t>
  </si>
  <si>
    <t>Dokter Spesialis</t>
  </si>
  <si>
    <t>dr. Sp. Paru</t>
  </si>
  <si>
    <t>dr. Sp. F, PFM</t>
  </si>
  <si>
    <t>Dokter Gigi Spesialis</t>
  </si>
  <si>
    <t>drg. Sp. Pedodontik</t>
  </si>
  <si>
    <t>drg. Sp. Periodonsia</t>
  </si>
  <si>
    <t>Dokter Sub Spesialis</t>
  </si>
  <si>
    <t xml:space="preserve">dr. Sp. BTKV(K) </t>
  </si>
  <si>
    <t>dr. Sp. Jantung dan Pembuluh Darah Sub Spesialis Kardio Intervensi (Konsultan)</t>
  </si>
  <si>
    <t>dr. Sp. MK(K)</t>
  </si>
  <si>
    <t>dr. Sp. PK(K) Infeksi dan Penyakit Tropik dan Konsultan Alergi Imunologi</t>
  </si>
  <si>
    <t>dr. Sp. PD. (K) Geriatri</t>
  </si>
  <si>
    <t>drg. Sp. PM Konsultan Infeksi Oral</t>
  </si>
  <si>
    <t>Jumlah</t>
  </si>
  <si>
    <t>II.</t>
  </si>
  <si>
    <t>KEPERAWATAN</t>
  </si>
  <si>
    <t>S1 Keperawatan + Ners</t>
  </si>
  <si>
    <t>SPRG</t>
  </si>
  <si>
    <t>III.</t>
  </si>
  <si>
    <t>KEBIDANAN</t>
  </si>
  <si>
    <t>IV.</t>
  </si>
  <si>
    <t>KEFARMASIAN</t>
  </si>
  <si>
    <t>S1 Farmasi</t>
  </si>
  <si>
    <t>D1 Manaj. Apotek &amp; Farmasi</t>
  </si>
  <si>
    <t>V.</t>
  </si>
  <si>
    <t>KESEHATAN MASYARAKAT</t>
  </si>
  <si>
    <t>VI.</t>
  </si>
  <si>
    <t>GIZI</t>
  </si>
  <si>
    <t>S1 SKM Gizi</t>
  </si>
  <si>
    <t>VII.</t>
  </si>
  <si>
    <t>KETERAPIAN FISIK</t>
  </si>
  <si>
    <t>S1 Psikologi</t>
  </si>
  <si>
    <t>VIII.</t>
  </si>
  <si>
    <t>KETEKNISIAN MEDIK</t>
  </si>
  <si>
    <t>D4 TRO</t>
  </si>
  <si>
    <t>D3 Refraksi Optisi</t>
  </si>
  <si>
    <t>D3 Teknik Radiologi</t>
  </si>
  <si>
    <t>ATRO</t>
  </si>
  <si>
    <t>D1 Teknologi Transfusi Darah</t>
  </si>
  <si>
    <t>D3Teknologi Transfusi Darah</t>
  </si>
  <si>
    <t>D3 Teknik Radiodiagnostik Dan Radioterapi</t>
  </si>
  <si>
    <t>IX.</t>
  </si>
  <si>
    <t>NON MEDIK</t>
  </si>
  <si>
    <t>MMR</t>
  </si>
  <si>
    <t>S2 Ilmu Manajemen</t>
  </si>
  <si>
    <t>S1 Ilmu Hukum</t>
  </si>
  <si>
    <t>S1 Sistem Informatika</t>
  </si>
  <si>
    <t>S1 Informatika</t>
  </si>
  <si>
    <t>S1 Pendidikan Informatika</t>
  </si>
  <si>
    <t>D3 Elektronika</t>
  </si>
  <si>
    <t>D3 Administrasi Negara</t>
  </si>
  <si>
    <t>D3 Publik Relations (Hubungan Masyarakat)</t>
  </si>
  <si>
    <t>SMU</t>
  </si>
  <si>
    <t>SLTA</t>
  </si>
  <si>
    <t>SPG</t>
  </si>
  <si>
    <t>ST</t>
  </si>
  <si>
    <t>SMP</t>
  </si>
  <si>
    <t>SD</t>
  </si>
  <si>
    <t>Grand Total</t>
  </si>
  <si>
    <t>Rincian PKWT 2024</t>
  </si>
  <si>
    <t>no</t>
  </si>
  <si>
    <t>nama</t>
  </si>
  <si>
    <t>NIK</t>
  </si>
  <si>
    <t>tmpt, tgl lahir</t>
  </si>
  <si>
    <t>tmt</t>
  </si>
  <si>
    <t>berakhir</t>
  </si>
  <si>
    <t>ket</t>
  </si>
  <si>
    <t>Adi Siswaya, S.T.</t>
  </si>
  <si>
    <t>199005112024110001</t>
  </si>
  <si>
    <t>3310181105900001</t>
  </si>
  <si>
    <t>Klaten, 11 Mei 1990</t>
  </si>
  <si>
    <t>Tim Teknis Pengelola Bangunan Gedung</t>
  </si>
  <si>
    <t>31 Desember 2025</t>
  </si>
  <si>
    <t xml:space="preserve"> Aswin Taufiq Pradana, S.T.</t>
  </si>
  <si>
    <t>199004152024120002</t>
  </si>
  <si>
    <t>3372041504900001</t>
  </si>
  <si>
    <t>Surakarta, 15 April 1990</t>
  </si>
  <si>
    <t>Tim Teknis Ahli Arsitektur</t>
  </si>
  <si>
    <t>Berhenti TMT 1 Februari 2025</t>
  </si>
  <si>
    <t>Catur Afif Kurniawan, S.Ars.</t>
  </si>
  <si>
    <t>199405302025010001</t>
  </si>
  <si>
    <t>3322113005940005</t>
  </si>
  <si>
    <t>Kab. Semarang, 30 Mei 1994</t>
  </si>
  <si>
    <t>Pengganti Aswin</t>
  </si>
  <si>
    <t>MITRA</t>
  </si>
  <si>
    <t>NIPM</t>
  </si>
  <si>
    <t>Tempat, Tanggal Lahir</t>
  </si>
  <si>
    <t>TMT</t>
  </si>
  <si>
    <t>dr. M Agi Ramadhani Gustisiya, Sp.JP, FIHA</t>
  </si>
  <si>
    <t>20250319920306</t>
  </si>
  <si>
    <t>6301030603920001</t>
  </si>
  <si>
    <t>Dokter Spesialis Jantung dan Pembuluh Darah</t>
  </si>
  <si>
    <t>Pelaihari, 06 Maret 1992</t>
  </si>
  <si>
    <t>01 Maret 2025</t>
  </si>
  <si>
    <t>PKS sampai dengan 31 Desember 2025</t>
  </si>
  <si>
    <t>dr. Syarifuddin Irfan Adikusuma</t>
  </si>
  <si>
    <t>20241219901031</t>
  </si>
  <si>
    <t>3310053110900001</t>
  </si>
  <si>
    <t>Dokter Umum</t>
  </si>
  <si>
    <t>Klaten, 31 Oktober 1990</t>
  </si>
  <si>
    <t>01 Desember 2024</t>
  </si>
  <si>
    <t>PKS sampai dengan 01 Desember 2027</t>
  </si>
  <si>
    <t>Dokter herbal</t>
  </si>
  <si>
    <t>Dra. Karni, S.Psi</t>
  </si>
  <si>
    <t>20250319650211</t>
  </si>
  <si>
    <t>Sukoharjo, 11 Februari 1965</t>
  </si>
  <si>
    <t>Psikolog</t>
  </si>
  <si>
    <t>dr. Akmal Niam Firdausi Masyhudi, Sp.BS., M.Ked.Klin</t>
  </si>
  <si>
    <t>20250819931209</t>
  </si>
  <si>
    <t>3321110912930004</t>
  </si>
  <si>
    <t>Yogyakarta, 09 Desember 1993</t>
  </si>
  <si>
    <t>Anggota KSM Bedah Saraf</t>
  </si>
  <si>
    <t>1 Agustus 2025</t>
  </si>
  <si>
    <t>Dokter Tamu Klinik Herbal Seger Buger</t>
  </si>
  <si>
    <t>OS</t>
  </si>
  <si>
    <t>Sofyan Nurcahyo</t>
  </si>
  <si>
    <t>Suhardi</t>
  </si>
  <si>
    <t>Tri Meiyanto</t>
  </si>
  <si>
    <t>Muhammad Barly Afandi</t>
  </si>
  <si>
    <t>Dimas Surya Pranata</t>
  </si>
  <si>
    <t>Nanang Saka Prayoga</t>
  </si>
  <si>
    <t>Gravinenda ahlul ulama</t>
  </si>
  <si>
    <t>Revo Adhi Cahyo</t>
  </si>
  <si>
    <t>Erzha Syafa Aini</t>
  </si>
  <si>
    <t>Bayu Purnomo</t>
  </si>
  <si>
    <t>Velen Fitriani Faradella</t>
  </si>
  <si>
    <t>Dwi Hariyanto</t>
  </si>
  <si>
    <t>Fitria Yudianti</t>
  </si>
  <si>
    <t>Slamet Widodo</t>
  </si>
  <si>
    <t>Stephanus Dewa Mahardika</t>
  </si>
  <si>
    <t>Annisa Dwiningrum</t>
  </si>
  <si>
    <t>Dinar Nugroho</t>
  </si>
  <si>
    <t>Rani Miranti</t>
  </si>
  <si>
    <t>Galeri Arindiyan</t>
  </si>
  <si>
    <t>Misael Atmadja</t>
  </si>
  <si>
    <t>Farida Lailatul Syafitri</t>
  </si>
  <si>
    <t>Tyas Nurliawati ( Lily 2)</t>
  </si>
  <si>
    <t>Nindia Cangga Mahardika ( Picu )</t>
  </si>
  <si>
    <t>Nila Felyta Haryati ( Nicu )</t>
  </si>
  <si>
    <t>Fitriyani ( IPK IRJT)</t>
  </si>
  <si>
    <t>Jefri Eko Saputro ( Lab IPK)</t>
  </si>
  <si>
    <t>Verra Summi Hakim ( Mikrobiologi )</t>
  </si>
  <si>
    <t>Nuria Handayani ( PA )</t>
  </si>
  <si>
    <t>Solikatun ( M 1 )</t>
  </si>
  <si>
    <t>Meylla Handayani ( VK )</t>
  </si>
  <si>
    <t>Raka Sarnyata</t>
  </si>
  <si>
    <t>Anida Parahita Nuraini</t>
  </si>
  <si>
    <t>Rifyal Ahdiyaka</t>
  </si>
  <si>
    <t>Muhammad Irsyad Husain</t>
  </si>
  <si>
    <t>Momot Budiarjo</t>
  </si>
  <si>
    <t>Ihsan Muhammad Hery</t>
  </si>
  <si>
    <t>Angga Fatkhul Aziz</t>
  </si>
  <si>
    <t>Rafi Syifa Maheswara</t>
  </si>
  <si>
    <t>Henri Krisnanto ( Stroke )</t>
  </si>
  <si>
    <t>Octaviana Sri Wulandari ( ICU )</t>
  </si>
  <si>
    <t>Serly Melinda Sari Ariyani ( ICCU )</t>
  </si>
  <si>
    <t>Maretta Almandayu</t>
  </si>
  <si>
    <t>Aditya Okky Hidayat</t>
  </si>
  <si>
    <t>Dwi Ariyani</t>
  </si>
  <si>
    <t>Wiwik Handayani</t>
  </si>
  <si>
    <t>Ari Nur Anisa</t>
  </si>
  <si>
    <t>Taufik Ryan Hidayyat</t>
  </si>
  <si>
    <t>Agnes Karunianingtyas ( D 2 )</t>
  </si>
  <si>
    <t>Haris Setyo (D2)</t>
  </si>
  <si>
    <t>Reny Novianti ( D 3 )</t>
  </si>
  <si>
    <t>Jati Subagtriyani</t>
  </si>
  <si>
    <t>Karlina Intan Fajarwati( D 4 )</t>
  </si>
  <si>
    <t>Kharismatulloh Muna Pangestu ( D5 )</t>
  </si>
  <si>
    <t>Octavia Farah Rahmawati ( D5 )</t>
  </si>
  <si>
    <t>Binsar Siahaan ( M2 )</t>
  </si>
  <si>
    <t>Annisa Hamida ( M3 )</t>
  </si>
  <si>
    <t>Bella Ninda Ayu Marcelina ( M4 )</t>
  </si>
  <si>
    <t>Rini Puspitasari ( M 4 )</t>
  </si>
  <si>
    <t>Orine Dhisa Permata Sari ( PIE 2 )</t>
  </si>
  <si>
    <t>Annassya Putri Alif Fi Dahin</t>
  </si>
  <si>
    <t>Anjani Nalda Putri</t>
  </si>
  <si>
    <t>Atika Siwi Racmaati Hutami</t>
  </si>
  <si>
    <t>Ramadhan Riyadi</t>
  </si>
  <si>
    <t>Anisa Indah Ramadhani</t>
  </si>
  <si>
    <t>Enang Bagas Tamara</t>
  </si>
  <si>
    <t>Alex Novianto Hutomo</t>
  </si>
  <si>
    <t>Agung Puji Widoyo</t>
  </si>
  <si>
    <t>Annisa Putri Ismanto</t>
  </si>
  <si>
    <t>Khoirul Huda</t>
  </si>
  <si>
    <t>Linda Ratnasari</t>
  </si>
  <si>
    <t>Dian Cahyo Putranto</t>
  </si>
  <si>
    <t>Putri Ayu Sabrina</t>
  </si>
  <si>
    <t>Jihan Berlian Novembe</t>
  </si>
  <si>
    <t>Ibnu Makruf Ramadhan</t>
  </si>
  <si>
    <t>Yolanda Arinta Kusumaningtyas</t>
  </si>
  <si>
    <t>Diska Wahyu Sejati</t>
  </si>
  <si>
    <t>Ihsan Rohdiyanto</t>
  </si>
  <si>
    <t>Rahman Arif Sahabuddin</t>
  </si>
  <si>
    <t>Agung Prasetyo</t>
  </si>
  <si>
    <t>Oktriana Wening Handayani</t>
  </si>
  <si>
    <t>Anisa Nur Rahmasari</t>
  </si>
  <si>
    <t>Prabowo</t>
  </si>
  <si>
    <t>Slamet Abdi Nugroho</t>
  </si>
  <si>
    <t>Sunarto</t>
  </si>
  <si>
    <t>Sri Harmanto</t>
  </si>
  <si>
    <t>Argo Priwibowo</t>
  </si>
  <si>
    <t>Rochmad Wahid Ismanto</t>
  </si>
  <si>
    <t>Sugiyanto</t>
  </si>
  <si>
    <t>Wahyu Indriatmoko</t>
  </si>
  <si>
    <t>Suhendro</t>
  </si>
  <si>
    <t>Muhammad Zaki Sholikhin</t>
  </si>
  <si>
    <t>Bayu Kornelius Septian</t>
  </si>
  <si>
    <t>Siti Nashirotun Nisa</t>
  </si>
  <si>
    <t>Agus Purnomo</t>
  </si>
  <si>
    <t>Malik Kusumo Atmojo</t>
  </si>
  <si>
    <t>Dwi Ariyanto</t>
  </si>
  <si>
    <t>Gilang Agung Nugroho</t>
  </si>
  <si>
    <t>Tri Anisa</t>
  </si>
  <si>
    <t>Brian Oki Permana</t>
  </si>
  <si>
    <t>Nur Fitriyani</t>
  </si>
  <si>
    <t>Lusiani Hutami</t>
  </si>
  <si>
    <t>Supervisor OS Admin</t>
  </si>
  <si>
    <t>Pengemudi Pimpinan</t>
  </si>
  <si>
    <t>Staf Instalasi Sterilisasi Sentral Dan Binatu</t>
  </si>
  <si>
    <t>Staf Instalasi Kedokteran Forensik dan Pemulasaraan Jenazah</t>
  </si>
  <si>
    <t>Staf Sub Tim Kerja Perencanaan Diklat</t>
  </si>
  <si>
    <t>Staf IGD</t>
  </si>
  <si>
    <t>Staf Instalasi Bedah Sentra</t>
  </si>
  <si>
    <t>Staf Instalasi Gizi</t>
  </si>
  <si>
    <t>Staf Instalasi HD</t>
  </si>
  <si>
    <t>Staf Instalasi Kesehatan Anak</t>
  </si>
  <si>
    <t>Staf Instalasi Laboratorium</t>
  </si>
  <si>
    <t>Staf Instalasi Maternitas dan Reproduksi</t>
  </si>
  <si>
    <t>Staf Instalasi Radiologi</t>
  </si>
  <si>
    <t>Staf Instalasi Rehabilitasi Medik</t>
  </si>
  <si>
    <t>Staf IRMPP</t>
  </si>
  <si>
    <t>Staf IRI/ICU/ICCU/Unit Stroke</t>
  </si>
  <si>
    <t>Staf IRJ Reguler</t>
  </si>
  <si>
    <t>Staf IRJ/Poliklinik eksekutif</t>
  </si>
  <si>
    <t xml:space="preserve">Staf IRNA </t>
  </si>
  <si>
    <t>Staf Bank Darah RS</t>
  </si>
  <si>
    <t>Staf Instalasi Farmasi IRJT</t>
  </si>
  <si>
    <t>Staf Sub Tim Kerja TU &amp; RT</t>
  </si>
  <si>
    <t>Staf Instalasi Farmasi</t>
  </si>
  <si>
    <t>Staf Ruang Mawar</t>
  </si>
  <si>
    <t>Staf Sub Tim Kerja Manajemen dan Pengembangan SDM</t>
  </si>
  <si>
    <t>Staf Instalasi Lalitbang</t>
  </si>
  <si>
    <t>Staf Sub Tim Kerja Humas</t>
  </si>
  <si>
    <t>Staf Sub Tim Kerja Pelaksanaan Keuangan</t>
  </si>
  <si>
    <t>Staf Sub Tim Kerja Perencanaan dan Pengembangan Pelayanan Keperawatan</t>
  </si>
  <si>
    <t>Staf Instalasi Kesehatan Lingkungan dan K3RS</t>
  </si>
  <si>
    <t>Staf IPSRS</t>
  </si>
  <si>
    <t>Staf RJ/  Poliklinik Executive</t>
  </si>
  <si>
    <t>Staf IRNA VVIP</t>
  </si>
  <si>
    <t>Riko Bangkit Wijaya</t>
  </si>
  <si>
    <t xml:space="preserve">- / </t>
  </si>
  <si>
    <t>Alifa Tiara Kusuma</t>
  </si>
  <si>
    <t>Fitri Nur Kasanah</t>
  </si>
  <si>
    <t>Jihan Sabila Nuri Sakinah</t>
  </si>
  <si>
    <t>Nabila Maharani Putri</t>
  </si>
  <si>
    <t>Velinda Kurnia Prawesti</t>
  </si>
  <si>
    <t>Zakya Nur Afifah</t>
  </si>
  <si>
    <t>Alya Indah Fatmawati</t>
  </si>
  <si>
    <t>Aulia Kusuma Rahmawati</t>
  </si>
  <si>
    <t>Najma Aulia Mustika</t>
  </si>
  <si>
    <t>Rosiana</t>
  </si>
  <si>
    <t>Salsabila Clairine</t>
  </si>
  <si>
    <t>Titi Nur Hasanah</t>
  </si>
  <si>
    <t>Direktur Utama</t>
  </si>
  <si>
    <t>- /</t>
  </si>
  <si>
    <t>AINAYA AZKA FARADIS, S.Tr.Ak.</t>
  </si>
  <si>
    <t>ARNI PUDYASTUTI, S.E.</t>
  </si>
  <si>
    <t>RENINTYASTUTI ADMINARDI, S.Ak.</t>
  </si>
  <si>
    <t>MUHAMMAD HILMY MAKARIM, S.M</t>
  </si>
  <si>
    <t>Tara Maulina Muredy, SE</t>
  </si>
  <si>
    <t xml:space="preserve">198212292025212024	</t>
  </si>
  <si>
    <t>Penata Layanan Operasional</t>
  </si>
  <si>
    <t>Tarakan, Kalimantan Utara</t>
  </si>
  <si>
    <t>Tarakan, Kalimantan Utara, 29 Desember 1982</t>
  </si>
  <si>
    <t>198305292025211058</t>
  </si>
  <si>
    <t>PPPK PARUH WAKTU</t>
  </si>
  <si>
    <t>PW</t>
  </si>
  <si>
    <t>Pengelola Layanan Operasional</t>
  </si>
  <si>
    <t>Klaten, 29 Mei 1983</t>
  </si>
  <si>
    <t>198211262025212021</t>
  </si>
  <si>
    <t>Wonogiri, 26 November 1982</t>
  </si>
  <si>
    <t>198410232025212031</t>
  </si>
  <si>
    <t>Bantul, 23 Oktober 1984</t>
  </si>
  <si>
    <t>199202292025212047</t>
  </si>
  <si>
    <t>Boyolali, 29 Februari 1992</t>
  </si>
  <si>
    <t>198708072025212054</t>
  </si>
  <si>
    <t>Cilacap, 07 Agustus 1987</t>
  </si>
  <si>
    <t>apt. DIAN DWI HARSANTI, S.Farm</t>
  </si>
  <si>
    <t>dr. ARGA ILYASA KUSUMA, Sp.An</t>
  </si>
  <si>
    <t>dr. AISYAH DEWI SETYANINGRUM, Sp.B</t>
  </si>
  <si>
    <t>dr. MEDISA PRIMASARI, Sp.B.P.R.E., M.Ked.Klin</t>
  </si>
  <si>
    <t>dr. FURQON SATRIA ADI PRADANA, Sp.JP</t>
  </si>
  <si>
    <t>dr. PUTRI CLAUDYA OCTAVIANI, Sp.M</t>
  </si>
  <si>
    <t>dr. RR. RETNANINGTYAS SUGMA Y., Sp.OG</t>
  </si>
  <si>
    <t>dr. SUDARYANTO, Sp.OT</t>
  </si>
  <si>
    <t>dr. AGRI VINA BRAHMANTIANI SURYONO, Sp. P.K.</t>
  </si>
  <si>
    <t>dr. Taufik Hidayat, Sp.PD, FINASIM</t>
  </si>
  <si>
    <t>dr. Sp. Penyakit Dalam Sub spesialis Gastroenterohepatologi</t>
  </si>
  <si>
    <t>dr. DENDY RAHARJO, Sp.P.D.</t>
  </si>
  <si>
    <t>dr. YOSSY CATARINA BUDI NUR SYAMSAH, Sp.N.</t>
  </si>
  <si>
    <t>dr. QONITA IMMA IRFANI, Sp.MK.</t>
  </si>
  <si>
    <t>dr. ANIKI PUSPITA</t>
  </si>
  <si>
    <t>dr. DZIKRINA AULIA SHOLIHAH</t>
  </si>
  <si>
    <t>dr. MEGANANDA PRADANI CHANDRANINGTYAS</t>
  </si>
  <si>
    <t>dr. DZAKI ADHI WICAKSANA</t>
  </si>
  <si>
    <t>dr. WIDYA ELSI ADRIATI</t>
  </si>
  <si>
    <t>dr. RIZKI ARISANDI</t>
  </si>
  <si>
    <t>dr. PRAMESA JUAN FADILAH</t>
  </si>
  <si>
    <t>Tuty Samiadji, A.Md.A.P</t>
  </si>
  <si>
    <t>198508272025212033</t>
  </si>
  <si>
    <t>Jakarta, 27 Agustus 1985</t>
  </si>
  <si>
    <t>Tri Wibowo, SM</t>
  </si>
  <si>
    <t>197802012025211040</t>
  </si>
  <si>
    <t>Klaten, 1 Februari 1978</t>
  </si>
  <si>
    <t>PUTRI PUSPITA SARI, S.KM</t>
  </si>
  <si>
    <t>198502112025211041</t>
  </si>
  <si>
    <t>Karanganyar, 11 Februari 1985</t>
  </si>
  <si>
    <t>NEVI SRI HASTUTI, S.Kep, Ners</t>
  </si>
  <si>
    <t>FITRIANI, S.KM</t>
  </si>
  <si>
    <t>ABIMATA DANISWARA, S. Kep., Ns</t>
  </si>
  <si>
    <t>ALFI KURNIA ADHA, S.Kep., Ns</t>
  </si>
  <si>
    <t>AYU SEPTIANINGSIH PRANANINGRUM, S.Kep., Ners</t>
  </si>
  <si>
    <t>DIAS PUTRI KUSUMASTUTI, S.Kep., Ners</t>
  </si>
  <si>
    <t>Riko Andi Wahyono, S.Ak</t>
  </si>
  <si>
    <t>198711022025211039</t>
  </si>
  <si>
    <t>Kebumen, 02 November 1987</t>
  </si>
  <si>
    <t>Muhammad Singgih Purnomo, A.Md, Kom.</t>
  </si>
  <si>
    <t>198711092025211042</t>
  </si>
  <si>
    <t>Klaten, 9 November 1987</t>
  </si>
  <si>
    <t>ASMA NABILAH, S.Kesos.</t>
  </si>
  <si>
    <t>DITA ARDI PRAMADIANA LUKITASARI, S. Kep., Ners</t>
  </si>
  <si>
    <t>Ns. NAFISAH AMALIA MUKHTAR, S.Kep</t>
  </si>
  <si>
    <t>FEBI NUR HARDIYANTI, S.Kep., Ners.</t>
  </si>
  <si>
    <t>199010142025212073</t>
  </si>
  <si>
    <t>Klaten, 14 Oktober 1990</t>
  </si>
  <si>
    <t>RASID PREHANTORO, Ners</t>
  </si>
  <si>
    <t>LINANGKUNG FERI CAHYANING TYAS, S.Kep, Ns</t>
  </si>
  <si>
    <t>ELLYANA EKA PUTRI, S.Kep., Ners.</t>
  </si>
  <si>
    <t>EFI EKA NOFITASARI, S.Tr.Kep., Ns.</t>
  </si>
  <si>
    <t>QODRI RHOMADONI DEWI SITARESMI, S.Kep, Ners.</t>
  </si>
  <si>
    <t>AYUNDA SEKAR ARUM, S.Tr.Kep., Ns.</t>
  </si>
  <si>
    <t>LINTANG AGUNG YUWONO, A.Md.Kep</t>
  </si>
  <si>
    <t>WIDHA LISTYANINGGAR, S.Tr.Kep., Ns.</t>
  </si>
  <si>
    <t>SHINDI FITRIA, S.Kep.,Ners</t>
  </si>
  <si>
    <t>KADEK LESTARI DIAH PARAMITHA, S.Kep., Ners</t>
  </si>
  <si>
    <t>Hari Purnomo, SST</t>
  </si>
  <si>
    <t>AFRIANA DWI SAPUTRI, S.Kep., Ners.</t>
  </si>
  <si>
    <t>AHMADI, S. Kep., Ns</t>
  </si>
  <si>
    <t>Nining Indri Astuti, AMK</t>
  </si>
  <si>
    <t>Elisabeth Galuh Agnila Guntari, AMK</t>
  </si>
  <si>
    <t>Dyan Kurniawati Maria Regina, AMK</t>
  </si>
  <si>
    <t>ERNA NUR AVITA SARI, S.Kep., Ners.</t>
  </si>
  <si>
    <t>RIZAL ANDRIANTO NUGROHO, S.Tr.Kep., Ns</t>
  </si>
  <si>
    <t>ANAN PRIHARIANTO, S.Kep.,Ners.</t>
  </si>
  <si>
    <t>Ns. CITRA NASRANI NATALIA BR SIMBOLON, S.Kep</t>
  </si>
  <si>
    <t>Eka Sari Wahyu Aditiya, AMK</t>
  </si>
  <si>
    <t>Nenik Purwaningsih, AMK</t>
  </si>
  <si>
    <t>Ns. LILIS SURYANA, S.Kep</t>
  </si>
  <si>
    <t>Ns. IMAMAH INDAH CAHYANI, S.Kep</t>
  </si>
  <si>
    <t>Dita Swandani, AMK</t>
  </si>
  <si>
    <t>Dwi Arum Ningtyas, AMK</t>
  </si>
  <si>
    <t>Uswatun Khasanah, STr.Kep., Ns</t>
  </si>
  <si>
    <t>Afif Wibisono, S.kep.,Ns</t>
  </si>
  <si>
    <t>EVIANITA IKA MAHARANI, S.Kep.,Ners</t>
  </si>
  <si>
    <t>FITRI IRMA RIYANTI, S.Kep., Ners</t>
  </si>
  <si>
    <t>Ns. LATHIFAH NUR HASANAH, S.Kep.</t>
  </si>
  <si>
    <t>FIA NUR HARYANI, S.Kep., Ns</t>
  </si>
  <si>
    <t>IRMA NURLAELI, S.Tr.Kep., Ns.</t>
  </si>
  <si>
    <t>RIRIN SETIA RAHMAWATI, S.Kep., Ns</t>
  </si>
  <si>
    <t>Luluk Dwi Safari, AMK</t>
  </si>
  <si>
    <t>Mustofa Kamal Pasa, AMK</t>
  </si>
  <si>
    <t>FUJI MAHMUDAH, S. Tr. Kep</t>
  </si>
  <si>
    <t>Eva Yuliyadi, AMK</t>
  </si>
  <si>
    <t>Ns. ISNANDA FEBY NUR AINI, S.Kep</t>
  </si>
  <si>
    <t>Liana Apriyani, AMK</t>
  </si>
  <si>
    <t>Aris Joko Susilo, AMK</t>
  </si>
  <si>
    <t>Yuni Rahmawati Dewi, AMK</t>
  </si>
  <si>
    <t>BINTANG AJI PAMUNGKAS, S.Kep., Ns</t>
  </si>
  <si>
    <t>YULIANA FAJARSARI, S.Tr.Kep., Ns.</t>
  </si>
  <si>
    <t>MARYATUL GIFTIYAH, S.Kep., Ners</t>
  </si>
  <si>
    <t>CESY KURNIA PUTRI, S.Kep., Ners.</t>
  </si>
  <si>
    <t>NOVIA NUR QOMARIAH, S.Kep., Ns</t>
  </si>
  <si>
    <t>198501202025211048</t>
  </si>
  <si>
    <t>Klaten, 20 Januari 1985</t>
  </si>
  <si>
    <t>PITRIANA HENTIARSIH KUSUMADEWI, S.Kep, Ns</t>
  </si>
  <si>
    <t xml:space="preserve">DESI ISMAYANTI, S.Kep., Ns </t>
  </si>
  <si>
    <t>Ns. PURWATISARI, S.Kep</t>
  </si>
  <si>
    <t>WIMA DAYUANGGRENI, S.Kep., Ns</t>
  </si>
  <si>
    <t>MUJI LESTARI, S.Kep., Ners</t>
  </si>
  <si>
    <t>Ns. FITRIA MEGA WARDANI, S.Kep</t>
  </si>
  <si>
    <t>Ns. NURUL DINI HANIFA, S.Kep</t>
  </si>
  <si>
    <t>DEA PRASTIKA HAPSARI, S.Kep., Ns</t>
  </si>
  <si>
    <t>ARDHY KHARTIKA DEWI, S.Kep.,Ners</t>
  </si>
  <si>
    <t>198205162025212042</t>
  </si>
  <si>
    <t>Klaten, 16 Mei 1982</t>
  </si>
  <si>
    <t>Ns. ASRI KESUMA TRIAN, S.Tr.Kep</t>
  </si>
  <si>
    <t>NUR FITRIANINGRUM, S.Kep., Ners.</t>
  </si>
  <si>
    <t>ANUNG PUJI HASTUTI, S.Tr.Kep.,Ners.</t>
  </si>
  <si>
    <t>ROVI APRIANI EKA SUCI, S.Kep., Ns</t>
  </si>
  <si>
    <t>Dian Ayu Minadi, AMK</t>
  </si>
  <si>
    <t>LAILA NUR RAKHMAWATI, S.Kep., Ners</t>
  </si>
  <si>
    <t>Anisak Suci Rohmani, AMK</t>
  </si>
  <si>
    <t>Yety Pribawati, AMK</t>
  </si>
  <si>
    <t>Novi Ikawati, AMK</t>
  </si>
  <si>
    <t>Novi Maulina, AMK</t>
  </si>
  <si>
    <t>Ns. MUHAMMAD RIFA I, S.Kep</t>
  </si>
  <si>
    <t>198905092025212086</t>
  </si>
  <si>
    <t>Klaten, 09 Mei 1989</t>
  </si>
  <si>
    <t>Noviyanto, A.Md.Kom</t>
  </si>
  <si>
    <t>198411122025211044</t>
  </si>
  <si>
    <t>Klaten, 12 November 1984</t>
  </si>
  <si>
    <t>NOVITA NUR UTAMI, S.Kep., Ns</t>
  </si>
  <si>
    <t>FARIDAH MIFTAKHUL MARKHAMAH, S.Kep., Ns</t>
  </si>
  <si>
    <t>Ns. NYOFAN WAHYU MARDANA, S.Kep.</t>
  </si>
  <si>
    <t>RATNA DWI HARJANI, A.Md.Kep</t>
  </si>
  <si>
    <t>HANIFAH ALIMUL ULA, A.Md.Kep.</t>
  </si>
  <si>
    <t>MILLA HARYANI, A.Md.AK</t>
  </si>
  <si>
    <t>Ma'rifani Rosidha, S.ST</t>
  </si>
  <si>
    <t>ISMA TRI UTAMI, AMAK</t>
  </si>
  <si>
    <t>YANNINGTYAS SEPTYANA PUTRI, S.Tr.Kes</t>
  </si>
  <si>
    <t>Ika Yus Priyanto, AMK</t>
  </si>
  <si>
    <t>198606172025211088</t>
  </si>
  <si>
    <t>Klaten, 17 Juni 1986</t>
  </si>
  <si>
    <t>FARIDA MUTAMASSIKIN, S.Tr.Kes</t>
  </si>
  <si>
    <t>RINI RIAWATI, S.Tr.Kes</t>
  </si>
  <si>
    <t>BIMA PUTRA, S.Tr.Kes</t>
  </si>
  <si>
    <t>PATRIANI RESTU PUTRI, S.Tr.Kes</t>
  </si>
  <si>
    <t>NAILI ELMUNA, S.Tr.Kes</t>
  </si>
  <si>
    <t>ARBA NUR AULIYA, S.Tr.Kes</t>
  </si>
  <si>
    <t>PUTRI VILLA UTAMI, S.Tr.Kes.</t>
  </si>
  <si>
    <t>WIDYANUR HAFIDHOH, S.Tr.Kes.</t>
  </si>
  <si>
    <t>Suratmin, S.Kom</t>
  </si>
  <si>
    <t>198510022025211064</t>
  </si>
  <si>
    <t>Sragen, 02 Oktober 1985</t>
  </si>
  <si>
    <t>Erna Yulis Setiawati, SST</t>
  </si>
  <si>
    <t>Ike Julia Nurfitriyani, A.Md. AK</t>
  </si>
  <si>
    <t>NANANG ADI WIBOWO</t>
  </si>
  <si>
    <t>ANNA LIVIANIKA</t>
  </si>
  <si>
    <t>197907222025211051</t>
  </si>
  <si>
    <t>Klaten, 22 Juli 1979</t>
  </si>
  <si>
    <t>FALA DIEKTI TARJA, A.Md. Kes.</t>
  </si>
  <si>
    <t>NOVITA WIDY ASTUTI, A.Md.Kes</t>
  </si>
  <si>
    <t>ALVINA FAJAR ISNAINI, A.Md.Kes.</t>
  </si>
  <si>
    <t>PRAMITASARI EDIPUTRI, S.Kep., Ns</t>
  </si>
  <si>
    <t>Erna Yasawati, AMK</t>
  </si>
  <si>
    <t>Wening Yoganingrum, AMK</t>
  </si>
  <si>
    <t>Risa Ambarwati, AMK</t>
  </si>
  <si>
    <t>198901132025212047</t>
  </si>
  <si>
    <t>Klaten, 13 Januari 1989</t>
  </si>
  <si>
    <t>198801172025212043</t>
  </si>
  <si>
    <t>Boyolali, 17 Januari 1988</t>
  </si>
  <si>
    <t>Bakhrul Sifa Insani, SST.,Bdn.</t>
  </si>
  <si>
    <t>198903262025212052</t>
  </si>
  <si>
    <t>Klaten, 26 Maret 1989</t>
  </si>
  <si>
    <t>Dwi Retno Agustina, AMKeb</t>
  </si>
  <si>
    <t>NUR AINING SAMAWATI, S.Kep.,Ners</t>
  </si>
  <si>
    <t>OKTAVIA EKA NINGRUM, S.Kep., Ners</t>
  </si>
  <si>
    <t>RYAN KENDI OKTA PRATAMA, S.Kep., Ns</t>
  </si>
  <si>
    <t>Elita Candrasari, AMK</t>
  </si>
  <si>
    <t>Karitasasi Nuhoni Jatining Paminto, AMK</t>
  </si>
  <si>
    <t>Suprapto, SST, Ners</t>
  </si>
  <si>
    <t>Dwi Sunaring Rejeki, S.ST, Ners</t>
  </si>
  <si>
    <t>Anik Handayanti, AMK</t>
  </si>
  <si>
    <t>Sutriyono Suyanto, S.ST</t>
  </si>
  <si>
    <t>Joko Mulyono, AMK</t>
  </si>
  <si>
    <t>Edy Sulistiya, AMK</t>
  </si>
  <si>
    <t>Siti Sudarmiati, AMK</t>
  </si>
  <si>
    <t>Abu Ahmadi, AMK</t>
  </si>
  <si>
    <t>Kans Nation Damayanti, AMK</t>
  </si>
  <si>
    <t>Yudi Triyantoro, AMK</t>
  </si>
  <si>
    <t>Bambang Siswanto, AMK</t>
  </si>
  <si>
    <t>Dimas Julianto, AMK</t>
  </si>
  <si>
    <t>Arif Setyawan, AMK</t>
  </si>
  <si>
    <t>Nurdin Fajar, AMK</t>
  </si>
  <si>
    <t>Fajar Yuhanto, AMK</t>
  </si>
  <si>
    <t>Ita Tri Wahyuningsih, AMK</t>
  </si>
  <si>
    <t>Wahyu Pradono, AMK</t>
  </si>
  <si>
    <t>Zainal Arifin, AMK</t>
  </si>
  <si>
    <t>Agusti Riyantoni, AMK</t>
  </si>
  <si>
    <t>Ari purwo raharjo S.kep.Ns</t>
  </si>
  <si>
    <t>Edi harjanto s.kep,ns</t>
  </si>
  <si>
    <t>DIDIK SETIYAWAN, S.Kep., Ns</t>
  </si>
  <si>
    <t>RISKI DAFIANTO, S.Kep., Ners</t>
  </si>
  <si>
    <t>Ns. ELMA FIKRIANA, S.Kep.</t>
  </si>
  <si>
    <t>Naning Wulandari, SST</t>
  </si>
  <si>
    <t>Siti Yuliarti, AMKeb</t>
  </si>
  <si>
    <t>Ririn Heryanni, S.ST</t>
  </si>
  <si>
    <t>Rachmitha Nur Utami, AMKeb</t>
  </si>
  <si>
    <t>Jumila Mujiono, AMKeb</t>
  </si>
  <si>
    <t>Elistin Pristantina, AMKeb</t>
  </si>
  <si>
    <t>198905132025212064</t>
  </si>
  <si>
    <t>Klaten, 13 Mei 1989</t>
  </si>
  <si>
    <t>199006192025212048</t>
  </si>
  <si>
    <t>Klaten, 19 Juni 1990</t>
  </si>
  <si>
    <t>Rina Widhiastuti, SST.,Bdn</t>
  </si>
  <si>
    <t>Rohmani, SST., Bdn</t>
  </si>
  <si>
    <t>Dewi Eni Susilowati, SST.,Bdn</t>
  </si>
  <si>
    <t>Mahardini Ayu Rastuti, SST</t>
  </si>
  <si>
    <t>Fadjrina Dwi Hastuti, AM. Keb</t>
  </si>
  <si>
    <t>Ekawati Sih Isnaningrum, AMKeb</t>
  </si>
  <si>
    <t>198802162025212043</t>
  </si>
  <si>
    <t>Klaten, 16 Februari 1988</t>
  </si>
  <si>
    <t>198712242025212047</t>
  </si>
  <si>
    <t>Klaten, 24 Desember 1987</t>
  </si>
  <si>
    <t>Sri Hartini, AM. Keb</t>
  </si>
  <si>
    <t>Puji Darsono, AMK</t>
  </si>
  <si>
    <t>Bambang Triwardoyo, AMK</t>
  </si>
  <si>
    <t>Sochib Hardjanto, AMK</t>
  </si>
  <si>
    <t>Endang Purwani, AMK</t>
  </si>
  <si>
    <t>Endah Novi Wulan Ndari, AMK</t>
  </si>
  <si>
    <t>Lita Wahyuningsih, AMK</t>
  </si>
  <si>
    <t>Dian Anggriani, AMK</t>
  </si>
  <si>
    <t>Anik Nur Isnaniyah Rahmawati, AMK</t>
  </si>
  <si>
    <t>Ika Dewi Sudarwati, AMK</t>
  </si>
  <si>
    <t>PITRIONO, S.Kep., Ns</t>
  </si>
  <si>
    <t>Waya Ayisna Wandono, AMK</t>
  </si>
  <si>
    <t>Tri Joko Siswanto, S.Ak</t>
  </si>
  <si>
    <t>198603182025211055</t>
  </si>
  <si>
    <t>Klaten, 18 Maret 1986</t>
  </si>
  <si>
    <t>PRILLYANTIKA WISMAWATI, S.Kep., Ners.</t>
  </si>
  <si>
    <t>Joko Sunoto, S.Tr. TR</t>
  </si>
  <si>
    <t>Tristin Orbaniyati, SST</t>
  </si>
  <si>
    <t>C. Triyoga Harjadi, SST</t>
  </si>
  <si>
    <t>Siswo Hartoyo, SST</t>
  </si>
  <si>
    <t>Indri Hastuti Kusrespati, A.Md.RAD</t>
  </si>
  <si>
    <t>Akhmad Saiful Hidayat, SST</t>
  </si>
  <si>
    <t>Rama Nugraha Ali Rakhmatullah, SST</t>
  </si>
  <si>
    <t>Listy Abdurakhman Handis, SST</t>
  </si>
  <si>
    <t>IKA ROSALIAMANTO, S.Tr.Kes. (Rad)</t>
  </si>
  <si>
    <t>Prima Ayu Kurniati, A.Md.RAD</t>
  </si>
  <si>
    <t>Ni Putu Fida Windhrayani, S.ST</t>
  </si>
  <si>
    <t>Ida Sukowati, AMK</t>
  </si>
  <si>
    <t>ISMI KUN NUR AZIZZAH, S.T.</t>
  </si>
  <si>
    <t>LAELA DWI FEBRIANTI, S.Tr.Kes.(Rad).</t>
  </si>
  <si>
    <t>DAMARA MARELL FERDYANSYAH, S.Tr.Kes.(Rad)</t>
  </si>
  <si>
    <t>DANU ALIEF PANDOYO, S.Tr.Kes.</t>
  </si>
  <si>
    <t>HANIFAH FITRI MAHARANI, S.Tr.Kes.(Rad).</t>
  </si>
  <si>
    <t>Prajatiya Harwoko, S.ST, Ners</t>
  </si>
  <si>
    <t>NUR ROKIM, S.Kep.,Ns</t>
  </si>
  <si>
    <t>AJI KIYAT WIDODO, S.Kep., Ns</t>
  </si>
  <si>
    <t>Ratri Oktavianingsih, AMK</t>
  </si>
  <si>
    <t>ARDI SETYANTO, S.Kep.,Ns</t>
  </si>
  <si>
    <t>Catarina Budi Prihatiningsih, SST. M.Fis</t>
  </si>
  <si>
    <t>Aisgo Isnaeni, A.Md.OT</t>
  </si>
  <si>
    <t>Tri Hartanto, SSt.Ft</t>
  </si>
  <si>
    <t>Tri Iswati, SST.Ft., Ftr</t>
  </si>
  <si>
    <t>Haris Darmawan, SST</t>
  </si>
  <si>
    <t>Sriyani Setyaningsih, A.Md.OT</t>
  </si>
  <si>
    <t>Muhammad Rezza Muktiaji, A.Md.FT</t>
  </si>
  <si>
    <t>Alfonza Finali Formanti Satmarini, S.Sos</t>
  </si>
  <si>
    <t>Abdur Rachman, A.Md. OP</t>
  </si>
  <si>
    <t>Nuryani, A.Md.FT</t>
  </si>
  <si>
    <t>FARHAN DHIYA ULHAQ, S.Tr.Kes.</t>
  </si>
  <si>
    <t>LIRAMERRY KRISAN, S.Tr.Kes</t>
  </si>
  <si>
    <t>BUNGA SHAHWAH, M.Psi.</t>
  </si>
  <si>
    <t>ZAKIUDDIN FAJAR AMIN, A.Md.Kes.</t>
  </si>
  <si>
    <t>198708162025211056</t>
  </si>
  <si>
    <t>Klaten, 16 Agustus 1987</t>
  </si>
  <si>
    <t>ERNA RISTIYANTI, A.Md.,Farm</t>
  </si>
  <si>
    <t>apt. FATAH MIFTAKUL JANNAH, S.Farm</t>
  </si>
  <si>
    <t>Anang Setya Wijayanto, AMK</t>
  </si>
  <si>
    <t>apt. Erna Yustina Kartikawati, S.Farm.</t>
  </si>
  <si>
    <t>NUR AINI PUTRI OKTAVIANI, A.Md.Farm.</t>
  </si>
  <si>
    <t>WIDI MULATSIH, Apt</t>
  </si>
  <si>
    <t>apt. Yuninda Shanti pangestuti, S.Farm.</t>
  </si>
  <si>
    <t>apt. Aldwin Rizky Wisnuwardani, S. Farm.</t>
  </si>
  <si>
    <t>apt. ZUHA RAHMA SALSABILA, S.Farm</t>
  </si>
  <si>
    <t>apt. FAUZIAH NURHASANAH, S.Farm.</t>
  </si>
  <si>
    <t>apt. NADYA WAHYU ANDARI, S.Farm.</t>
  </si>
  <si>
    <t>apt. TINTIN SITI KHOLISOH, S.Farm</t>
  </si>
  <si>
    <t>AGNES INGGIT PUASARI, A.Md.Farm</t>
  </si>
  <si>
    <t>AYU THIFAL, A.Md.Farm.</t>
  </si>
  <si>
    <t>TASYA ZANUARISTA, A.Md.Farm.</t>
  </si>
  <si>
    <t>NISA ANIKMAH, A.Md.Farm.</t>
  </si>
  <si>
    <t>Ririn Yuliati, S.SiT, M.Si</t>
  </si>
  <si>
    <t>Ariyani Noviyanti, A.Md.Kom.</t>
  </si>
  <si>
    <t>198211132025212024</t>
  </si>
  <si>
    <t>Klaten, 13 November 1982</t>
  </si>
  <si>
    <t>198802232025212067</t>
  </si>
  <si>
    <t>Klaten, 23 Februari 1988</t>
  </si>
  <si>
    <t>199012262025212073</t>
  </si>
  <si>
    <t>Klaten, 26 Desember 1990</t>
  </si>
  <si>
    <t>CHINDY NANDHA SHARY, S.Tr.Gz</t>
  </si>
  <si>
    <t>PINKA CAHYATI WIBOWO, S.Gz</t>
  </si>
  <si>
    <t>198909012025212052</t>
  </si>
  <si>
    <t>199308042025212089</t>
  </si>
  <si>
    <t>Klaten, 4 Agustus 1993</t>
  </si>
  <si>
    <t>198202032025211038</t>
  </si>
  <si>
    <t>Klaten, 03 Februari 1982</t>
  </si>
  <si>
    <t>Suatmi, S.E.</t>
  </si>
  <si>
    <t>198409042025212039</t>
  </si>
  <si>
    <t>Bantul, 04 September 1984</t>
  </si>
  <si>
    <t>198609042025211058</t>
  </si>
  <si>
    <t>Klaten, 4 September 1986</t>
  </si>
  <si>
    <t>Retmigo Agung Dwi Saputro, S.Kom.</t>
  </si>
  <si>
    <t>198403042025211040</t>
  </si>
  <si>
    <t>Klaten, 4 Maret 1984</t>
  </si>
  <si>
    <t>Lilik Hendrawan, A.Md.</t>
  </si>
  <si>
    <t>198309242025211055</t>
  </si>
  <si>
    <t>Klaten, 24 September 1983</t>
  </si>
  <si>
    <t>Irawati Listyaningsih, A.Md.</t>
  </si>
  <si>
    <t>199402012025212056</t>
  </si>
  <si>
    <t>Klaten, 01 Februari 1994</t>
  </si>
  <si>
    <t>Wahyu Wijaya, S.E.</t>
  </si>
  <si>
    <t>198408062025211083</t>
  </si>
  <si>
    <t>Klaten, 6 Agustus 1984</t>
  </si>
  <si>
    <t>FITRIANA TRI MELANIA, A.Md.Ak</t>
  </si>
  <si>
    <t>Ista Kumala Sari, A.Md.</t>
  </si>
  <si>
    <t>198601212025212058</t>
  </si>
  <si>
    <t>Siti Nurrohmah, S.E</t>
  </si>
  <si>
    <t>198209292025212055</t>
  </si>
  <si>
    <t>Klaten, 29 September 1982</t>
  </si>
  <si>
    <t>Ari Setyaningsih, A.Md.</t>
  </si>
  <si>
    <t>198501032025212035</t>
  </si>
  <si>
    <t>Klaten, 3 Januari 1985</t>
  </si>
  <si>
    <t>Ida Kristinawati, SE</t>
  </si>
  <si>
    <t>Ambar Apsari, SE</t>
  </si>
  <si>
    <t>Endah Nurnani, SE</t>
  </si>
  <si>
    <t>198501132025212038</t>
  </si>
  <si>
    <t>Klaten, 13 Januari 1985</t>
  </si>
  <si>
    <t>Puji Hastuti, S.E</t>
  </si>
  <si>
    <t>198401222025212041</t>
  </si>
  <si>
    <t>Klaten, 22 Januari 1984</t>
  </si>
  <si>
    <t>Eryda Agustin Widayanti, S.E</t>
  </si>
  <si>
    <t>198408112025212043</t>
  </si>
  <si>
    <t>Karanganyar, 11 Agustus 1984</t>
  </si>
  <si>
    <t>Eva Vianti, S.E.</t>
  </si>
  <si>
    <t>198102062025212022</t>
  </si>
  <si>
    <t>Klaten, 06 Februari 1981</t>
  </si>
  <si>
    <t>198507212025212051</t>
  </si>
  <si>
    <t>Klaten, 21 Juli 1985</t>
  </si>
  <si>
    <t>Muhamad Arifianto Nugroho, A.Md</t>
  </si>
  <si>
    <t>198505182025211051</t>
  </si>
  <si>
    <t>Klaten, 18 Mei 1985</t>
  </si>
  <si>
    <t>199010302025212073</t>
  </si>
  <si>
    <t>Klaten, 30 Oktober 1990</t>
  </si>
  <si>
    <t>FARRA DILLA PITALOKA, A.Md.Ak.</t>
  </si>
  <si>
    <t>Doni Ari Wibowo, SIP</t>
  </si>
  <si>
    <t>198309132025211045</t>
  </si>
  <si>
    <t>Pranata Hubungan Masyarakat Ahli Pertama</t>
  </si>
  <si>
    <t>Klaten, 13 September 1983</t>
  </si>
  <si>
    <t>198912072025212055</t>
  </si>
  <si>
    <t>Magelang, 07 Desember 1989</t>
  </si>
  <si>
    <t>Lita Kusuma Atmi, A.Md.</t>
  </si>
  <si>
    <t>198703312025212048</t>
  </si>
  <si>
    <t>Pranata Hubungan Masyarakat Terampil</t>
  </si>
  <si>
    <t>Jakarta, 31 Maret 1987</t>
  </si>
  <si>
    <t>198903052025212052</t>
  </si>
  <si>
    <t>Klaten, 05 Maret 1989</t>
  </si>
  <si>
    <t>197910202025212021</t>
  </si>
  <si>
    <t>Klaten, 20 Oktober 1979</t>
  </si>
  <si>
    <t>Sumperi Antono, SE</t>
  </si>
  <si>
    <t>Punta Dewi Kristyawati, A.Md.</t>
  </si>
  <si>
    <t>198405062025212027</t>
  </si>
  <si>
    <t>Klaten, 6 Mei 1984</t>
  </si>
  <si>
    <t>Methania Yogi Dentameswari, S.E.</t>
  </si>
  <si>
    <t>198501232025212026</t>
  </si>
  <si>
    <t>Klaten, 23 Januari 1985</t>
  </si>
  <si>
    <t>198804262025211045</t>
  </si>
  <si>
    <t>Klaten, 26 April 1988</t>
  </si>
  <si>
    <t>RAMA NARARYA ANURAGA, S.S.T.Ars.</t>
  </si>
  <si>
    <t>198511162025212027</t>
  </si>
  <si>
    <t>Klaten, 16 November 1985</t>
  </si>
  <si>
    <t>198203062025211068</t>
  </si>
  <si>
    <t>Klaten, 06 Maret 1982</t>
  </si>
  <si>
    <t>Asykar Jayanti, S.Tr.RMIK</t>
  </si>
  <si>
    <t>Tomy Nofianto, A.Md.PK</t>
  </si>
  <si>
    <t>198111142025211037</t>
  </si>
  <si>
    <t>Klaten, 14 November 1981</t>
  </si>
  <si>
    <t>198602272025212046</t>
  </si>
  <si>
    <t>Bandung, 27 Februari 1986</t>
  </si>
  <si>
    <t>198804262025212046</t>
  </si>
  <si>
    <t>199108202025212068</t>
  </si>
  <si>
    <t>Klaten, 20 Agustus 1991</t>
  </si>
  <si>
    <t>Kristini Sinung Hayuni, A.Md.</t>
  </si>
  <si>
    <t>198405292025212040</t>
  </si>
  <si>
    <t>Klaten, 29 Mei 1984</t>
  </si>
  <si>
    <t>Magus Sediono, ST</t>
  </si>
  <si>
    <t>FAIZAL FAHMI AZIZ, S.KOM</t>
  </si>
  <si>
    <t>DIDIK DWI RIYANTO, S.Kom</t>
  </si>
  <si>
    <t>199312172025211039</t>
  </si>
  <si>
    <t>Sukoharjo, 17 Desember 1993</t>
  </si>
  <si>
    <t>ANDRI ARFIANTO, S.Kom</t>
  </si>
  <si>
    <t>199409112025211046</t>
  </si>
  <si>
    <t>Sleman, 11 September 1994</t>
  </si>
  <si>
    <t>198612172025211038</t>
  </si>
  <si>
    <t>Jepara, 17 Desember 1986</t>
  </si>
  <si>
    <t>Jarod Widakdo, S.T</t>
  </si>
  <si>
    <t>198505232025211089</t>
  </si>
  <si>
    <t>Klaten, 23 Mei 1985</t>
  </si>
  <si>
    <t>Didik Purnomo, S.T.</t>
  </si>
  <si>
    <t>198109102025211063</t>
  </si>
  <si>
    <t>Klaten, 10 September 1981</t>
  </si>
  <si>
    <t>Deddy Andri Sundoro, S.T.</t>
  </si>
  <si>
    <t>198408062025211080</t>
  </si>
  <si>
    <t>Dwi Yulianto, A.Md.</t>
  </si>
  <si>
    <t>198507162025211078</t>
  </si>
  <si>
    <t>Klaten, 16 Juli 1985</t>
  </si>
  <si>
    <t>Feri Susanto, A.Md.</t>
  </si>
  <si>
    <t>198304252025211065</t>
  </si>
  <si>
    <t>Klaten, 25 April 1983</t>
  </si>
  <si>
    <t>Ertanta Ika Putra, S.T.</t>
  </si>
  <si>
    <t>198609072025211070</t>
  </si>
  <si>
    <t>Sleman, 07 September 1986</t>
  </si>
  <si>
    <t>Noviana Tri Rahayu, S.T.</t>
  </si>
  <si>
    <t>198311192025212024</t>
  </si>
  <si>
    <t>S1 Arsitektur</t>
  </si>
  <si>
    <t>Klaten, 19 November 1983</t>
  </si>
  <si>
    <t>Sugino, A.Md,</t>
  </si>
  <si>
    <t>198607142025211063</t>
  </si>
  <si>
    <t>Klaten, 14 Juli 1986</t>
  </si>
  <si>
    <t>198404132025211081</t>
  </si>
  <si>
    <t>Klaten, 13 April 1984</t>
  </si>
  <si>
    <t>Hendra Harmoko, SE</t>
  </si>
  <si>
    <t>Sugesti Kusumastuti, S.H.</t>
  </si>
  <si>
    <t>198103252025212017</t>
  </si>
  <si>
    <t>Klaten, 25 Maret 1981</t>
  </si>
  <si>
    <t>Bambang Triyono, SH</t>
  </si>
  <si>
    <t>Moch. Gatot Setiyo Nugroho, AMK</t>
  </si>
  <si>
    <t>HAFIDZ JUNDI MUSTHOFA, S.H.</t>
  </si>
  <si>
    <t>DWIYAN YOGASWARA, S.Kom.</t>
  </si>
  <si>
    <t>AJENG TRI LONGGANI, S.Sos.</t>
  </si>
  <si>
    <t>REGITA ARDIANTI, A.Md.Kom.</t>
  </si>
  <si>
    <t>198610112025211059</t>
  </si>
  <si>
    <t>Klaten, 11 Oktober 1986</t>
  </si>
  <si>
    <t>198008012025211036</t>
  </si>
  <si>
    <t>Klaten, 01 Agustus 1980</t>
  </si>
  <si>
    <t>Alfian Yudha Prasibto, A.Md.Kom</t>
  </si>
  <si>
    <t>198305142025211057</t>
  </si>
  <si>
    <t>Klaten, 14 Mei 1983</t>
  </si>
  <si>
    <t>Alip Suryadi, A.Md.A.P</t>
  </si>
  <si>
    <t>198304212025211048</t>
  </si>
  <si>
    <t>Karanganyar, 21 April 1983</t>
  </si>
  <si>
    <t>DINDA INDIRA NATALEA, S.Hum.</t>
  </si>
  <si>
    <t>199101202025212051</t>
  </si>
  <si>
    <t>Klaten, 20 Januari 1991</t>
  </si>
  <si>
    <t>Latifah, A.Md.Kom</t>
  </si>
  <si>
    <t>198209272025212040</t>
  </si>
  <si>
    <t>Wonosobo, 27 September 1982</t>
  </si>
  <si>
    <t>AMELIA KRIS MONIKA PUTRI, A.Md.Kes.</t>
  </si>
  <si>
    <t>ROSSA LINGGA JATI, A.Md.</t>
  </si>
  <si>
    <t>Nifta Lufi Nugrahaeni, A.Md</t>
  </si>
  <si>
    <t>Anastasia Rinda Eka Rosanti, A.Md.Kep</t>
  </si>
  <si>
    <t>Liza Tri Pamungkas, A.Md. Kep</t>
  </si>
  <si>
    <t>Diana Febriastuti, A.Md. Kep</t>
  </si>
  <si>
    <t>Dea Anung Permana, A.Md.Kep</t>
  </si>
  <si>
    <t>Rahkim Suryati, A.Md. Kep</t>
  </si>
  <si>
    <t>Arida Setyawati, A.Md.Keb</t>
  </si>
  <si>
    <t>Dwi Harjantik, A.Md.Keb</t>
  </si>
  <si>
    <t>Rian Dias Prawati, A.Md,Keb</t>
  </si>
  <si>
    <t>Diah Pramita Sari, A.Md.Keb</t>
  </si>
  <si>
    <t>Rudi Muryanto, A.Md.Kep</t>
  </si>
  <si>
    <t>Endah Sulistyowati, A.Md.Keb</t>
  </si>
  <si>
    <t>Ema Prima Hariningtyas Arti, A.Md. Keb</t>
  </si>
  <si>
    <t>Rintan Kusumasari, A.Md.Keb</t>
  </si>
  <si>
    <t>Aris Dwi Budhiarti, A.Md.Keb</t>
  </si>
  <si>
    <t>Hilir Rina Pitayani, A.Md.Keb</t>
  </si>
  <si>
    <t>Ike Restu Kurniawati, A.Md. Keb</t>
  </si>
  <si>
    <t>Ike Rose Vela Deviyanti, A.Md.RAD</t>
  </si>
  <si>
    <t>Diyah Wulandari,  A.Md. Rad</t>
  </si>
  <si>
    <t>Ratna Wulansari, A.Md.Rad</t>
  </si>
  <si>
    <t>NISRINA ZULMI NURLAELY, A.Md.Rad</t>
  </si>
  <si>
    <t>OBET WARDANI, A.Md.Rad</t>
  </si>
  <si>
    <t>Ima Rohmawati, A.Md. Farm</t>
  </si>
  <si>
    <t>SHOFIE MAR'ATUSH SHOLIKHAH, A.Md.Farm</t>
  </si>
  <si>
    <t>Almatinu Hasibuan, A.Md.Farm</t>
  </si>
  <si>
    <t>Dewi Istiqomah Suryaningrum, A.Md.Keb</t>
  </si>
  <si>
    <t>Kristiya Wahyu Murniyati, A.Md.Keb</t>
  </si>
  <si>
    <t>dr. Meita Ucche, Sp.PD, Subsp. H.Onk.M (K), FINASIM</t>
  </si>
  <si>
    <t>20251019910430</t>
  </si>
  <si>
    <t>20251019600925</t>
  </si>
  <si>
    <t>PKWT</t>
  </si>
  <si>
    <t>DIREKSI</t>
  </si>
  <si>
    <t xml:space="preserve">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</si>
</sst>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13809]d\ mmm\ yyyy;@"/>
  </numFmts>
  <fonts count="2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name val="Arial"/>
      <family val="2"/>
    </font>
    <font>
      <sz val="7"/>
      <name val="Calibri"/>
      <family val="2"/>
      <scheme val="minor"/>
    </font>
    <font>
      <sz val="7"/>
      <name val="Arial"/>
      <family val="2"/>
    </font>
    <font>
      <sz val="11"/>
      <name val="Calibri"/>
      <family val="2"/>
      <scheme val="minor"/>
    </font>
    <font>
      <sz val="7"/>
      <color indexed="8"/>
      <name val="Arian"/>
    </font>
    <font>
      <sz val="7"/>
      <color theme="1"/>
      <name val="Arial"/>
      <family val="2"/>
    </font>
    <font>
      <sz val="7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7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6"/>
      <name val="Arial"/>
      <family val="2"/>
    </font>
    <font>
      <sz val="8"/>
      <name val="Arial"/>
      <family val="2"/>
    </font>
    <font>
      <u/>
      <sz val="7"/>
      <color theme="1"/>
      <name val="Arial"/>
      <family val="2"/>
    </font>
    <font>
      <i/>
      <sz val="7"/>
      <name val="Arial"/>
      <family val="2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11" fillId="0" borderId="0"/>
    <xf numFmtId="0" fontId="19" fillId="0" borderId="0"/>
    <xf numFmtId="0" fontId="11" fillId="0" borderId="0"/>
  </cellStyleXfs>
  <cellXfs count="32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49" fontId="6" fillId="0" borderId="1" xfId="0" quotePrefix="1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4" fontId="9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8" fillId="0" borderId="1" xfId="0" quotePrefix="1" applyFont="1" applyBorder="1" applyAlignment="1">
      <alignment vertical="center"/>
    </xf>
    <xf numFmtId="164" fontId="8" fillId="0" borderId="1" xfId="0" applyNumberFormat="1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2" xfId="0" quotePrefix="1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49" fontId="6" fillId="0" borderId="0" xfId="0" quotePrefix="1" applyNumberFormat="1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9" fillId="0" borderId="0" xfId="0" applyFont="1" applyAlignment="1">
      <alignment vertical="center"/>
    </xf>
    <xf numFmtId="14" fontId="6" fillId="0" borderId="0" xfId="0" applyNumberFormat="1" applyFont="1" applyAlignment="1">
      <alignment horizontal="right" vertical="center"/>
    </xf>
    <xf numFmtId="0" fontId="6" fillId="0" borderId="1" xfId="0" quotePrefix="1" applyFont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49" fontId="6" fillId="0" borderId="3" xfId="0" quotePrefix="1" applyNumberFormat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left" vertical="center"/>
    </xf>
    <xf numFmtId="0" fontId="10" fillId="0" borderId="1" xfId="1" applyFont="1" applyBorder="1" applyAlignment="1">
      <alignment vertical="center"/>
    </xf>
    <xf numFmtId="0" fontId="6" fillId="0" borderId="2" xfId="0" applyFont="1" applyBorder="1" applyAlignment="1">
      <alignment horizontal="right" vertical="center"/>
    </xf>
    <xf numFmtId="14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8" fillId="0" borderId="1" xfId="1" quotePrefix="1" applyFont="1" applyBorder="1" applyAlignment="1">
      <alignment vertical="center"/>
    </xf>
    <xf numFmtId="164" fontId="8" fillId="0" borderId="1" xfId="1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2" borderId="7" xfId="0" applyFont="1" applyFill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right" vertical="center"/>
    </xf>
    <xf numFmtId="14" fontId="6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14" fontId="9" fillId="0" borderId="2" xfId="0" applyNumberFormat="1" applyFont="1" applyBorder="1" applyAlignment="1">
      <alignment vertical="center"/>
    </xf>
    <xf numFmtId="14" fontId="6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9" fillId="0" borderId="1" xfId="0" quotePrefix="1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left" vertical="center" wrapText="1"/>
    </xf>
    <xf numFmtId="0" fontId="6" fillId="3" borderId="5" xfId="0" applyFont="1" applyFill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49" fontId="9" fillId="0" borderId="3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right" vertical="center"/>
    </xf>
    <xf numFmtId="0" fontId="9" fillId="0" borderId="0" xfId="0" quotePrefix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quotePrefix="1" applyFont="1" applyAlignment="1">
      <alignment vertical="center"/>
    </xf>
    <xf numFmtId="49" fontId="6" fillId="0" borderId="2" xfId="0" quotePrefix="1" applyNumberFormat="1" applyFont="1" applyBorder="1" applyAlignment="1">
      <alignment horizontal="center" vertical="center" wrapText="1"/>
    </xf>
    <xf numFmtId="15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/>
    </xf>
    <xf numFmtId="0" fontId="13" fillId="8" borderId="0" xfId="0" applyFont="1" applyFill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49" fontId="6" fillId="0" borderId="8" xfId="0" quotePrefix="1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right" vertical="center"/>
    </xf>
    <xf numFmtId="14" fontId="6" fillId="0" borderId="11" xfId="0" applyNumberFormat="1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0" borderId="3" xfId="0" quotePrefix="1" applyFont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left" vertical="center"/>
    </xf>
    <xf numFmtId="0" fontId="8" fillId="0" borderId="1" xfId="1" applyFont="1" applyBorder="1" applyAlignment="1">
      <alignment vertical="center"/>
    </xf>
    <xf numFmtId="49" fontId="6" fillId="0" borderId="1" xfId="0" quotePrefix="1" applyNumberFormat="1" applyFont="1" applyBorder="1" applyAlignment="1">
      <alignment horizontal="center" vertical="center" wrapText="1"/>
    </xf>
    <xf numFmtId="0" fontId="6" fillId="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164" fontId="16" fillId="0" borderId="1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9" fillId="0" borderId="0" xfId="0" quotePrefix="1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164" fontId="8" fillId="0" borderId="0" xfId="0" applyNumberFormat="1" applyFont="1" applyAlignment="1">
      <alignment horizontal="left" vertical="center"/>
    </xf>
    <xf numFmtId="0" fontId="3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quotePrefix="1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9" fillId="9" borderId="1" xfId="0" quotePrefix="1" applyFont="1" applyFill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6" fillId="6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49" fontId="6" fillId="0" borderId="12" xfId="0" quotePrefix="1" applyNumberFormat="1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9" fillId="0" borderId="12" xfId="0" quotePrefix="1" applyFont="1" applyBorder="1" applyAlignment="1">
      <alignment horizontal="left" vertical="center"/>
    </xf>
    <xf numFmtId="164" fontId="9" fillId="0" borderId="12" xfId="0" applyNumberFormat="1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8" fillId="0" borderId="12" xfId="0" quotePrefix="1" applyFont="1" applyBorder="1" applyAlignment="1">
      <alignment vertical="center"/>
    </xf>
    <xf numFmtId="164" fontId="8" fillId="0" borderId="1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15" fontId="6" fillId="0" borderId="12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right" vertical="center"/>
    </xf>
    <xf numFmtId="14" fontId="6" fillId="0" borderId="12" xfId="0" applyNumberFormat="1" applyFont="1" applyBorder="1" applyAlignment="1">
      <alignment horizontal="right" vertical="center"/>
    </xf>
    <xf numFmtId="0" fontId="6" fillId="0" borderId="1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164" fontId="9" fillId="0" borderId="1" xfId="0" quotePrefix="1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18" fillId="0" borderId="1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5" fontId="6" fillId="0" borderId="3" xfId="0" applyNumberFormat="1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15" fontId="6" fillId="0" borderId="0" xfId="0" applyNumberFormat="1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8" fillId="0" borderId="8" xfId="0" applyFont="1" applyBorder="1" applyAlignment="1">
      <alignment vertical="center"/>
    </xf>
    <xf numFmtId="164" fontId="9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9" fillId="0" borderId="8" xfId="0" quotePrefix="1" applyFont="1" applyBorder="1" applyAlignment="1">
      <alignment horizontal="left" vertical="center"/>
    </xf>
    <xf numFmtId="0" fontId="8" fillId="0" borderId="8" xfId="0" quotePrefix="1" applyFont="1" applyBorder="1" applyAlignment="1">
      <alignment vertical="center"/>
    </xf>
    <xf numFmtId="164" fontId="8" fillId="0" borderId="8" xfId="0" applyNumberFormat="1" applyFont="1" applyBorder="1" applyAlignment="1">
      <alignment horizontal="left" vertical="center"/>
    </xf>
    <xf numFmtId="0" fontId="6" fillId="2" borderId="3" xfId="0" applyFont="1" applyFill="1" applyBorder="1" applyAlignment="1">
      <alignment vertical="center"/>
    </xf>
    <xf numFmtId="0" fontId="6" fillId="0" borderId="0" xfId="0" quotePrefix="1" applyFont="1" applyAlignment="1">
      <alignment horizontal="left" vertical="center"/>
    </xf>
    <xf numFmtId="14" fontId="9" fillId="0" borderId="1" xfId="0" quotePrefix="1" applyNumberFormat="1" applyFont="1" applyBorder="1" applyAlignment="1">
      <alignment horizontal="left" vertical="center"/>
    </xf>
    <xf numFmtId="164" fontId="9" fillId="0" borderId="3" xfId="0" applyNumberFormat="1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9" fillId="0" borderId="3" xfId="0" quotePrefix="1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164" fontId="8" fillId="0" borderId="3" xfId="0" applyNumberFormat="1" applyFont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 wrapText="1"/>
    </xf>
    <xf numFmtId="0" fontId="6" fillId="0" borderId="8" xfId="0" quotePrefix="1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6" fillId="0" borderId="1" xfId="0" quotePrefix="1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right" vertical="center"/>
    </xf>
    <xf numFmtId="14" fontId="9" fillId="0" borderId="5" xfId="0" applyNumberFormat="1" applyFont="1" applyBorder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" fontId="2" fillId="0" borderId="0" xfId="0" quotePrefix="1" applyNumberFormat="1" applyFont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3" fillId="12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left" vertical="center"/>
    </xf>
    <xf numFmtId="0" fontId="23" fillId="12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23" fillId="12" borderId="0" xfId="0" applyFont="1" applyFill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horizontal="center"/>
    </xf>
    <xf numFmtId="0" fontId="2" fillId="12" borderId="7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left"/>
    </xf>
    <xf numFmtId="0" fontId="1" fillId="15" borderId="1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/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vertical="top" wrapText="1"/>
    </xf>
    <xf numFmtId="0" fontId="24" fillId="0" borderId="1" xfId="0" quotePrefix="1" applyFont="1" applyBorder="1" applyAlignment="1">
      <alignment vertical="top" wrapText="1"/>
    </xf>
    <xf numFmtId="15" fontId="24" fillId="0" borderId="1" xfId="0" applyNumberFormat="1" applyFont="1" applyBorder="1" applyAlignment="1">
      <alignment vertical="top" wrapText="1"/>
    </xf>
    <xf numFmtId="49" fontId="24" fillId="0" borderId="1" xfId="0" quotePrefix="1" applyNumberFormat="1" applyFont="1" applyBorder="1" applyAlignment="1">
      <alignment vertical="top" wrapText="1"/>
    </xf>
    <xf numFmtId="0" fontId="24" fillId="0" borderId="1" xfId="0" quotePrefix="1" applyFont="1" applyBorder="1" applyAlignment="1">
      <alignment horizontal="center" vertical="top" wrapText="1"/>
    </xf>
    <xf numFmtId="0" fontId="24" fillId="0" borderId="7" xfId="0" applyFont="1" applyBorder="1" applyAlignment="1">
      <alignment vertical="top" wrapText="1"/>
    </xf>
    <xf numFmtId="0" fontId="2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4" borderId="1" xfId="0" applyFont="1" applyFill="1" applyBorder="1" applyAlignment="1">
      <alignment vertical="center" wrapText="1"/>
    </xf>
    <xf numFmtId="0" fontId="25" fillId="4" borderId="1" xfId="0" applyFont="1" applyFill="1" applyBorder="1" applyAlignment="1">
      <alignment horizontal="left" vertical="center"/>
    </xf>
    <xf numFmtId="0" fontId="25" fillId="4" borderId="1" xfId="0" applyFont="1" applyFill="1" applyBorder="1"/>
    <xf numFmtId="0" fontId="25" fillId="4" borderId="1" xfId="0" applyFont="1" applyFill="1" applyBorder="1" applyAlignment="1">
      <alignment vertical="center" wrapText="1"/>
    </xf>
    <xf numFmtId="0" fontId="25" fillId="6" borderId="1" xfId="0" applyFont="1" applyFill="1" applyBorder="1" applyAlignment="1">
      <alignment horizontal="left" vertical="center"/>
    </xf>
    <xf numFmtId="0" fontId="15" fillId="4" borderId="1" xfId="0" applyFont="1" applyFill="1" applyBorder="1"/>
    <xf numFmtId="0" fontId="15" fillId="16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vertical="center"/>
    </xf>
    <xf numFmtId="0" fontId="25" fillId="16" borderId="1" xfId="0" applyFont="1" applyFill="1" applyBorder="1"/>
    <xf numFmtId="0" fontId="25" fillId="11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vertical="center" wrapText="1"/>
    </xf>
    <xf numFmtId="0" fontId="25" fillId="6" borderId="1" xfId="0" applyFont="1" applyFill="1" applyBorder="1"/>
    <xf numFmtId="0" fontId="26" fillId="4" borderId="1" xfId="0" applyFont="1" applyFill="1" applyBorder="1" applyAlignment="1">
      <alignment horizontal="left" vertical="center"/>
    </xf>
    <xf numFmtId="0" fontId="25" fillId="11" borderId="1" xfId="0" applyFont="1" applyFill="1" applyBorder="1"/>
    <xf numFmtId="0" fontId="25" fillId="17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left"/>
    </xf>
    <xf numFmtId="0" fontId="25" fillId="4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9" fillId="0" borderId="0" xfId="0" quotePrefix="1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0" fontId="27" fillId="0" borderId="0" xfId="0" applyFont="1" applyAlignment="1">
      <alignment vertical="center"/>
    </xf>
    <xf numFmtId="0" fontId="15" fillId="4" borderId="1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vertical="center"/>
    </xf>
    <xf numFmtId="0" fontId="6" fillId="18" borderId="1" xfId="0" applyFont="1" applyFill="1" applyBorder="1" applyAlignment="1">
      <alignment vertical="center"/>
    </xf>
    <xf numFmtId="0" fontId="6" fillId="3" borderId="0" xfId="0" applyFont="1" applyFill="1" applyAlignment="1">
      <alignment vertical="center" wrapText="1"/>
    </xf>
    <xf numFmtId="0" fontId="6" fillId="3" borderId="2" xfId="0" applyFont="1" applyFill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25" fillId="0" borderId="0" xfId="0" applyFont="1" applyBorder="1" applyAlignment="1">
      <alignment vertical="top" wrapText="1"/>
    </xf>
    <xf numFmtId="0" fontId="25" fillId="0" borderId="0" xfId="0" quotePrefix="1" applyFont="1" applyBorder="1" applyAlignment="1">
      <alignment vertical="top" wrapText="1"/>
    </xf>
    <xf numFmtId="0" fontId="24" fillId="0" borderId="0" xfId="0" quotePrefix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1" xfId="0" quotePrefix="1" applyFont="1" applyBorder="1" applyAlignment="1">
      <alignment vertical="top" wrapText="1"/>
    </xf>
    <xf numFmtId="0" fontId="6" fillId="0" borderId="0" xfId="0" quotePrefix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center" vertical="center"/>
    </xf>
    <xf numFmtId="0" fontId="9" fillId="0" borderId="0" xfId="0" quotePrefix="1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164" fontId="8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14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49" fontId="6" fillId="0" borderId="0" xfId="0" quotePrefix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5" fillId="4" borderId="1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" fontId="2" fillId="0" borderId="0" xfId="0" quotePrefix="1" applyNumberFormat="1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</cellXfs>
  <cellStyles count="8">
    <cellStyle name="Normal" xfId="0" builtinId="0"/>
    <cellStyle name="Normal 11 2" xfId="6" xr:uid="{20072C5F-F462-428E-9BC2-E9AAB418E03D}"/>
    <cellStyle name="Normal 2 10" xfId="3" xr:uid="{57B3D8A5-7A5F-4081-9C82-E1D08F752865}"/>
    <cellStyle name="Normal 2 3" xfId="1" xr:uid="{724AC0A5-5C9D-425B-ACF9-F9617C62C083}"/>
    <cellStyle name="Normal 6 10" xfId="4" xr:uid="{8CDCD9FD-D30D-4D9E-9EBA-5FC3D458EEC1}"/>
    <cellStyle name="Normal 7" xfId="2" xr:uid="{E2CDA396-6729-4B35-93EB-7178516D513C}"/>
    <cellStyle name="Normal 8" xfId="5" xr:uid="{C77389B3-FC11-40DF-8D14-1C5D97BED320}"/>
    <cellStyle name="Normal 9" xfId="7" xr:uid="{8A7397B8-0D74-4630-88A0-1C962DBF4943}"/>
  </cellStyles>
  <dxfs count="6">
    <dxf>
      <font>
        <color auto="1"/>
      </font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GRAFIK TENAGA MEDIK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112299465240641"/>
          <c:y val="9.5613048368954012E-2"/>
          <c:w val="0.81461675579322579"/>
          <c:h val="0.85264341957255418"/>
        </c:manualLayout>
      </c:layout>
      <c:barChart>
        <c:barDir val="bar"/>
        <c:grouping val="clustered"/>
        <c:varyColors val="0"/>
        <c:ser>
          <c:idx val="1"/>
          <c:order val="0"/>
          <c:spPr>
            <a:solidFill>
              <a:srgbClr val="00B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('[1]Per Pendidikan'!$C$8,'[1]Per Pendidikan'!$C$10,'[1]Per Pendidikan'!$C$12:$C$34,'[1]Per Pendidikan'!$C$38:$C$41,'[1]Per Pendidikan'!$C$49:$C$59)</c:f>
            </c:multiLvlStrRef>
          </c:cat>
          <c:val>
            <c:numRef>
              <c:f>('[1]Per Pendidikan'!$J$8,'[1]Per Pendidikan'!$J$10,'[1]Per Pendidikan'!$J$12:$J$34,'[1]Per Pendidikan'!$J$38:$J$41,'[1]Per Pendidikan'!$J$49:$J$59)</c:f>
              <c:numCache>
                <c:formatCode>General</c:formatCode>
                <c:ptCount val="40"/>
                <c:pt idx="0">
                  <c:v>29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0</c:v>
                </c:pt>
                <c:pt idx="16">
                  <c:v>3</c:v>
                </c:pt>
                <c:pt idx="17">
                  <c:v>2</c:v>
                </c:pt>
                <c:pt idx="18">
                  <c:v>6</c:v>
                </c:pt>
                <c:pt idx="19">
                  <c:v>4</c:v>
                </c:pt>
                <c:pt idx="20">
                  <c:v>5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C-4B53-9288-6371060E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2067122976"/>
        <c:axId val="2067127872"/>
      </c:barChart>
      <c:catAx>
        <c:axId val="206712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7127872"/>
        <c:crosses val="autoZero"/>
        <c:auto val="1"/>
        <c:lblAlgn val="ctr"/>
        <c:lblOffset val="100"/>
        <c:noMultiLvlLbl val="0"/>
      </c:catAx>
      <c:valAx>
        <c:axId val="20671278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20671229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0FB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GRAFIK TENAGA  KEPERAWATAN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901581722319859"/>
          <c:y val="0.1346704871060172"/>
          <c:w val="0.73286467486819074"/>
          <c:h val="0.8223495702005740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01BD-4C70-B33F-E7E8B9413E18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01BD-4C70-B33F-E7E8B9413E18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01BD-4C70-B33F-E7E8B9413E1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01BD-4C70-B33F-E7E8B9413E18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01BD-4C70-B33F-E7E8B9413E18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01BD-4C70-B33F-E7E8B9413E18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01BD-4C70-B33F-E7E8B9413E18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'[1]Per Pendidikan'!$C$84:$C$90</c:f>
              <c:strCache>
                <c:ptCount val="7"/>
                <c:pt idx="0">
                  <c:v>M. Kep</c:v>
                </c:pt>
                <c:pt idx="1">
                  <c:v>S1 Keperawatan</c:v>
                </c:pt>
                <c:pt idx="2">
                  <c:v>S1 Keperawatan + Ners</c:v>
                </c:pt>
                <c:pt idx="3">
                  <c:v>D4 Keperawatan</c:v>
                </c:pt>
                <c:pt idx="4">
                  <c:v>D3 Keperawatan</c:v>
                </c:pt>
                <c:pt idx="5">
                  <c:v>AKPER</c:v>
                </c:pt>
                <c:pt idx="6">
                  <c:v>SPRG</c:v>
                </c:pt>
              </c:strCache>
            </c:strRef>
          </c:cat>
          <c:val>
            <c:numRef>
              <c:f>'[1]Per Pendidikan'!$J$84:$J$90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331</c:v>
                </c:pt>
                <c:pt idx="3">
                  <c:v>9</c:v>
                </c:pt>
                <c:pt idx="4">
                  <c:v>160</c:v>
                </c:pt>
                <c:pt idx="5">
                  <c:v>56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1BD-4C70-B33F-E7E8B9413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2067298736"/>
        <c:axId val="2067303632"/>
      </c:barChart>
      <c:catAx>
        <c:axId val="206729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7303632"/>
        <c:crosses val="autoZero"/>
        <c:auto val="1"/>
        <c:lblAlgn val="ctr"/>
        <c:lblOffset val="100"/>
        <c:noMultiLvlLbl val="0"/>
      </c:catAx>
      <c:valAx>
        <c:axId val="20673036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20672987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0FB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GRAFIK TENAGA KEBIDANAN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36162361623616"/>
          <c:y val="0.1350574712643679"/>
          <c:w val="0.80811808118081152"/>
          <c:h val="0.8218390804597709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917D-4559-84CB-1DDDEBC62404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917D-4559-84CB-1DDDEBC62404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917D-4559-84CB-1DDDEBC6240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'[1]Per Pendidikan'!$C$95:$C$97</c:f>
              <c:strCache>
                <c:ptCount val="3"/>
                <c:pt idx="0">
                  <c:v>D4 Kebidanan</c:v>
                </c:pt>
                <c:pt idx="1">
                  <c:v>D3 Kebidanan</c:v>
                </c:pt>
                <c:pt idx="2">
                  <c:v>AKBID</c:v>
                </c:pt>
              </c:strCache>
            </c:strRef>
          </c:cat>
          <c:val>
            <c:numRef>
              <c:f>'[1]Per Pendidikan'!$J$95:$J$97</c:f>
              <c:numCache>
                <c:formatCode>General</c:formatCode>
                <c:ptCount val="3"/>
                <c:pt idx="0">
                  <c:v>12</c:v>
                </c:pt>
                <c:pt idx="1">
                  <c:v>31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7D-4559-84CB-1DDDEBC6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1951336368"/>
        <c:axId val="1951329840"/>
      </c:barChart>
      <c:catAx>
        <c:axId val="1951336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1329840"/>
        <c:crosses val="autoZero"/>
        <c:auto val="1"/>
        <c:lblAlgn val="ctr"/>
        <c:lblOffset val="100"/>
        <c:noMultiLvlLbl val="0"/>
      </c:catAx>
      <c:valAx>
        <c:axId val="19513298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9513363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0FB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GRAFIK TENAGA KEFARMASIAN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EBE-47E3-A0A1-6E8D9B7945D3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EEBE-47E3-A0A1-6E8D9B7945D3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EEBE-47E3-A0A1-6E8D9B7945D3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EEBE-47E3-A0A1-6E8D9B7945D3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EEBE-47E3-A0A1-6E8D9B7945D3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EEBE-47E3-A0A1-6E8D9B7945D3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'[1]Per Pendidikan'!$C$101:$C$108</c:f>
              <c:strCache>
                <c:ptCount val="8"/>
                <c:pt idx="0">
                  <c:v>S2 Farmasi Klinis</c:v>
                </c:pt>
                <c:pt idx="1">
                  <c:v>S1 Farmasi</c:v>
                </c:pt>
                <c:pt idx="2">
                  <c:v>D3 Farmasi</c:v>
                </c:pt>
                <c:pt idx="3">
                  <c:v>Apoteker</c:v>
                </c:pt>
                <c:pt idx="4">
                  <c:v>D3 Analisa Farmasi &amp; Makanan</c:v>
                </c:pt>
                <c:pt idx="5">
                  <c:v>Apoteker Klinis Komunitas</c:v>
                </c:pt>
                <c:pt idx="6">
                  <c:v>D1 Manaj. Apotek &amp; Farmasi</c:v>
                </c:pt>
                <c:pt idx="7">
                  <c:v>SMF</c:v>
                </c:pt>
              </c:strCache>
            </c:strRef>
          </c:cat>
          <c:val>
            <c:numRef>
              <c:f>'[1]Per Pendidikan'!$J$101:$J$108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54</c:v>
                </c:pt>
                <c:pt idx="3">
                  <c:v>20</c:v>
                </c:pt>
                <c:pt idx="4">
                  <c:v>1</c:v>
                </c:pt>
                <c:pt idx="5">
                  <c:v>5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BE-47E3-A0A1-6E8D9B794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2062412000"/>
        <c:axId val="2019478496"/>
      </c:barChart>
      <c:catAx>
        <c:axId val="206241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9478496"/>
        <c:crosses val="autoZero"/>
        <c:auto val="1"/>
        <c:lblAlgn val="ctr"/>
        <c:lblOffset val="100"/>
        <c:noMultiLvlLbl val="0"/>
      </c:catAx>
      <c:valAx>
        <c:axId val="20194784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2062412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0FB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GRAFIK TENAGA KESEHATAN MASYARAKAT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3025830258302585"/>
          <c:y val="0.1091811414392061"/>
          <c:w val="0.64206642066420661"/>
          <c:h val="0.8560794044665023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90EB-4A84-9EBD-A5AF882B1B4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90EB-4A84-9EBD-A5AF882B1B4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90EB-4A84-9EBD-A5AF882B1B42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90EB-4A84-9EBD-A5AF882B1B42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90EB-4A84-9EBD-A5AF882B1B42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90EB-4A84-9EBD-A5AF882B1B42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90EB-4A84-9EBD-A5AF882B1B42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90EB-4A84-9EBD-A5AF882B1B42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90EB-4A84-9EBD-A5AF882B1B42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90EB-4A84-9EBD-A5AF882B1B4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'[1]Per Pendidikan'!$C$111:$C$121</c:f>
              <c:strCache>
                <c:ptCount val="11"/>
                <c:pt idx="0">
                  <c:v>S2 Ilmu Kesehatan Masyarakat</c:v>
                </c:pt>
                <c:pt idx="1">
                  <c:v>S1 SKM Adm &amp; Kebijakan</c:v>
                </c:pt>
                <c:pt idx="2">
                  <c:v>S1 SKM</c:v>
                </c:pt>
                <c:pt idx="3">
                  <c:v>S1 SKM Kesling</c:v>
                </c:pt>
                <c:pt idx="4">
                  <c:v>S1 SKM Penilik Kesmas</c:v>
                </c:pt>
                <c:pt idx="5">
                  <c:v>S1 SKM Sanitasi</c:v>
                </c:pt>
                <c:pt idx="6">
                  <c:v>S1 Kesehatan Masyarakat</c:v>
                </c:pt>
                <c:pt idx="7">
                  <c:v>D4 Kesehatan Lingkungan</c:v>
                </c:pt>
                <c:pt idx="8">
                  <c:v>D3 Kesehatan Lingkungan</c:v>
                </c:pt>
                <c:pt idx="9">
                  <c:v>D3 Sanitasi</c:v>
                </c:pt>
                <c:pt idx="10">
                  <c:v>D3 Sanitasi Penilik Kesehatan</c:v>
                </c:pt>
              </c:strCache>
            </c:strRef>
          </c:cat>
          <c:val>
            <c:numRef>
              <c:f>'[1]Per Pendidikan'!$J$111:$J$121</c:f>
              <c:numCache>
                <c:formatCode>General</c:formatCode>
                <c:ptCount val="11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0EB-4A84-9EBD-A5AF882B1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2018914240"/>
        <c:axId val="558452144"/>
      </c:barChart>
      <c:catAx>
        <c:axId val="201891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8452144"/>
        <c:crosses val="autoZero"/>
        <c:auto val="1"/>
        <c:lblAlgn val="ctr"/>
        <c:lblOffset val="100"/>
        <c:noMultiLvlLbl val="0"/>
      </c:catAx>
      <c:valAx>
        <c:axId val="5584521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20189142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0FB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GRAFIK TENAGA GIZI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56766256590524"/>
          <c:y val="0.15312500000000001"/>
          <c:w val="0.83831282952548325"/>
          <c:h val="0.7968750000000005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'[1]Per Pendidikan'!$C$124:$C$128</c:f>
              <c:strCache>
                <c:ptCount val="5"/>
                <c:pt idx="0">
                  <c:v>S2 Gizi</c:v>
                </c:pt>
                <c:pt idx="1">
                  <c:v>S1 Gizi</c:v>
                </c:pt>
                <c:pt idx="2">
                  <c:v>S1 SKM Gizi</c:v>
                </c:pt>
                <c:pt idx="3">
                  <c:v>D4 Gizi</c:v>
                </c:pt>
                <c:pt idx="4">
                  <c:v>D3 Gizi</c:v>
                </c:pt>
              </c:strCache>
            </c:strRef>
          </c:cat>
          <c:val>
            <c:numRef>
              <c:f>'[1]Per Pendidikan'!$J$124:$J$128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0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F-4A5C-B6BA-5A696CAEA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558453776"/>
        <c:axId val="558452688"/>
      </c:barChart>
      <c:catAx>
        <c:axId val="55845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8452688"/>
        <c:crosses val="autoZero"/>
        <c:auto val="1"/>
        <c:lblAlgn val="ctr"/>
        <c:lblOffset val="100"/>
        <c:noMultiLvlLbl val="0"/>
      </c:catAx>
      <c:valAx>
        <c:axId val="5584526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584537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0FB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GRAFIK TENAGA KETERAPIAN FISIK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10313075506459"/>
          <c:y val="0.15264797507788175"/>
          <c:w val="0.76243093922651961"/>
          <c:h val="0.7975077881619930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'[1]Per Pendidikan'!$C$133:$C$142</c:f>
              <c:strCache>
                <c:ptCount val="10"/>
                <c:pt idx="0">
                  <c:v>S1 Fisioterapi</c:v>
                </c:pt>
                <c:pt idx="1">
                  <c:v>S1 Psikologi</c:v>
                </c:pt>
                <c:pt idx="2">
                  <c:v>D4 Fisioterapi</c:v>
                </c:pt>
                <c:pt idx="3">
                  <c:v>D4 Okupasi Terapi</c:v>
                </c:pt>
                <c:pt idx="4">
                  <c:v>D4 Orthotik Prostetik</c:v>
                </c:pt>
                <c:pt idx="5">
                  <c:v>D3 AKFIS</c:v>
                </c:pt>
                <c:pt idx="6">
                  <c:v>D3 Fisioterapi</c:v>
                </c:pt>
                <c:pt idx="7">
                  <c:v>D3 Okupasi Terapi</c:v>
                </c:pt>
                <c:pt idx="8">
                  <c:v>D3 Terapi Wicara</c:v>
                </c:pt>
                <c:pt idx="9">
                  <c:v>D3 Orthotik Prostetik</c:v>
                </c:pt>
              </c:strCache>
            </c:strRef>
          </c:cat>
          <c:val>
            <c:numRef>
              <c:f>'[1]Per Pendidikan'!$J$133:$J$142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B-4897-9420-75939CF67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558458128"/>
        <c:axId val="558451056"/>
      </c:barChart>
      <c:catAx>
        <c:axId val="55845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8451056"/>
        <c:crosses val="autoZero"/>
        <c:auto val="1"/>
        <c:lblAlgn val="ctr"/>
        <c:lblOffset val="100"/>
        <c:noMultiLvlLbl val="0"/>
      </c:catAx>
      <c:valAx>
        <c:axId val="5584510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584581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0FB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GRAFIK TENAGA KETEKNISIAN MEDIK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390374331550804"/>
          <c:y val="0.12164948453608254"/>
          <c:w val="0.77183600713012535"/>
          <c:h val="0.8412371134020618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  <a:ln w="25400">
              <a:noFill/>
            </a:ln>
          </c:spPr>
          <c:invertIfNegative val="0"/>
          <c:dPt>
            <c:idx val="15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C0FE-4775-AC65-46E29018C724}"/>
              </c:ext>
            </c:extLst>
          </c:dPt>
          <c:dPt>
            <c:idx val="16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C0FE-4775-AC65-46E29018C724}"/>
              </c:ext>
            </c:extLst>
          </c:dPt>
          <c:dPt>
            <c:idx val="17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C0FE-4775-AC65-46E29018C72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'[1]Per Pendidikan'!$C$148:$C$174</c:f>
              <c:strCache>
                <c:ptCount val="27"/>
                <c:pt idx="0">
                  <c:v>D4 TRO</c:v>
                </c:pt>
                <c:pt idx="1">
                  <c:v>D4 Teknik Radiologi</c:v>
                </c:pt>
                <c:pt idx="2">
                  <c:v>D4 Teknik Radiodiagnostik dan Radioterapi</c:v>
                </c:pt>
                <c:pt idx="3">
                  <c:v>D4 Analis Kesehatan</c:v>
                </c:pt>
                <c:pt idx="4">
                  <c:v>D4 Rekam Medik</c:v>
                </c:pt>
                <c:pt idx="5">
                  <c:v>D4 Keperawatan Anestesiologi</c:v>
                </c:pt>
                <c:pt idx="6">
                  <c:v>D4 Radiodiagnostik dan Radioterapi</c:v>
                </c:pt>
                <c:pt idx="7">
                  <c:v>D4 Teknologi Laboratorium Medis</c:v>
                </c:pt>
                <c:pt idx="8">
                  <c:v>Sarjana Terapan Teknologi Radiologi Pencitraan</c:v>
                </c:pt>
                <c:pt idx="9">
                  <c:v>D3 Analis Kesehatan</c:v>
                </c:pt>
                <c:pt idx="10">
                  <c:v>D3 Kesehatan Gigi</c:v>
                </c:pt>
                <c:pt idx="11">
                  <c:v>D3 Refraksi Optisi</c:v>
                </c:pt>
                <c:pt idx="12">
                  <c:v>D3 MARM</c:v>
                </c:pt>
                <c:pt idx="13">
                  <c:v>D3 Radiodiagnostik</c:v>
                </c:pt>
                <c:pt idx="14">
                  <c:v>D3 Rekam Medik</c:v>
                </c:pt>
                <c:pt idx="15">
                  <c:v>D3 Teknik Radiologi</c:v>
                </c:pt>
                <c:pt idx="16">
                  <c:v>ATEM</c:v>
                </c:pt>
                <c:pt idx="17">
                  <c:v>AKG</c:v>
                </c:pt>
                <c:pt idx="18">
                  <c:v>ATG</c:v>
                </c:pt>
                <c:pt idx="19">
                  <c:v>ATRO</c:v>
                </c:pt>
                <c:pt idx="20">
                  <c:v>Akademi Teknik Rontgen</c:v>
                </c:pt>
                <c:pt idx="21">
                  <c:v>D1 Teknologi Transfusi Darah</c:v>
                </c:pt>
                <c:pt idx="22">
                  <c:v>D3Teknologi Transfusi Darah</c:v>
                </c:pt>
                <c:pt idx="23">
                  <c:v>D3 Teknologi Bank Darah</c:v>
                </c:pt>
                <c:pt idx="24">
                  <c:v>D3 Teknik Radiodiagnostik Dan Radioterapi</c:v>
                </c:pt>
                <c:pt idx="25">
                  <c:v>D3 Teknologi Laboratorium Medis</c:v>
                </c:pt>
                <c:pt idx="26">
                  <c:v>SPTG</c:v>
                </c:pt>
              </c:strCache>
            </c:strRef>
          </c:cat>
          <c:val>
            <c:numRef>
              <c:f>'[1]Per Pendidikan'!$J$148:$J$174</c:f>
              <c:numCache>
                <c:formatCode>General</c:formatCode>
                <c:ptCount val="27"/>
                <c:pt idx="0">
                  <c:v>0</c:v>
                </c:pt>
                <c:pt idx="1">
                  <c:v>5</c:v>
                </c:pt>
                <c:pt idx="2">
                  <c:v>1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1</c:v>
                </c:pt>
                <c:pt idx="7">
                  <c:v>7</c:v>
                </c:pt>
                <c:pt idx="8">
                  <c:v>4</c:v>
                </c:pt>
                <c:pt idx="9">
                  <c:v>21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10</c:v>
                </c:pt>
                <c:pt idx="14">
                  <c:v>28</c:v>
                </c:pt>
                <c:pt idx="15">
                  <c:v>0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3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FE-4775-AC65-46E29018C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558454320"/>
        <c:axId val="558450512"/>
      </c:barChart>
      <c:catAx>
        <c:axId val="55845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8450512"/>
        <c:crosses val="autoZero"/>
        <c:auto val="1"/>
        <c:lblAlgn val="ctr"/>
        <c:lblOffset val="100"/>
        <c:noMultiLvlLbl val="0"/>
      </c:catAx>
      <c:valAx>
        <c:axId val="5584505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584543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0FB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GRAFIK TENAGA NON MEDIK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55555555555557"/>
          <c:y val="4.0798611111111209E-2"/>
          <c:w val="0.82222222222222219"/>
          <c:h val="0.9453124999999995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  <a:ln w="25400">
              <a:noFill/>
            </a:ln>
          </c:spPr>
          <c:invertIfNegative val="0"/>
          <c:dPt>
            <c:idx val="44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723-4707-AE9E-EC5A5040DE16}"/>
              </c:ext>
            </c:extLst>
          </c:dPt>
          <c:dPt>
            <c:idx val="45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723-4707-AE9E-EC5A5040DE16}"/>
              </c:ext>
            </c:extLst>
          </c:dPt>
          <c:dPt>
            <c:idx val="46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723-4707-AE9E-EC5A5040DE16}"/>
              </c:ext>
            </c:extLst>
          </c:dPt>
          <c:dPt>
            <c:idx val="47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723-4707-AE9E-EC5A5040DE16}"/>
              </c:ext>
            </c:extLst>
          </c:dPt>
          <c:dPt>
            <c:idx val="48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9-2723-4707-AE9E-EC5A5040DE16}"/>
              </c:ext>
            </c:extLst>
          </c:dPt>
          <c:dPt>
            <c:idx val="49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B-2723-4707-AE9E-EC5A5040DE16}"/>
              </c:ext>
            </c:extLst>
          </c:dPt>
          <c:dPt>
            <c:idx val="50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D-2723-4707-AE9E-EC5A5040DE16}"/>
              </c:ext>
            </c:extLst>
          </c:dPt>
          <c:dPt>
            <c:idx val="51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F-2723-4707-AE9E-EC5A5040DE16}"/>
              </c:ext>
            </c:extLst>
          </c:dPt>
          <c:dPt>
            <c:idx val="52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1-2723-4707-AE9E-EC5A5040DE16}"/>
              </c:ext>
            </c:extLst>
          </c:dPt>
          <c:dPt>
            <c:idx val="53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3-2723-4707-AE9E-EC5A5040DE16}"/>
              </c:ext>
            </c:extLst>
          </c:dPt>
          <c:dPt>
            <c:idx val="54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5-2723-4707-AE9E-EC5A5040DE16}"/>
              </c:ext>
            </c:extLst>
          </c:dPt>
          <c:dPt>
            <c:idx val="55"/>
            <c:invertIfNegative val="0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17-2723-4707-AE9E-EC5A5040DE1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'[1]Per Pendidikan'!$C$178:$C$251</c:f>
              <c:strCache>
                <c:ptCount val="74"/>
                <c:pt idx="0">
                  <c:v>MMR</c:v>
                </c:pt>
                <c:pt idx="1">
                  <c:v>S2 Magister Kesehatan</c:v>
                </c:pt>
                <c:pt idx="2">
                  <c:v>S2 Magister Manajemen</c:v>
                </c:pt>
                <c:pt idx="3">
                  <c:v>S2 Ekonomi Pembangunan</c:v>
                </c:pt>
                <c:pt idx="4">
                  <c:v>S2 Hukum</c:v>
                </c:pt>
                <c:pt idx="5">
                  <c:v>S2 Ilmu Manajemen</c:v>
                </c:pt>
                <c:pt idx="6">
                  <c:v>S1 Agama Islam</c:v>
                </c:pt>
                <c:pt idx="7">
                  <c:v>S1 Teknik Sipil</c:v>
                </c:pt>
                <c:pt idx="8">
                  <c:v>S1 Akuntansi</c:v>
                </c:pt>
                <c:pt idx="9">
                  <c:v>S1 Hukum</c:v>
                </c:pt>
                <c:pt idx="10">
                  <c:v>S1 Ilmu Hukum</c:v>
                </c:pt>
                <c:pt idx="11">
                  <c:v>S1 Kom Masyarakat</c:v>
                </c:pt>
                <c:pt idx="12">
                  <c:v>S1 Sistem Informasi</c:v>
                </c:pt>
                <c:pt idx="13">
                  <c:v>S1 Sos</c:v>
                </c:pt>
                <c:pt idx="14">
                  <c:v>S1 Teknik Elektro</c:v>
                </c:pt>
                <c:pt idx="15">
                  <c:v>S1 Teknik Informatika</c:v>
                </c:pt>
                <c:pt idx="16">
                  <c:v>S1 Sistem Informatika</c:v>
                </c:pt>
                <c:pt idx="17">
                  <c:v>S1 Informatika</c:v>
                </c:pt>
                <c:pt idx="18">
                  <c:v>S1 Pendidikan Informatika</c:v>
                </c:pt>
                <c:pt idx="19">
                  <c:v>S1 Teknik Mesin</c:v>
                </c:pt>
                <c:pt idx="20">
                  <c:v>S1 Teknik Arsitektur</c:v>
                </c:pt>
                <c:pt idx="21">
                  <c:v>S1 Komputer</c:v>
                </c:pt>
                <c:pt idx="22">
                  <c:v>S1 Administrasi Negara</c:v>
                </c:pt>
                <c:pt idx="23">
                  <c:v>S1 Ekonomi Akuntansi</c:v>
                </c:pt>
                <c:pt idx="24">
                  <c:v>S1 Ekonomi Manajemen</c:v>
                </c:pt>
                <c:pt idx="25">
                  <c:v>S1 Manajemen Pendidikan</c:v>
                </c:pt>
                <c:pt idx="26">
                  <c:v>S1 Manajemen</c:v>
                </c:pt>
                <c:pt idx="27">
                  <c:v>S1 Ilmu Komunikasi</c:v>
                </c:pt>
                <c:pt idx="28">
                  <c:v>S1 Hospitality</c:v>
                </c:pt>
                <c:pt idx="29">
                  <c:v>S1 Administrasi Publik</c:v>
                </c:pt>
                <c:pt idx="30">
                  <c:v>S1 Kesejahteraan Sosial</c:v>
                </c:pt>
                <c:pt idx="31">
                  <c:v>S1 Ilmu Perpustakaan</c:v>
                </c:pt>
                <c:pt idx="32">
                  <c:v>D4 Keselamatan Kesehatan Kerja</c:v>
                </c:pt>
                <c:pt idx="33">
                  <c:v>D4 Teknik Elektromedik</c:v>
                </c:pt>
                <c:pt idx="34">
                  <c:v>D4 Kearsipan</c:v>
                </c:pt>
                <c:pt idx="35">
                  <c:v>D4 Akuntansi</c:v>
                </c:pt>
                <c:pt idx="36">
                  <c:v>D3 Teknik Elektromedik</c:v>
                </c:pt>
                <c:pt idx="37">
                  <c:v>D3 Elektronika</c:v>
                </c:pt>
                <c:pt idx="38">
                  <c:v>D3 Arsiparis</c:v>
                </c:pt>
                <c:pt idx="39">
                  <c:v>D3 Akuntansi</c:v>
                </c:pt>
                <c:pt idx="40">
                  <c:v>D3 Hubungan Masyarakat</c:v>
                </c:pt>
                <c:pt idx="41">
                  <c:v>D3 Manaj. Informatika Perbankan</c:v>
                </c:pt>
                <c:pt idx="42">
                  <c:v>D3 Manajemen Informatika</c:v>
                </c:pt>
                <c:pt idx="43">
                  <c:v>D3 Manajemen Perusahaan</c:v>
                </c:pt>
                <c:pt idx="44">
                  <c:v>D3 Manajemen Administrasi</c:v>
                </c:pt>
                <c:pt idx="45">
                  <c:v>D3 MARS</c:v>
                </c:pt>
                <c:pt idx="46">
                  <c:v>D3 Perpustakaan</c:v>
                </c:pt>
                <c:pt idx="47">
                  <c:v>D3 Sekretaris</c:v>
                </c:pt>
                <c:pt idx="48">
                  <c:v>D3 Teknik Informatika</c:v>
                </c:pt>
                <c:pt idx="49">
                  <c:v>D3 Teknik Komputer</c:v>
                </c:pt>
                <c:pt idx="50">
                  <c:v>D3 Komputer</c:v>
                </c:pt>
                <c:pt idx="51">
                  <c:v>D3 Sistem Informasi</c:v>
                </c:pt>
                <c:pt idx="52">
                  <c:v>D3 Teknik Listrik</c:v>
                </c:pt>
                <c:pt idx="53">
                  <c:v>D3 Teknik Mesin</c:v>
                </c:pt>
                <c:pt idx="54">
                  <c:v>D3 Teknik Sipil</c:v>
                </c:pt>
                <c:pt idx="55">
                  <c:v>D3 Perpajakan</c:v>
                </c:pt>
                <c:pt idx="56">
                  <c:v>D3 Teknik Boga</c:v>
                </c:pt>
                <c:pt idx="57">
                  <c:v>D3 Seni Kuliner</c:v>
                </c:pt>
                <c:pt idx="58">
                  <c:v>D3 Administrasi Publik</c:v>
                </c:pt>
                <c:pt idx="59">
                  <c:v>D3 Administrasi Negara</c:v>
                </c:pt>
                <c:pt idx="60">
                  <c:v>D3 Publik Relations (Hubungan Masyarakat)</c:v>
                </c:pt>
                <c:pt idx="61">
                  <c:v>D3 Desain Teknologi Sepatu/ Produk Kulit</c:v>
                </c:pt>
                <c:pt idx="62">
                  <c:v>SMU</c:v>
                </c:pt>
                <c:pt idx="63">
                  <c:v>SLTA</c:v>
                </c:pt>
                <c:pt idx="64">
                  <c:v>SMA</c:v>
                </c:pt>
                <c:pt idx="65">
                  <c:v>SMEA</c:v>
                </c:pt>
                <c:pt idx="66">
                  <c:v>SMK</c:v>
                </c:pt>
                <c:pt idx="67">
                  <c:v>SMKK</c:v>
                </c:pt>
                <c:pt idx="68">
                  <c:v>STM</c:v>
                </c:pt>
                <c:pt idx="69">
                  <c:v>SPG</c:v>
                </c:pt>
                <c:pt idx="70">
                  <c:v>Paket C</c:v>
                </c:pt>
                <c:pt idx="71">
                  <c:v>ST</c:v>
                </c:pt>
                <c:pt idx="72">
                  <c:v>SMP</c:v>
                </c:pt>
                <c:pt idx="73">
                  <c:v>SD</c:v>
                </c:pt>
              </c:strCache>
            </c:strRef>
          </c:cat>
          <c:val>
            <c:numRef>
              <c:f>'[1]Per Pendidikan'!$J$178:$J$251</c:f>
              <c:numCache>
                <c:formatCode>General</c:formatCode>
                <c:ptCount val="74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26</c:v>
                </c:pt>
                <c:pt idx="9">
                  <c:v>6</c:v>
                </c:pt>
                <c:pt idx="10">
                  <c:v>0</c:v>
                </c:pt>
                <c:pt idx="11">
                  <c:v>1</c:v>
                </c:pt>
                <c:pt idx="12">
                  <c:v>6</c:v>
                </c:pt>
                <c:pt idx="13">
                  <c:v>1</c:v>
                </c:pt>
                <c:pt idx="14">
                  <c:v>6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18</c:v>
                </c:pt>
                <c:pt idx="24">
                  <c:v>10</c:v>
                </c:pt>
                <c:pt idx="25">
                  <c:v>1</c:v>
                </c:pt>
                <c:pt idx="26">
                  <c:v>9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4</c:v>
                </c:pt>
                <c:pt idx="37">
                  <c:v>2</c:v>
                </c:pt>
                <c:pt idx="38">
                  <c:v>1</c:v>
                </c:pt>
                <c:pt idx="39">
                  <c:v>19</c:v>
                </c:pt>
                <c:pt idx="40">
                  <c:v>4</c:v>
                </c:pt>
                <c:pt idx="41">
                  <c:v>2</c:v>
                </c:pt>
                <c:pt idx="42">
                  <c:v>5</c:v>
                </c:pt>
                <c:pt idx="43">
                  <c:v>1</c:v>
                </c:pt>
                <c:pt idx="44">
                  <c:v>1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2</c:v>
                </c:pt>
                <c:pt idx="50">
                  <c:v>13</c:v>
                </c:pt>
                <c:pt idx="51">
                  <c:v>9</c:v>
                </c:pt>
                <c:pt idx="52">
                  <c:v>1</c:v>
                </c:pt>
                <c:pt idx="53">
                  <c:v>3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11</c:v>
                </c:pt>
                <c:pt idx="58">
                  <c:v>11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24</c:v>
                </c:pt>
                <c:pt idx="65">
                  <c:v>7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23-4707-AE9E-EC5A5040D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558453232"/>
        <c:axId val="558454864"/>
      </c:barChart>
      <c:catAx>
        <c:axId val="55845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8454864"/>
        <c:crosses val="autoZero"/>
        <c:auto val="1"/>
        <c:lblAlgn val="ctr"/>
        <c:lblOffset val="100"/>
        <c:noMultiLvlLbl val="0"/>
      </c:catAx>
      <c:valAx>
        <c:axId val="55845486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58453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0FB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4</xdr:row>
      <xdr:rowOff>95250</xdr:rowOff>
    </xdr:from>
    <xdr:to>
      <xdr:col>30</xdr:col>
      <xdr:colOff>0</xdr:colOff>
      <xdr:row>58</xdr:row>
      <xdr:rowOff>180975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0E8D2EE-68A7-4B3A-8DF2-BFF739298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81</xdr:row>
      <xdr:rowOff>142875</xdr:rowOff>
    </xdr:from>
    <xdr:to>
      <xdr:col>20</xdr:col>
      <xdr:colOff>257175</xdr:colOff>
      <xdr:row>99</xdr:row>
      <xdr:rowOff>28575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E419E853-1E87-490F-B86E-F9E93FA25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361950</xdr:colOff>
      <xdr:row>81</xdr:row>
      <xdr:rowOff>152400</xdr:rowOff>
    </xdr:from>
    <xdr:to>
      <xdr:col>29</xdr:col>
      <xdr:colOff>38100</xdr:colOff>
      <xdr:row>99</xdr:row>
      <xdr:rowOff>28575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72B9514F-A024-4285-B21A-27F8C0A11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314325</xdr:colOff>
      <xdr:row>100</xdr:row>
      <xdr:rowOff>0</xdr:rowOff>
    </xdr:from>
    <xdr:to>
      <xdr:col>20</xdr:col>
      <xdr:colOff>257175</xdr:colOff>
      <xdr:row>122</xdr:row>
      <xdr:rowOff>9525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83A95E2A-9B10-4D72-9E29-09DD10F1A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352425</xdr:colOff>
      <xdr:row>100</xdr:row>
      <xdr:rowOff>0</xdr:rowOff>
    </xdr:from>
    <xdr:to>
      <xdr:col>29</xdr:col>
      <xdr:colOff>28575</xdr:colOff>
      <xdr:row>122</xdr:row>
      <xdr:rowOff>28575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287F9C80-73D6-459B-AC1C-A9FFB483C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314325</xdr:colOff>
      <xdr:row>123</xdr:row>
      <xdr:rowOff>0</xdr:rowOff>
    </xdr:from>
    <xdr:to>
      <xdr:col>20</xdr:col>
      <xdr:colOff>247650</xdr:colOff>
      <xdr:row>142</xdr:row>
      <xdr:rowOff>190500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ABD2FE68-9B55-453D-99AE-EC9A2D533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342900</xdr:colOff>
      <xdr:row>123</xdr:row>
      <xdr:rowOff>0</xdr:rowOff>
    </xdr:from>
    <xdr:to>
      <xdr:col>29</xdr:col>
      <xdr:colOff>28575</xdr:colOff>
      <xdr:row>143</xdr:row>
      <xdr:rowOff>9525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833E7320-0553-47D0-B72E-F6F87FB44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295275</xdr:colOff>
      <xdr:row>147</xdr:row>
      <xdr:rowOff>0</xdr:rowOff>
    </xdr:from>
    <xdr:to>
      <xdr:col>29</xdr:col>
      <xdr:colOff>9525</xdr:colOff>
      <xdr:row>176</xdr:row>
      <xdr:rowOff>38100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24B257E5-C2A4-4856-BFE6-F456DCBAA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285750</xdr:colOff>
      <xdr:row>177</xdr:row>
      <xdr:rowOff>47625</xdr:rowOff>
    </xdr:from>
    <xdr:to>
      <xdr:col>29</xdr:col>
      <xdr:colOff>28575</xdr:colOff>
      <xdr:row>251</xdr:row>
      <xdr:rowOff>161925</xdr:rowOff>
    </xdr:to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514D192C-D315-4A0F-9E0D-90AAD7DFD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FILE%20FITRI\FITRI%202025\PETA%20PEGAWAI\09.%20PETA%20PEGAWAI%20RSUP%20dr%20SOERADJI%20TIRTONEGORO%20BULAN%20SEPTEMBER%202025.xlsx" TargetMode="External"/><Relationship Id="rId1" Type="http://schemas.openxmlformats.org/officeDocument/2006/relationships/externalLinkPath" Target="file:///F:\FILE%20FITRI\FITRI%202025\PETA%20PEGAWAI\09.%20PETA%20PEGAWAI%20RSUP%20dr%20SOERADJI%20TIRTONEGORO%20BULAN%20SEPT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ta_Persatker"/>
      <sheetName val="Per Satker"/>
      <sheetName val="Per Pendidikan"/>
      <sheetName val="Per Golongan PNS"/>
      <sheetName val="Per Golongan PPPK"/>
      <sheetName val="Jenis Kelamin"/>
      <sheetName val="Persentase"/>
      <sheetName val="UPDATING (+)"/>
      <sheetName val="UPDATING (-)"/>
      <sheetName val="PKWT"/>
      <sheetName val="MITRA"/>
      <sheetName val="OS 2025"/>
      <sheetName val="OS (-)"/>
      <sheetName val="PERAWAT MAGANG"/>
      <sheetName val="THL 2024"/>
      <sheetName val="OS 2024"/>
      <sheetName val="MUTASI"/>
      <sheetName val="Pegawai_OS"/>
    </sheetNames>
    <sheetDataSet>
      <sheetData sheetId="0">
        <row r="1">
          <cell r="G1" t="str">
            <v>Status</v>
          </cell>
          <cell r="T1" t="str">
            <v>Pendidikan</v>
          </cell>
        </row>
        <row r="10">
          <cell r="G10" t="str">
            <v>Status</v>
          </cell>
          <cell r="H10" t="str">
            <v>Pangkat</v>
          </cell>
          <cell r="T10" t="str">
            <v>Pendidikan</v>
          </cell>
          <cell r="U10" t="str">
            <v>Th Lulus Pendidikan</v>
          </cell>
        </row>
        <row r="11">
          <cell r="G11" t="str">
            <v>PNS</v>
          </cell>
          <cell r="H11" t="str">
            <v>Pembina Tk.I</v>
          </cell>
          <cell r="T11" t="str">
            <v>dr. Sp. Bedah Ortopedi (Konsultan) Sub Spesialis Hip and Knee</v>
          </cell>
        </row>
        <row r="12">
          <cell r="G12" t="str">
            <v>PNS</v>
          </cell>
          <cell r="H12" t="str">
            <v>Pembina</v>
          </cell>
          <cell r="T12" t="str">
            <v>dr. Sp. Anak (Konsultan) Alergi Imunologi Anak</v>
          </cell>
        </row>
        <row r="13">
          <cell r="G13" t="str">
            <v>BLU TETAP</v>
          </cell>
          <cell r="T13" t="str">
            <v>S2 Ilmu Kesehatan Masyarakat</v>
          </cell>
        </row>
        <row r="14">
          <cell r="G14" t="str">
            <v>PNS</v>
          </cell>
          <cell r="H14" t="str">
            <v>Pembina Tk.I</v>
          </cell>
          <cell r="T14" t="str">
            <v>S2 Ekonomi Pembangunan</v>
          </cell>
        </row>
        <row r="17">
          <cell r="G17" t="str">
            <v>Status</v>
          </cell>
          <cell r="H17" t="str">
            <v>Pangkat</v>
          </cell>
          <cell r="T17" t="str">
            <v>Pendidikan</v>
          </cell>
          <cell r="U17" t="str">
            <v>Th Lulus Pendidikan</v>
          </cell>
        </row>
        <row r="19">
          <cell r="G19" t="str">
            <v>PNS</v>
          </cell>
          <cell r="H19" t="str">
            <v>Pembina</v>
          </cell>
          <cell r="T19" t="str">
            <v>Ners</v>
          </cell>
        </row>
        <row r="20">
          <cell r="G20" t="str">
            <v>PNS</v>
          </cell>
          <cell r="H20" t="str">
            <v>Pembina Tk.I</v>
          </cell>
          <cell r="T20" t="str">
            <v>S2 Farmasi Klinis</v>
          </cell>
        </row>
        <row r="21">
          <cell r="G21" t="str">
            <v>PNS</v>
          </cell>
          <cell r="H21" t="str">
            <v>Penata</v>
          </cell>
          <cell r="T21" t="str">
            <v>drg. Sp. Periodonsia (Konsultan)</v>
          </cell>
        </row>
        <row r="22">
          <cell r="G22" t="str">
            <v>PNS</v>
          </cell>
          <cell r="H22" t="str">
            <v>Pembina Utama Muda</v>
          </cell>
          <cell r="T22" t="str">
            <v>dr. Sp. Anak (Konsultan) Neonatologi</v>
          </cell>
        </row>
        <row r="23">
          <cell r="G23" t="str">
            <v>PNS</v>
          </cell>
          <cell r="H23" t="str">
            <v>Pembina</v>
          </cell>
          <cell r="T23" t="str">
            <v>Ners</v>
          </cell>
        </row>
        <row r="24">
          <cell r="G24" t="str">
            <v>PNS</v>
          </cell>
          <cell r="H24" t="str">
            <v>Pembina Tk.I</v>
          </cell>
          <cell r="T24" t="str">
            <v>S2 Ilmu Kesehatan Masyarakat</v>
          </cell>
        </row>
        <row r="25">
          <cell r="G25" t="str">
            <v>PNS</v>
          </cell>
          <cell r="H25" t="str">
            <v>Penata Tk.I</v>
          </cell>
          <cell r="T25" t="str">
            <v>S1 Ekonomi Akuntansi</v>
          </cell>
        </row>
        <row r="26">
          <cell r="G26" t="str">
            <v>PNS</v>
          </cell>
          <cell r="H26" t="str">
            <v>Penata Tk.I</v>
          </cell>
          <cell r="T26" t="str">
            <v>S1 SKM</v>
          </cell>
        </row>
        <row r="27">
          <cell r="G27" t="str">
            <v>PNS</v>
          </cell>
          <cell r="H27" t="str">
            <v>Penata</v>
          </cell>
          <cell r="T27" t="str">
            <v>S1 Ekonomi Akuntansi</v>
          </cell>
        </row>
        <row r="28">
          <cell r="G28" t="str">
            <v>PNS</v>
          </cell>
          <cell r="H28" t="str">
            <v>Penata Tk.I</v>
          </cell>
          <cell r="T28" t="str">
            <v>Ners</v>
          </cell>
        </row>
        <row r="31">
          <cell r="G31" t="str">
            <v>Status</v>
          </cell>
          <cell r="H31" t="str">
            <v>Pangkat</v>
          </cell>
          <cell r="T31" t="str">
            <v>Pendidikan</v>
          </cell>
          <cell r="U31" t="str">
            <v>Th Lulus Pendidikan</v>
          </cell>
        </row>
        <row r="32">
          <cell r="G32" t="str">
            <v>PNS</v>
          </cell>
          <cell r="H32" t="str">
            <v>Pembina Tk.I</v>
          </cell>
          <cell r="T32" t="str">
            <v>S2 Magister Manajemen</v>
          </cell>
        </row>
        <row r="33">
          <cell r="G33" t="str">
            <v>PNS</v>
          </cell>
          <cell r="H33" t="str">
            <v>Pembina</v>
          </cell>
          <cell r="T33" t="str">
            <v>S1 SKM Sanitasi</v>
          </cell>
        </row>
        <row r="34">
          <cell r="G34" t="str">
            <v>PNS</v>
          </cell>
          <cell r="H34" t="str">
            <v>Pembina Tk.I</v>
          </cell>
          <cell r="T34" t="str">
            <v>S2 Magister Manajemen</v>
          </cell>
        </row>
        <row r="35">
          <cell r="G35" t="str">
            <v>PNS</v>
          </cell>
          <cell r="H35" t="str">
            <v>Penata</v>
          </cell>
          <cell r="T35" t="str">
            <v>S1 Ekonomi Akuntansi</v>
          </cell>
        </row>
        <row r="36">
          <cell r="G36" t="str">
            <v>CPNS</v>
          </cell>
          <cell r="H36" t="str">
            <v>Penata Muda</v>
          </cell>
          <cell r="T36" t="str">
            <v>D4 Akuntansi</v>
          </cell>
        </row>
        <row r="37">
          <cell r="G37" t="str">
            <v>CPNS</v>
          </cell>
          <cell r="H37" t="str">
            <v>Penata Muda</v>
          </cell>
          <cell r="T37" t="str">
            <v>S1 Akuntansi</v>
          </cell>
        </row>
        <row r="38">
          <cell r="G38" t="str">
            <v>CPNS</v>
          </cell>
          <cell r="H38" t="str">
            <v>Penata Muda</v>
          </cell>
          <cell r="T38" t="str">
            <v>S1 Akuntansi</v>
          </cell>
        </row>
        <row r="41">
          <cell r="G41" t="str">
            <v>Status</v>
          </cell>
          <cell r="H41" t="str">
            <v>Pangkat</v>
          </cell>
          <cell r="T41" t="str">
            <v>Pendidikan</v>
          </cell>
          <cell r="U41" t="str">
            <v>Th Lulus Pendidikan</v>
          </cell>
        </row>
        <row r="42">
          <cell r="G42" t="str">
            <v>PNS</v>
          </cell>
          <cell r="H42" t="str">
            <v>Pembina</v>
          </cell>
          <cell r="T42" t="str">
            <v>S2 Magister Manajemen</v>
          </cell>
          <cell r="U42">
            <v>2019</v>
          </cell>
        </row>
        <row r="43">
          <cell r="G43" t="str">
            <v>PNS</v>
          </cell>
          <cell r="H43" t="str">
            <v>Penata Tk.I</v>
          </cell>
          <cell r="T43" t="str">
            <v>D3 Okupasi Terapi</v>
          </cell>
        </row>
        <row r="44">
          <cell r="G44" t="str">
            <v>PNS</v>
          </cell>
          <cell r="H44" t="str">
            <v>Penata Muda Tk.I</v>
          </cell>
          <cell r="T44" t="str">
            <v>D3 Perpustakaan</v>
          </cell>
        </row>
        <row r="45">
          <cell r="G45" t="str">
            <v>PNS</v>
          </cell>
          <cell r="H45" t="str">
            <v>Penata Muda</v>
          </cell>
          <cell r="T45" t="str">
            <v>S1 Akuntansi</v>
          </cell>
        </row>
        <row r="46">
          <cell r="G46" t="str">
            <v>PPPK</v>
          </cell>
          <cell r="T46" t="str">
            <v>S1 Ekonomi Akuntansi</v>
          </cell>
        </row>
        <row r="47">
          <cell r="G47" t="str">
            <v>PNS</v>
          </cell>
          <cell r="H47" t="str">
            <v>Penata</v>
          </cell>
          <cell r="T47" t="str">
            <v>S1 Ekonomi Akuntansi</v>
          </cell>
        </row>
        <row r="48">
          <cell r="G48" t="str">
            <v>CPNS</v>
          </cell>
          <cell r="H48" t="str">
            <v>Penata Muda</v>
          </cell>
          <cell r="T48" t="str">
            <v>S1 Manajemen</v>
          </cell>
        </row>
        <row r="49">
          <cell r="G49" t="str">
            <v>BLU TETAP</v>
          </cell>
          <cell r="T49" t="str">
            <v>S1 Ekonomi Akuntansi</v>
          </cell>
        </row>
        <row r="52">
          <cell r="G52" t="str">
            <v>Status</v>
          </cell>
          <cell r="H52" t="str">
            <v>Pangkat</v>
          </cell>
          <cell r="T52" t="str">
            <v>Pendidikan</v>
          </cell>
          <cell r="U52" t="str">
            <v>Th Lulus Pendidikan</v>
          </cell>
        </row>
        <row r="53">
          <cell r="G53" t="str">
            <v>PNS</v>
          </cell>
          <cell r="H53" t="str">
            <v>Pembina Tk.I</v>
          </cell>
          <cell r="T53" t="str">
            <v>S2 Ilmu Kesehatan Masyarakat</v>
          </cell>
        </row>
        <row r="54">
          <cell r="G54" t="str">
            <v>PNS</v>
          </cell>
          <cell r="H54" t="str">
            <v>Pembina Tk.I</v>
          </cell>
          <cell r="T54" t="str">
            <v>M. Kep</v>
          </cell>
        </row>
        <row r="55">
          <cell r="G55" t="str">
            <v>PNS</v>
          </cell>
          <cell r="H55" t="str">
            <v>Penata Tk.I</v>
          </cell>
          <cell r="T55" t="str">
            <v>S2 Farmasi Klinis</v>
          </cell>
        </row>
        <row r="56">
          <cell r="G56" t="str">
            <v>PNS</v>
          </cell>
          <cell r="H56" t="str">
            <v>Penata Tk.I</v>
          </cell>
          <cell r="T56" t="str">
            <v>S1 Ekonomi Akuntansi</v>
          </cell>
        </row>
        <row r="57">
          <cell r="G57" t="str">
            <v>PNS</v>
          </cell>
          <cell r="H57" t="str">
            <v>Penata Muda Tk.I</v>
          </cell>
          <cell r="T57" t="str">
            <v>D3 Teknik Sipil</v>
          </cell>
        </row>
        <row r="58">
          <cell r="G58" t="str">
            <v>BLU TETAP</v>
          </cell>
          <cell r="T58" t="str">
            <v>D3 Manajemen Informatika</v>
          </cell>
        </row>
        <row r="59">
          <cell r="G59" t="str">
            <v>BLU TETAP</v>
          </cell>
          <cell r="T59" t="str">
            <v>D3 Teknik Informatika</v>
          </cell>
        </row>
        <row r="60">
          <cell r="G60" t="str">
            <v>BLU TETAP</v>
          </cell>
          <cell r="T60" t="str">
            <v>D3 Akuntansi</v>
          </cell>
        </row>
        <row r="61">
          <cell r="G61" t="str">
            <v>BLU TETAP</v>
          </cell>
          <cell r="T61" t="str">
            <v>S1 Sistem Informasi</v>
          </cell>
        </row>
        <row r="62">
          <cell r="G62" t="str">
            <v>BLU TETAP</v>
          </cell>
          <cell r="T62" t="str">
            <v>D3 Akuntansi</v>
          </cell>
        </row>
        <row r="63">
          <cell r="G63" t="str">
            <v>PPPK</v>
          </cell>
          <cell r="T63" t="str">
            <v>Apoteker</v>
          </cell>
        </row>
        <row r="64">
          <cell r="G64" t="str">
            <v>PPPK</v>
          </cell>
          <cell r="T64" t="str">
            <v>S1 SKM</v>
          </cell>
        </row>
        <row r="67">
          <cell r="G67" t="str">
            <v>Status</v>
          </cell>
          <cell r="H67" t="str">
            <v>Pangkat</v>
          </cell>
          <cell r="T67" t="str">
            <v>Pendidikan</v>
          </cell>
          <cell r="U67" t="str">
            <v>Th Lulus Pendidikan</v>
          </cell>
        </row>
        <row r="68">
          <cell r="G68" t="str">
            <v>PNS</v>
          </cell>
          <cell r="H68" t="str">
            <v>Pembina Tk.I</v>
          </cell>
          <cell r="T68" t="str">
            <v>Ners</v>
          </cell>
        </row>
        <row r="71">
          <cell r="G71" t="str">
            <v>Status</v>
          </cell>
          <cell r="H71" t="str">
            <v>Pangkat</v>
          </cell>
          <cell r="T71" t="str">
            <v>Pendidikan</v>
          </cell>
          <cell r="U71" t="str">
            <v>Th Lulus Pendidikan</v>
          </cell>
        </row>
        <row r="72">
          <cell r="G72" t="str">
            <v>PNS</v>
          </cell>
          <cell r="H72" t="str">
            <v xml:space="preserve">Pembina Utama Muda </v>
          </cell>
          <cell r="T72" t="str">
            <v>dr. Sp. Paru Sub Spesialis Infeksi Paru (Konsultan)</v>
          </cell>
        </row>
        <row r="74">
          <cell r="G74" t="str">
            <v>PNS</v>
          </cell>
          <cell r="H74" t="str">
            <v>Pembina Utama</v>
          </cell>
          <cell r="T74" t="str">
            <v>dr. Sp. Anak (Konsultan) Neonatologi</v>
          </cell>
        </row>
        <row r="75">
          <cell r="G75" t="str">
            <v>PNS</v>
          </cell>
          <cell r="H75" t="str">
            <v>Penata Tk.I</v>
          </cell>
          <cell r="T75" t="str">
            <v>dr. Sp. Anestesi</v>
          </cell>
        </row>
        <row r="76">
          <cell r="G76" t="str">
            <v>PNS</v>
          </cell>
          <cell r="H76" t="str">
            <v>Pembina Utama Muda</v>
          </cell>
          <cell r="T76" t="str">
            <v>dr. Sp. Bedah Anak (Konsultan)</v>
          </cell>
        </row>
        <row r="77">
          <cell r="G77" t="str">
            <v>PNS</v>
          </cell>
          <cell r="H77" t="str">
            <v>Penata</v>
          </cell>
          <cell r="T77" t="str">
            <v>drg. Sp. KG</v>
          </cell>
        </row>
        <row r="78">
          <cell r="G78" t="str">
            <v>PNS</v>
          </cell>
          <cell r="H78" t="str">
            <v>Penata</v>
          </cell>
          <cell r="T78" t="str">
            <v>dr. Sp. JP Sub Spesialis Kardio Intervensi (Konsultan)</v>
          </cell>
        </row>
        <row r="79">
          <cell r="G79" t="str">
            <v>PNS</v>
          </cell>
          <cell r="H79" t="str">
            <v>Penata Muda Tk.I</v>
          </cell>
          <cell r="T79" t="str">
            <v>dr. Sp. Kedokteran Jiwa (Konsultan) Sub Spesialis Psikiatri Anak dan Remaja</v>
          </cell>
        </row>
        <row r="80">
          <cell r="G80" t="str">
            <v>PNS</v>
          </cell>
          <cell r="H80" t="str">
            <v>Pembina Tk.I</v>
          </cell>
          <cell r="T80" t="str">
            <v>dr. Sp. Kulit dan Kelamin</v>
          </cell>
        </row>
        <row r="81">
          <cell r="G81" t="str">
            <v>PNS</v>
          </cell>
          <cell r="H81" t="str">
            <v>Penata Muda Tk.I</v>
          </cell>
          <cell r="T81" t="str">
            <v>dr. Sp. Radiologi</v>
          </cell>
        </row>
        <row r="82">
          <cell r="G82" t="str">
            <v>PNS</v>
          </cell>
          <cell r="H82" t="str">
            <v>Penata Muda Tk.I</v>
          </cell>
          <cell r="T82" t="str">
            <v>dr. Sp. Mata</v>
          </cell>
        </row>
        <row r="83">
          <cell r="G83" t="str">
            <v>PNS</v>
          </cell>
          <cell r="H83" t="str">
            <v>Pembina Utama Muda</v>
          </cell>
          <cell r="T83" t="str">
            <v>dr. Sp. Obsgin (Konsultan) Sub Spesialis Fertilitas dan Endokrinologi Reproduksi</v>
          </cell>
        </row>
        <row r="84">
          <cell r="G84" t="str">
            <v>PNS</v>
          </cell>
          <cell r="H84" t="str">
            <v>Penata</v>
          </cell>
          <cell r="T84" t="str">
            <v>dr. Sp. Bedah Ortopedi (Konsultan) Sub Spesialis Hand and Microsurgery</v>
          </cell>
        </row>
        <row r="85">
          <cell r="G85" t="str">
            <v>PNS</v>
          </cell>
          <cell r="H85" t="str">
            <v>Pembina</v>
          </cell>
          <cell r="T85" t="str">
            <v>dr. Sp. Patologi Anatomi</v>
          </cell>
        </row>
        <row r="86">
          <cell r="G86" t="str">
            <v>PNS</v>
          </cell>
          <cell r="H86" t="str">
            <v>Pembina</v>
          </cell>
          <cell r="T86" t="str">
            <v>dr. Sp. Penyakit Dalam (Konsultan) Hematologi Onkologi Medik</v>
          </cell>
        </row>
        <row r="87">
          <cell r="G87" t="str">
            <v>PNS</v>
          </cell>
          <cell r="H87" t="str">
            <v>Pembina Tk.I</v>
          </cell>
          <cell r="T87" t="str">
            <v>dr. Sp. Saraf</v>
          </cell>
        </row>
        <row r="88">
          <cell r="G88" t="str">
            <v>PNS</v>
          </cell>
          <cell r="H88" t="str">
            <v>Pembina</v>
          </cell>
          <cell r="T88" t="str">
            <v>dr. Sp. THT</v>
          </cell>
        </row>
        <row r="89">
          <cell r="G89" t="str">
            <v>PNS</v>
          </cell>
          <cell r="H89" t="str">
            <v>Penata Tk.I</v>
          </cell>
          <cell r="T89" t="str">
            <v>dr. Sp. Forensik</v>
          </cell>
        </row>
        <row r="90">
          <cell r="G90" t="str">
            <v>PNS</v>
          </cell>
          <cell r="H90" t="str">
            <v>Pembina</v>
          </cell>
          <cell r="T90" t="str">
            <v>dr. Sp. Bedah Urologi (Konsultan) Urologi Onkologi</v>
          </cell>
        </row>
        <row r="91">
          <cell r="G91" t="str">
            <v>PPPK</v>
          </cell>
          <cell r="T91" t="str">
            <v>dr. Sp. Mikrobiologi Klinik</v>
          </cell>
        </row>
        <row r="92">
          <cell r="G92" t="str">
            <v>PNS</v>
          </cell>
          <cell r="H92" t="str">
            <v>Pembina</v>
          </cell>
          <cell r="T92" t="str">
            <v>dr. Umum</v>
          </cell>
        </row>
        <row r="93">
          <cell r="G93" t="str">
            <v>PNS</v>
          </cell>
          <cell r="H93" t="str">
            <v>Penata Muda Tk.I</v>
          </cell>
          <cell r="T93" t="str">
            <v>dr. Sp. Bedah Saraf</v>
          </cell>
        </row>
        <row r="94">
          <cell r="G94" t="str">
            <v>PNS</v>
          </cell>
          <cell r="H94" t="str">
            <v>Penata Tk.I</v>
          </cell>
          <cell r="T94" t="str">
            <v>dr. Sp. KFR</v>
          </cell>
        </row>
        <row r="95">
          <cell r="G95" t="str">
            <v>PNS</v>
          </cell>
          <cell r="H95" t="str">
            <v>Penata</v>
          </cell>
          <cell r="T95" t="str">
            <v>dr. Sp. Paru Subspesialis Imunologi dan Penyakit Paru Interstisial (Konsultan)</v>
          </cell>
        </row>
        <row r="97">
          <cell r="G97" t="str">
            <v>PNS</v>
          </cell>
          <cell r="H97" t="str">
            <v>Pembina Utama Madya</v>
          </cell>
          <cell r="T97" t="str">
            <v>dr. Sp. Anak</v>
          </cell>
        </row>
        <row r="98">
          <cell r="G98" t="str">
            <v>PNS</v>
          </cell>
          <cell r="H98" t="str">
            <v>Penata</v>
          </cell>
          <cell r="T98" t="str">
            <v>dr. Sp. Anak (Konsultan) Tumbuh Kembang Anak</v>
          </cell>
        </row>
        <row r="99">
          <cell r="G99" t="str">
            <v>PNS</v>
          </cell>
          <cell r="H99" t="str">
            <v>Penata Tk.I</v>
          </cell>
          <cell r="T99" t="str">
            <v>dr. Sp. Anak Subspesialis Emergensi dan Rawat Intensif Anak (Konsultan)</v>
          </cell>
        </row>
        <row r="100">
          <cell r="G100" t="str">
            <v>PNS</v>
          </cell>
          <cell r="H100" t="str">
            <v>Penata Tk.I</v>
          </cell>
          <cell r="T100" t="str">
            <v>dr. Sp. Anak (Konsultan) Kardiologi Anak</v>
          </cell>
        </row>
        <row r="101">
          <cell r="G101" t="str">
            <v>PPPK</v>
          </cell>
          <cell r="T101" t="str">
            <v>dr. Sp. Anak</v>
          </cell>
        </row>
        <row r="102">
          <cell r="G102" t="str">
            <v>PPPK</v>
          </cell>
          <cell r="T102" t="str">
            <v>dr. Sp. Anak</v>
          </cell>
        </row>
        <row r="104">
          <cell r="G104" t="str">
            <v>PNS</v>
          </cell>
          <cell r="H104" t="str">
            <v>Pembina Utama Muda</v>
          </cell>
          <cell r="T104" t="str">
            <v>dr. Sp. Anestesi Konsultan Intensif Care</v>
          </cell>
        </row>
        <row r="105">
          <cell r="G105" t="str">
            <v>PNS</v>
          </cell>
          <cell r="H105" t="str">
            <v>Penata Muda Tk.I</v>
          </cell>
          <cell r="T105" t="str">
            <v>dr. Sp. Anestesi</v>
          </cell>
        </row>
        <row r="106">
          <cell r="G106" t="str">
            <v>PPPK</v>
          </cell>
          <cell r="T106" t="str">
            <v>dr. Sp. Anestesi</v>
          </cell>
        </row>
        <row r="107">
          <cell r="G107" t="str">
            <v>CPNS</v>
          </cell>
          <cell r="H107" t="str">
            <v>Penata Muda Tk.I</v>
          </cell>
          <cell r="T107" t="str">
            <v>dr. Sp. Anestesi</v>
          </cell>
        </row>
        <row r="109">
          <cell r="G109" t="str">
            <v>PNS</v>
          </cell>
          <cell r="H109" t="str">
            <v>Pembina Tk.I</v>
          </cell>
          <cell r="T109" t="str">
            <v>dr. Sp. Bedah Onkologi (Konsultan)</v>
          </cell>
        </row>
        <row r="110">
          <cell r="G110" t="str">
            <v>PNS</v>
          </cell>
          <cell r="H110" t="str">
            <v>Pembina Utama Muda</v>
          </cell>
          <cell r="T110" t="str">
            <v>dr. Sp. Bedah Degestif (Konsultan)</v>
          </cell>
        </row>
        <row r="111">
          <cell r="G111" t="str">
            <v>PPPK</v>
          </cell>
          <cell r="T111" t="str">
            <v>Sp.B.Subsp.BVE(K)</v>
          </cell>
        </row>
        <row r="112">
          <cell r="G112" t="str">
            <v>PNS</v>
          </cell>
          <cell r="H112" t="str">
            <v>Penata Tk.I</v>
          </cell>
          <cell r="T112" t="str">
            <v>dr. Sp. Bedah</v>
          </cell>
          <cell r="U112">
            <v>2018</v>
          </cell>
        </row>
        <row r="113">
          <cell r="G113" t="str">
            <v>PNS</v>
          </cell>
          <cell r="H113" t="str">
            <v>Penata</v>
          </cell>
          <cell r="T113" t="str">
            <v>dr. Sp. Bedah Plastik</v>
          </cell>
        </row>
        <row r="114">
          <cell r="G114" t="str">
            <v>PNS</v>
          </cell>
          <cell r="H114" t="str">
            <v>Penata Muda Tk.I</v>
          </cell>
          <cell r="T114" t="str">
            <v>dr. Sp. Bedah</v>
          </cell>
          <cell r="U114">
            <v>2020</v>
          </cell>
        </row>
        <row r="115">
          <cell r="G115" t="str">
            <v>DOKTER TAMU</v>
          </cell>
          <cell r="T115" t="str">
            <v>dr. Sp. BTKV</v>
          </cell>
        </row>
        <row r="116">
          <cell r="G116" t="str">
            <v>CPNS</v>
          </cell>
          <cell r="H116" t="str">
            <v>Penata Muda Tk.I</v>
          </cell>
          <cell r="T116" t="str">
            <v>dr. Sp. Bedah</v>
          </cell>
        </row>
        <row r="117">
          <cell r="G117" t="str">
            <v>CPNS</v>
          </cell>
          <cell r="H117" t="str">
            <v>Penata Muda Tk.I</v>
          </cell>
          <cell r="T117" t="str">
            <v>dr. Sp. Bedah Plastik</v>
          </cell>
        </row>
        <row r="119">
          <cell r="G119" t="str">
            <v>PNS</v>
          </cell>
          <cell r="H119" t="str">
            <v>Penata</v>
          </cell>
          <cell r="T119" t="str">
            <v>dr. Sp. Bedah Saraf (Konsultan) Neurospine</v>
          </cell>
        </row>
        <row r="121">
          <cell r="G121" t="str">
            <v>PNS</v>
          </cell>
          <cell r="H121" t="str">
            <v>Pembina Utama Muda</v>
          </cell>
          <cell r="T121" t="str">
            <v>dr. Gigi</v>
          </cell>
        </row>
        <row r="122">
          <cell r="G122" t="str">
            <v>PNS</v>
          </cell>
          <cell r="H122" t="str">
            <v>Pembina Utama Muda</v>
          </cell>
          <cell r="T122" t="str">
            <v>drg. Sp. Bedah Mulut Subspesialis Bedah Trauma Maksilofasial dan Kelainan Tempora Mandibular Joint</v>
          </cell>
        </row>
        <row r="123">
          <cell r="G123" t="str">
            <v>PNS</v>
          </cell>
          <cell r="H123" t="str">
            <v>Penata Tk.I</v>
          </cell>
          <cell r="T123" t="str">
            <v>Dr. Gigi</v>
          </cell>
        </row>
        <row r="124">
          <cell r="G124" t="str">
            <v>PNS</v>
          </cell>
          <cell r="H124" t="str">
            <v>Penata</v>
          </cell>
          <cell r="T124" t="str">
            <v>drg. Sp. Prostodonti</v>
          </cell>
        </row>
        <row r="125">
          <cell r="G125" t="str">
            <v>PNS</v>
          </cell>
          <cell r="H125" t="str">
            <v>Penata</v>
          </cell>
          <cell r="T125" t="str">
            <v>drg. Sp. Ortodonsia</v>
          </cell>
        </row>
        <row r="126">
          <cell r="G126" t="str">
            <v>PPPK</v>
          </cell>
          <cell r="T126" t="str">
            <v>drg. Sp. Ortodonsia</v>
          </cell>
        </row>
        <row r="128">
          <cell r="G128" t="str">
            <v>PPPK</v>
          </cell>
          <cell r="T128" t="str">
            <v>dr. Sp. KFR</v>
          </cell>
        </row>
        <row r="130">
          <cell r="G130" t="str">
            <v>PNS</v>
          </cell>
          <cell r="H130" t="str">
            <v>Penata Muda Tk.I</v>
          </cell>
          <cell r="T130" t="str">
            <v>dr. Sp. JP Sub Spesialis Kardio Intervensi (Konsultan)</v>
          </cell>
        </row>
        <row r="131">
          <cell r="G131" t="str">
            <v>DOKTER TAMU</v>
          </cell>
          <cell r="T131" t="str">
            <v>dr. Sp. JP</v>
          </cell>
        </row>
        <row r="132">
          <cell r="G132" t="str">
            <v>CPNS</v>
          </cell>
          <cell r="H132" t="str">
            <v>Penata Muda Tk.I</v>
          </cell>
          <cell r="T132" t="str">
            <v>dr. Sp. JP</v>
          </cell>
        </row>
        <row r="134">
          <cell r="G134" t="str">
            <v>PNS</v>
          </cell>
          <cell r="H134" t="str">
            <v>Pembina</v>
          </cell>
          <cell r="T134" t="str">
            <v>dr. Sp. Kedokteran Jiwa</v>
          </cell>
        </row>
        <row r="136">
          <cell r="G136" t="str">
            <v>PNS</v>
          </cell>
          <cell r="H136" t="str">
            <v>Pembina Utama Muda</v>
          </cell>
          <cell r="T136" t="str">
            <v>dr. Sp. Kulit dan Kelamin</v>
          </cell>
        </row>
        <row r="138">
          <cell r="G138" t="str">
            <v>PNS</v>
          </cell>
          <cell r="H138" t="str">
            <v>Pembina Tk.I</v>
          </cell>
          <cell r="T138" t="str">
            <v>dr. Sp. Mata</v>
          </cell>
        </row>
        <row r="139">
          <cell r="G139" t="str">
            <v>PNS</v>
          </cell>
          <cell r="H139" t="str">
            <v>Pembina Tk.I</v>
          </cell>
          <cell r="T139" t="str">
            <v>dr. Sp. Mata</v>
          </cell>
        </row>
        <row r="140">
          <cell r="G140" t="str">
            <v>PPPK</v>
          </cell>
          <cell r="T140" t="str">
            <v>dr. Sp. Mata</v>
          </cell>
        </row>
        <row r="141">
          <cell r="G141" t="str">
            <v>CPNS</v>
          </cell>
          <cell r="H141" t="str">
            <v>Penata Muda Tk.I</v>
          </cell>
          <cell r="T141" t="str">
            <v>dr. Sp. Mata</v>
          </cell>
        </row>
        <row r="143">
          <cell r="G143" t="str">
            <v>PNS</v>
          </cell>
          <cell r="H143" t="str">
            <v>Penata</v>
          </cell>
          <cell r="T143" t="str">
            <v>dr. Sp. Obsgin (Konsultan) Sub Spesialis Onkologi Ginekologi</v>
          </cell>
        </row>
        <row r="144">
          <cell r="G144" t="str">
            <v>PNS</v>
          </cell>
          <cell r="H144" t="str">
            <v>Penata Muda Tk.I</v>
          </cell>
          <cell r="T144" t="str">
            <v>dr. Sp. Obsgin</v>
          </cell>
        </row>
        <row r="145">
          <cell r="G145" t="str">
            <v>PPPK</v>
          </cell>
          <cell r="T145" t="str">
            <v>dr. Sp. Obsgin</v>
          </cell>
        </row>
        <row r="146">
          <cell r="G146" t="str">
            <v>PNS</v>
          </cell>
          <cell r="H146" t="str">
            <v>Penata</v>
          </cell>
          <cell r="T146" t="str">
            <v>dr. Sp. Obsgin</v>
          </cell>
        </row>
        <row r="148">
          <cell r="G148" t="str">
            <v>PNS</v>
          </cell>
          <cell r="H148" t="str">
            <v>Penata Tk.I</v>
          </cell>
          <cell r="T148" t="str">
            <v>dr. Sp. Bedah Ortopedi (Konsultan) Sub Spesialis Spine</v>
          </cell>
        </row>
        <row r="149">
          <cell r="G149" t="str">
            <v>PNS</v>
          </cell>
          <cell r="H149" t="str">
            <v>Penata Tk.I</v>
          </cell>
          <cell r="T149" t="str">
            <v>dr. Sp. Bedah Ortopedi (Konsultan) Subspesialis Bahu dan Siku</v>
          </cell>
        </row>
        <row r="150">
          <cell r="G150" t="str">
            <v>PNS</v>
          </cell>
          <cell r="H150" t="str">
            <v>Penata</v>
          </cell>
          <cell r="T150" t="str">
            <v>dr. Sp. Bedah Ortopedi</v>
          </cell>
        </row>
        <row r="152">
          <cell r="G152" t="str">
            <v>PNS</v>
          </cell>
          <cell r="H152" t="str">
            <v>Penata Muda Tk.I</v>
          </cell>
          <cell r="T152" t="str">
            <v>dr. Sp. Paru Sub Spesialis Pulmonologi Intervensi dan Kegawatdaruratan Napas (Konsultan)</v>
          </cell>
        </row>
        <row r="153">
          <cell r="G153" t="str">
            <v>PNS</v>
          </cell>
          <cell r="H153" t="str">
            <v>Pembina</v>
          </cell>
          <cell r="T153" t="str">
            <v>dr. Sp. Paru Sub Spesialis  Onkologi Toraks (Konsultan)</v>
          </cell>
        </row>
        <row r="155">
          <cell r="G155" t="str">
            <v>PNS</v>
          </cell>
          <cell r="H155" t="str">
            <v>Pembina</v>
          </cell>
          <cell r="T155" t="str">
            <v>dr. Sp. Patologi Klinik</v>
          </cell>
        </row>
        <row r="156">
          <cell r="G156" t="str">
            <v>PPPK</v>
          </cell>
          <cell r="T156" t="str">
            <v>dr. Sp. Patologi Anatomi</v>
          </cell>
        </row>
        <row r="157">
          <cell r="G157" t="str">
            <v>PNS</v>
          </cell>
          <cell r="H157" t="str">
            <v>Penata</v>
          </cell>
          <cell r="T157" t="str">
            <v>dr. Sp. Patologi Klinik</v>
          </cell>
        </row>
        <row r="158">
          <cell r="G158" t="str">
            <v>CPNS</v>
          </cell>
          <cell r="H158" t="str">
            <v>Penata Muda Tk.I</v>
          </cell>
          <cell r="T158" t="str">
            <v>dr. Sp. Patologi Klinik</v>
          </cell>
        </row>
        <row r="160">
          <cell r="G160" t="str">
            <v>PNS</v>
          </cell>
          <cell r="H160" t="str">
            <v>Pembina Tk.I</v>
          </cell>
          <cell r="T160" t="str">
            <v>dr. Sp. Penyakit Dalam (Konsultan) Ginjal Hipertensi</v>
          </cell>
          <cell r="U160">
            <v>2020</v>
          </cell>
        </row>
        <row r="161">
          <cell r="G161" t="str">
            <v>PNS</v>
          </cell>
          <cell r="H161" t="str">
            <v>Pembina Utama Madya</v>
          </cell>
          <cell r="T161" t="str">
            <v>dr. Sp. Penyakit Dalam</v>
          </cell>
        </row>
        <row r="162">
          <cell r="G162" t="str">
            <v>PNS</v>
          </cell>
          <cell r="H162" t="str">
            <v>Penata Tk.I</v>
          </cell>
          <cell r="T162" t="str">
            <v>dr. Sp. Penyakit Dalam</v>
          </cell>
          <cell r="U162">
            <v>2016</v>
          </cell>
        </row>
        <row r="163">
          <cell r="G163" t="str">
            <v>PNS</v>
          </cell>
          <cell r="H163" t="str">
            <v>Penata Tk.I</v>
          </cell>
          <cell r="T163" t="str">
            <v>dr. Sp. Penyakit Dalam</v>
          </cell>
        </row>
        <row r="164">
          <cell r="G164" t="str">
            <v>PNS</v>
          </cell>
          <cell r="H164" t="str">
            <v>Pembina Utama Muda</v>
          </cell>
          <cell r="T164" t="str">
            <v>dr. Sp. Penyakit Dalam (Konsultan) Ginjal Hipertensi</v>
          </cell>
        </row>
        <row r="165">
          <cell r="G165" t="str">
            <v>PNS</v>
          </cell>
          <cell r="H165" t="str">
            <v>Pembina Utama Muda</v>
          </cell>
          <cell r="T165" t="str">
            <v>dr. Sp. Penyakit Dalam</v>
          </cell>
        </row>
        <row r="166">
          <cell r="G166" t="str">
            <v>PNS</v>
          </cell>
          <cell r="H166" t="str">
            <v>Penata</v>
          </cell>
          <cell r="T166" t="str">
            <v>dr. Sp. Gizi Klinis</v>
          </cell>
        </row>
        <row r="167">
          <cell r="G167" t="str">
            <v>PPPK</v>
          </cell>
          <cell r="T167" t="str">
            <v>dr. Sp. Penyakit Dalam</v>
          </cell>
        </row>
        <row r="168">
          <cell r="G168" t="str">
            <v>CPNS</v>
          </cell>
          <cell r="H168" t="str">
            <v>Penata Muda Tk.I</v>
          </cell>
          <cell r="T168" t="str">
            <v>dr. Sp. Penyakit Dalam</v>
          </cell>
        </row>
        <row r="170">
          <cell r="G170" t="str">
            <v>PNS</v>
          </cell>
          <cell r="H170" t="str">
            <v>Pembina Utama Muda</v>
          </cell>
          <cell r="T170" t="str">
            <v>dr. Sp. Radiologi</v>
          </cell>
        </row>
        <row r="171">
          <cell r="G171" t="str">
            <v>PNS</v>
          </cell>
          <cell r="H171" t="str">
            <v>Penata Tk.I</v>
          </cell>
          <cell r="T171" t="str">
            <v>dr. Sp. Radiologi</v>
          </cell>
        </row>
        <row r="172">
          <cell r="G172" t="str">
            <v>PNS</v>
          </cell>
          <cell r="H172" t="str">
            <v>Penata Muda Tk.I</v>
          </cell>
          <cell r="T172" t="str">
            <v>dr. Sp. Rad (K) Radiologi Intervensional</v>
          </cell>
        </row>
        <row r="173">
          <cell r="G173" t="str">
            <v>DOKTER TAMU</v>
          </cell>
          <cell r="T173" t="str">
            <v>dr. Sp. Radiologi</v>
          </cell>
        </row>
        <row r="175">
          <cell r="G175" t="str">
            <v>PNS</v>
          </cell>
          <cell r="H175" t="str">
            <v>Pembina Tk.I</v>
          </cell>
          <cell r="T175" t="str">
            <v>dr. Sp. Saraf</v>
          </cell>
        </row>
        <row r="176">
          <cell r="G176" t="str">
            <v>BLU TETAP</v>
          </cell>
          <cell r="T176" t="str">
            <v>dr. Sp. Saraf</v>
          </cell>
        </row>
        <row r="177">
          <cell r="G177" t="str">
            <v>PNS</v>
          </cell>
          <cell r="H177" t="str">
            <v>Penata Tk.I</v>
          </cell>
          <cell r="T177" t="str">
            <v>dr. Sp. Saraf (Konsultan) Neurointervensi</v>
          </cell>
        </row>
        <row r="178">
          <cell r="G178" t="str">
            <v>PNS</v>
          </cell>
          <cell r="H178" t="str">
            <v>Pembina</v>
          </cell>
          <cell r="T178" t="str">
            <v>dr. Sp. Saraf</v>
          </cell>
          <cell r="U178">
            <v>2019</v>
          </cell>
        </row>
        <row r="179">
          <cell r="G179" t="str">
            <v>CPNS</v>
          </cell>
          <cell r="H179" t="str">
            <v>Penata Muda Tk.I</v>
          </cell>
          <cell r="T179" t="str">
            <v>dr. Sp. Saraf</v>
          </cell>
        </row>
        <row r="181">
          <cell r="G181" t="str">
            <v>PNS</v>
          </cell>
          <cell r="H181" t="str">
            <v>Pembina Tk.I</v>
          </cell>
          <cell r="T181" t="str">
            <v>dr. Sp. THT</v>
          </cell>
        </row>
        <row r="182">
          <cell r="G182" t="str">
            <v>PNS</v>
          </cell>
          <cell r="H182" t="str">
            <v>Pembina Utama Muda</v>
          </cell>
          <cell r="T182" t="str">
            <v>dr. Sp. THT (Konsultan) Sub Spesialis Neurotologi</v>
          </cell>
        </row>
        <row r="183">
          <cell r="G183" t="str">
            <v>PNS</v>
          </cell>
          <cell r="H183" t="str">
            <v>Penata Tk.I</v>
          </cell>
          <cell r="T183" t="str">
            <v>dr. Sp. THT</v>
          </cell>
          <cell r="U183">
            <v>2015</v>
          </cell>
        </row>
        <row r="185">
          <cell r="G185" t="str">
            <v>PNS</v>
          </cell>
          <cell r="H185" t="str">
            <v>Pembina Tk.I</v>
          </cell>
          <cell r="T185" t="str">
            <v>dr. Sp. Bedah Urologi (Konsultan) Pediatrik</v>
          </cell>
        </row>
        <row r="186">
          <cell r="G186" t="str">
            <v>PNS</v>
          </cell>
          <cell r="H186" t="str">
            <v>Penata</v>
          </cell>
          <cell r="T186" t="str">
            <v>dr. Sp. Bedah Urologi</v>
          </cell>
          <cell r="U186">
            <v>2019</v>
          </cell>
        </row>
        <row r="188">
          <cell r="G188" t="str">
            <v>DOKTER TAMU</v>
          </cell>
          <cell r="T188" t="str">
            <v>dr. Sp. F (K), DFM</v>
          </cell>
        </row>
        <row r="190">
          <cell r="G190" t="str">
            <v>CPNS</v>
          </cell>
          <cell r="H190" t="str">
            <v>Penata Muda Tk.I</v>
          </cell>
          <cell r="T190" t="str">
            <v>dr. Sp. Mikrobiologi Klinik</v>
          </cell>
        </row>
        <row r="192">
          <cell r="G192" t="str">
            <v>PNS</v>
          </cell>
          <cell r="H192" t="str">
            <v>Pembina</v>
          </cell>
          <cell r="T192" t="str">
            <v>dr. Umum</v>
          </cell>
        </row>
        <row r="193">
          <cell r="G193" t="str">
            <v>PNS</v>
          </cell>
          <cell r="H193" t="str">
            <v>Pembina</v>
          </cell>
          <cell r="T193" t="str">
            <v>dr. Umum</v>
          </cell>
        </row>
        <row r="194">
          <cell r="G194" t="str">
            <v>PPPK</v>
          </cell>
          <cell r="T194" t="str">
            <v>dr. Umum</v>
          </cell>
        </row>
        <row r="195">
          <cell r="G195" t="str">
            <v>PPPK</v>
          </cell>
          <cell r="T195" t="str">
            <v>dr. Umum</v>
          </cell>
        </row>
        <row r="196">
          <cell r="G196" t="str">
            <v>PNS</v>
          </cell>
          <cell r="H196" t="str">
            <v>Penata</v>
          </cell>
          <cell r="T196" t="str">
            <v>dr. Umum</v>
          </cell>
        </row>
        <row r="197">
          <cell r="G197" t="str">
            <v>PNS</v>
          </cell>
          <cell r="H197" t="str">
            <v>Penata Tk.I</v>
          </cell>
          <cell r="T197" t="str">
            <v>dr. Umum</v>
          </cell>
        </row>
        <row r="198">
          <cell r="G198" t="str">
            <v>PNS</v>
          </cell>
          <cell r="H198" t="str">
            <v>Penata Muda Tk.I</v>
          </cell>
          <cell r="T198" t="str">
            <v>dr. Umum</v>
          </cell>
        </row>
        <row r="199">
          <cell r="G199" t="str">
            <v>PNS</v>
          </cell>
          <cell r="H199" t="str">
            <v>Penata Muda Tk.I</v>
          </cell>
          <cell r="T199" t="str">
            <v>dr. Umum</v>
          </cell>
        </row>
        <row r="200">
          <cell r="G200" t="str">
            <v>PNS</v>
          </cell>
          <cell r="H200" t="str">
            <v>Penata Muda Tk.I</v>
          </cell>
          <cell r="T200" t="str">
            <v>dr. Umum</v>
          </cell>
        </row>
        <row r="201">
          <cell r="G201" t="str">
            <v>BLU TETAP</v>
          </cell>
          <cell r="T201" t="str">
            <v>dr. Umum</v>
          </cell>
        </row>
        <row r="202">
          <cell r="G202" t="str">
            <v>PNS</v>
          </cell>
          <cell r="H202" t="str">
            <v>Penata</v>
          </cell>
          <cell r="T202" t="str">
            <v>dr. Umum</v>
          </cell>
        </row>
        <row r="203">
          <cell r="G203" t="str">
            <v>PNS</v>
          </cell>
          <cell r="H203" t="str">
            <v>Penata Tk.I</v>
          </cell>
          <cell r="T203" t="str">
            <v>dr. Umum</v>
          </cell>
        </row>
        <row r="204">
          <cell r="G204" t="str">
            <v>PNS</v>
          </cell>
          <cell r="H204" t="str">
            <v>Penata Tk.I</v>
          </cell>
          <cell r="T204" t="str">
            <v>dr. Umum</v>
          </cell>
        </row>
        <row r="205">
          <cell r="G205" t="str">
            <v>PNS</v>
          </cell>
          <cell r="H205" t="str">
            <v>Penata Tk.I</v>
          </cell>
          <cell r="T205" t="str">
            <v>dr. Umum</v>
          </cell>
        </row>
        <row r="206">
          <cell r="G206" t="str">
            <v>PNS</v>
          </cell>
          <cell r="H206" t="str">
            <v>Penata Muda Tk.I</v>
          </cell>
          <cell r="T206" t="str">
            <v>dr. Umum</v>
          </cell>
        </row>
        <row r="207">
          <cell r="G207" t="str">
            <v>PNS</v>
          </cell>
          <cell r="H207" t="str">
            <v>Penata Muda Tk.I</v>
          </cell>
          <cell r="T207" t="str">
            <v>dr. Umum</v>
          </cell>
        </row>
        <row r="208">
          <cell r="G208" t="str">
            <v>DOKTER TAMU</v>
          </cell>
          <cell r="T208" t="str">
            <v>dr. Umum</v>
          </cell>
        </row>
        <row r="209">
          <cell r="G209" t="str">
            <v>DOKTER TAMU</v>
          </cell>
          <cell r="T209" t="str">
            <v>dr. Umum</v>
          </cell>
        </row>
        <row r="210">
          <cell r="G210" t="str">
            <v>DOKTER TAMU</v>
          </cell>
          <cell r="T210" t="str">
            <v>dr. Umum</v>
          </cell>
        </row>
        <row r="211">
          <cell r="G211" t="str">
            <v>DOKTER TAMU</v>
          </cell>
          <cell r="T211" t="str">
            <v>dr. Umum</v>
          </cell>
        </row>
        <row r="212">
          <cell r="G212" t="str">
            <v>DOKTER TAMU</v>
          </cell>
          <cell r="T212" t="str">
            <v>dr. Umum</v>
          </cell>
        </row>
        <row r="213">
          <cell r="G213" t="str">
            <v>CPNS</v>
          </cell>
          <cell r="H213" t="str">
            <v>Penata Muda Tk.I</v>
          </cell>
          <cell r="T213" t="str">
            <v>dr. Umum</v>
          </cell>
        </row>
        <row r="214">
          <cell r="G214" t="str">
            <v>CPNS</v>
          </cell>
          <cell r="H214" t="str">
            <v>Penata Muda Tk.I</v>
          </cell>
          <cell r="T214" t="str">
            <v>dr. Umum</v>
          </cell>
        </row>
        <row r="215">
          <cell r="G215" t="str">
            <v>CPNS</v>
          </cell>
          <cell r="H215" t="str">
            <v>Penata Muda Tk.I</v>
          </cell>
          <cell r="T215" t="str">
            <v>dr. Umum</v>
          </cell>
        </row>
        <row r="216">
          <cell r="G216" t="str">
            <v>CPNS</v>
          </cell>
          <cell r="H216" t="str">
            <v>Penata Muda Tk.I</v>
          </cell>
          <cell r="T216" t="str">
            <v>dr. Umum</v>
          </cell>
        </row>
        <row r="217">
          <cell r="G217" t="str">
            <v>CPNS</v>
          </cell>
          <cell r="H217" t="str">
            <v>Penata Muda Tk.I</v>
          </cell>
          <cell r="T217" t="str">
            <v>dr. Umum</v>
          </cell>
        </row>
        <row r="218">
          <cell r="G218" t="str">
            <v>CPNS</v>
          </cell>
          <cell r="H218" t="str">
            <v>Penata Muda Tk.I</v>
          </cell>
          <cell r="T218" t="str">
            <v>dr. Umum</v>
          </cell>
        </row>
        <row r="219">
          <cell r="G219" t="str">
            <v>CPNS</v>
          </cell>
          <cell r="H219" t="str">
            <v>Penata Muda Tk.I</v>
          </cell>
          <cell r="T219" t="str">
            <v>dr. Umum</v>
          </cell>
        </row>
        <row r="222">
          <cell r="G222" t="str">
            <v>Status</v>
          </cell>
          <cell r="H222" t="str">
            <v>Pangkat</v>
          </cell>
          <cell r="T222" t="str">
            <v>Pendidikan</v>
          </cell>
          <cell r="U222" t="str">
            <v>Th Lulus Pendidikan</v>
          </cell>
        </row>
        <row r="223">
          <cell r="G223" t="str">
            <v>KONTRAK</v>
          </cell>
          <cell r="T223" t="str">
            <v>S1 Akuntansi</v>
          </cell>
        </row>
        <row r="224">
          <cell r="G224" t="str">
            <v>KONTRAK</v>
          </cell>
          <cell r="T224" t="str">
            <v>S1 Administrasi Publik</v>
          </cell>
        </row>
        <row r="225">
          <cell r="G225" t="str">
            <v>KONTRAK</v>
          </cell>
          <cell r="T225" t="str">
            <v>D3 Administrasi Publik</v>
          </cell>
        </row>
        <row r="230">
          <cell r="G230" t="str">
            <v>Status</v>
          </cell>
          <cell r="H230" t="str">
            <v>Pangkat</v>
          </cell>
          <cell r="T230" t="str">
            <v>Pendidikan</v>
          </cell>
          <cell r="U230" t="str">
            <v>Th Lulus Pendidikan</v>
          </cell>
        </row>
        <row r="231">
          <cell r="G231" t="str">
            <v>PNS</v>
          </cell>
          <cell r="H231" t="str">
            <v>Pembina</v>
          </cell>
          <cell r="T231" t="str">
            <v>dr. Gigi</v>
          </cell>
        </row>
        <row r="232">
          <cell r="G232" t="str">
            <v>PPPK</v>
          </cell>
          <cell r="T232" t="str">
            <v>D3 Komputer</v>
          </cell>
        </row>
        <row r="233">
          <cell r="G233" t="str">
            <v>PPPK</v>
          </cell>
          <cell r="T233" t="str">
            <v>S1 Kesehatan Masyarakat</v>
          </cell>
        </row>
        <row r="236">
          <cell r="G236" t="str">
            <v>PNS</v>
          </cell>
          <cell r="H236" t="str">
            <v>Pembina Tk.I</v>
          </cell>
          <cell r="T236" t="str">
            <v>Ners</v>
          </cell>
        </row>
        <row r="237">
          <cell r="G237" t="str">
            <v>PNS</v>
          </cell>
          <cell r="H237" t="str">
            <v>Pembina Tk.I</v>
          </cell>
          <cell r="T237" t="str">
            <v>Ners</v>
          </cell>
        </row>
        <row r="238">
          <cell r="G238" t="str">
            <v>BLU TETAP</v>
          </cell>
          <cell r="T238" t="str">
            <v>S1 Sistem Informasi</v>
          </cell>
        </row>
        <row r="239">
          <cell r="G239" t="str">
            <v>BLU TETAP</v>
          </cell>
          <cell r="T239" t="str">
            <v>S1 Sistem Informasi</v>
          </cell>
        </row>
        <row r="240">
          <cell r="G240" t="str">
            <v>PPPK</v>
          </cell>
          <cell r="T240" t="str">
            <v>Ners</v>
          </cell>
        </row>
        <row r="241">
          <cell r="G241" t="str">
            <v>PNS</v>
          </cell>
          <cell r="H241" t="str">
            <v>Pembina Tk.I</v>
          </cell>
          <cell r="T241" t="str">
            <v>Ners</v>
          </cell>
        </row>
        <row r="244">
          <cell r="G244" t="str">
            <v>Status</v>
          </cell>
          <cell r="H244" t="str">
            <v>Pangkat</v>
          </cell>
          <cell r="T244" t="str">
            <v>Pendidikan</v>
          </cell>
          <cell r="U244" t="str">
            <v>Th Lulus Pendidikan</v>
          </cell>
        </row>
        <row r="245">
          <cell r="G245" t="str">
            <v>PNS</v>
          </cell>
          <cell r="H245" t="str">
            <v>Pembina</v>
          </cell>
          <cell r="T245" t="str">
            <v>Ners</v>
          </cell>
        </row>
        <row r="246">
          <cell r="G246" t="str">
            <v>PNS</v>
          </cell>
          <cell r="H246" t="str">
            <v>Penata Muda</v>
          </cell>
          <cell r="T246" t="str">
            <v>D3 Radiodiagnostik</v>
          </cell>
        </row>
        <row r="247">
          <cell r="G247" t="str">
            <v>PPPK</v>
          </cell>
          <cell r="T247" t="str">
            <v>S1 SKM Adm &amp; Kebijakan</v>
          </cell>
        </row>
        <row r="248">
          <cell r="G248" t="str">
            <v>PPPK</v>
          </cell>
          <cell r="T248" t="str">
            <v>S1 Kesehatan Masyarakat</v>
          </cell>
        </row>
        <row r="249">
          <cell r="G249" t="str">
            <v>PPPK</v>
          </cell>
          <cell r="T249" t="str">
            <v>D4 Teknik Elektromedik</v>
          </cell>
        </row>
        <row r="252">
          <cell r="G252" t="str">
            <v>Status</v>
          </cell>
          <cell r="H252" t="str">
            <v>Pangkat</v>
          </cell>
          <cell r="T252" t="str">
            <v>Pendidikan</v>
          </cell>
          <cell r="U252" t="str">
            <v>Th Lulus Pendidikan</v>
          </cell>
        </row>
        <row r="256">
          <cell r="G256" t="str">
            <v>Status</v>
          </cell>
          <cell r="H256" t="str">
            <v>Pangkat</v>
          </cell>
          <cell r="T256" t="str">
            <v>Pendidikan</v>
          </cell>
          <cell r="U256" t="str">
            <v>Th Lulus Pendidikan</v>
          </cell>
        </row>
        <row r="257">
          <cell r="G257" t="str">
            <v>PNS</v>
          </cell>
          <cell r="H257" t="str">
            <v>Pembina</v>
          </cell>
          <cell r="T257" t="str">
            <v>S2 Magister Manajemen</v>
          </cell>
        </row>
        <row r="258">
          <cell r="G258" t="str">
            <v>PNS</v>
          </cell>
          <cell r="H258" t="str">
            <v>Pembina Utama Muda</v>
          </cell>
          <cell r="T258" t="str">
            <v>S2 Ilmu Kesehatan Masyarakat</v>
          </cell>
        </row>
        <row r="259">
          <cell r="G259" t="str">
            <v>PNS</v>
          </cell>
          <cell r="H259" t="str">
            <v>Pembina</v>
          </cell>
          <cell r="T259" t="str">
            <v>D4 Keperawatan</v>
          </cell>
        </row>
        <row r="260">
          <cell r="G260" t="str">
            <v>PNS</v>
          </cell>
          <cell r="H260" t="str">
            <v>Penata Tk.I</v>
          </cell>
          <cell r="T260" t="str">
            <v>AKPER</v>
          </cell>
        </row>
        <row r="261">
          <cell r="G261" t="str">
            <v>PNS</v>
          </cell>
          <cell r="H261" t="str">
            <v>Penata Tk.I</v>
          </cell>
          <cell r="T261" t="str">
            <v>D3 Keperawatan</v>
          </cell>
        </row>
        <row r="262">
          <cell r="G262" t="str">
            <v>PNS</v>
          </cell>
          <cell r="H262" t="str">
            <v>Pembina Tk.I</v>
          </cell>
          <cell r="T262" t="str">
            <v>Ners</v>
          </cell>
        </row>
        <row r="263">
          <cell r="G263" t="str">
            <v>PNS</v>
          </cell>
          <cell r="H263" t="str">
            <v>Pembina Tk.I</v>
          </cell>
          <cell r="T263" t="str">
            <v>Ners</v>
          </cell>
        </row>
        <row r="264">
          <cell r="G264" t="str">
            <v>PNS</v>
          </cell>
          <cell r="H264" t="str">
            <v>Penata Tk.I</v>
          </cell>
          <cell r="T264" t="str">
            <v>ATG</v>
          </cell>
        </row>
        <row r="265">
          <cell r="G265" t="str">
            <v>PNS</v>
          </cell>
          <cell r="H265" t="str">
            <v>Pembina Tk.I</v>
          </cell>
          <cell r="T265" t="str">
            <v>D4 Keperawatan</v>
          </cell>
        </row>
        <row r="266">
          <cell r="G266" t="str">
            <v>PNS</v>
          </cell>
          <cell r="H266" t="str">
            <v>Penata Tk.I</v>
          </cell>
          <cell r="T266" t="str">
            <v>D3 Keperawatan</v>
          </cell>
        </row>
        <row r="267">
          <cell r="G267" t="str">
            <v>PNS</v>
          </cell>
          <cell r="H267" t="str">
            <v>Penata Tk.I</v>
          </cell>
          <cell r="T267" t="str">
            <v>SPTG</v>
          </cell>
        </row>
        <row r="268">
          <cell r="G268" t="str">
            <v>PNS</v>
          </cell>
          <cell r="H268" t="str">
            <v>Pembina</v>
          </cell>
          <cell r="T268" t="str">
            <v>D4 Kebidanan</v>
          </cell>
        </row>
        <row r="269">
          <cell r="G269" t="str">
            <v>PNS</v>
          </cell>
          <cell r="H269" t="str">
            <v>Penata Tk.I</v>
          </cell>
          <cell r="T269" t="str">
            <v>AKPER</v>
          </cell>
        </row>
        <row r="270">
          <cell r="G270" t="str">
            <v>PNS</v>
          </cell>
          <cell r="H270" t="str">
            <v>Penata Tk.I</v>
          </cell>
          <cell r="T270" t="str">
            <v>D3 Keperawatan</v>
          </cell>
        </row>
        <row r="271">
          <cell r="G271" t="str">
            <v>PNS</v>
          </cell>
          <cell r="H271" t="str">
            <v>Penata Tk.I</v>
          </cell>
          <cell r="T271" t="str">
            <v>AKG</v>
          </cell>
        </row>
        <row r="272">
          <cell r="G272" t="str">
            <v>PNS</v>
          </cell>
          <cell r="H272" t="str">
            <v>Penata Tk.I</v>
          </cell>
          <cell r="T272" t="str">
            <v>D3 Keperawatan</v>
          </cell>
        </row>
        <row r="273">
          <cell r="G273" t="str">
            <v>PNS</v>
          </cell>
          <cell r="H273" t="str">
            <v>Penata Tk.I</v>
          </cell>
          <cell r="T273" t="str">
            <v>D3 Kesehatan Gigi</v>
          </cell>
        </row>
        <row r="274">
          <cell r="G274" t="str">
            <v>PNS</v>
          </cell>
          <cell r="H274" t="str">
            <v>Penata</v>
          </cell>
          <cell r="T274" t="str">
            <v>Ners</v>
          </cell>
        </row>
        <row r="275">
          <cell r="G275" t="str">
            <v>PNS</v>
          </cell>
          <cell r="H275" t="str">
            <v>Penata Tk.I</v>
          </cell>
          <cell r="T275" t="str">
            <v>Ners</v>
          </cell>
        </row>
        <row r="276">
          <cell r="G276" t="str">
            <v>PNS</v>
          </cell>
          <cell r="H276" t="str">
            <v>Penata Muda Tk.I</v>
          </cell>
          <cell r="T276" t="str">
            <v>Ners</v>
          </cell>
        </row>
        <row r="277">
          <cell r="G277" t="str">
            <v>PNS</v>
          </cell>
          <cell r="H277" t="str">
            <v>Penata Muda Tk.I</v>
          </cell>
          <cell r="T277" t="str">
            <v>Ners</v>
          </cell>
        </row>
        <row r="278">
          <cell r="G278" t="str">
            <v>PNS</v>
          </cell>
          <cell r="H278" t="str">
            <v>Penata Muda Tk.I</v>
          </cell>
          <cell r="T278" t="str">
            <v>Ners</v>
          </cell>
        </row>
        <row r="279">
          <cell r="G279" t="str">
            <v>PNS</v>
          </cell>
          <cell r="H279" t="str">
            <v>Penata Tk.I</v>
          </cell>
          <cell r="T279" t="str">
            <v>AKPER</v>
          </cell>
        </row>
        <row r="280">
          <cell r="G280" t="str">
            <v>PNS</v>
          </cell>
          <cell r="H280" t="str">
            <v>Penata</v>
          </cell>
          <cell r="T280" t="str">
            <v>D3 Keperawatan</v>
          </cell>
        </row>
        <row r="281">
          <cell r="G281" t="str">
            <v>PNS</v>
          </cell>
          <cell r="H281" t="str">
            <v>Penata Tk.I</v>
          </cell>
          <cell r="T281" t="str">
            <v>D3 Keperawatan</v>
          </cell>
        </row>
        <row r="282">
          <cell r="G282" t="str">
            <v>PNS</v>
          </cell>
          <cell r="H282" t="str">
            <v>Pembina Tk.I</v>
          </cell>
          <cell r="T282" t="str">
            <v>Ners</v>
          </cell>
        </row>
        <row r="283">
          <cell r="G283" t="str">
            <v>PNS</v>
          </cell>
          <cell r="H283" t="str">
            <v>Pembina Tk.I</v>
          </cell>
          <cell r="T283" t="str">
            <v>Ners</v>
          </cell>
          <cell r="U283">
            <v>2021</v>
          </cell>
        </row>
        <row r="284">
          <cell r="G284" t="str">
            <v>PPPK</v>
          </cell>
          <cell r="T284" t="str">
            <v>D3 Keperawatan</v>
          </cell>
        </row>
        <row r="285">
          <cell r="G285" t="str">
            <v>PPPK</v>
          </cell>
          <cell r="T285" t="str">
            <v>D3 Keperawatan</v>
          </cell>
        </row>
        <row r="286">
          <cell r="G286" t="str">
            <v>PPPK</v>
          </cell>
          <cell r="T286" t="str">
            <v>AKPER</v>
          </cell>
        </row>
        <row r="287">
          <cell r="G287" t="str">
            <v>PPPK</v>
          </cell>
          <cell r="T287" t="str">
            <v>D3 Kesehatan Gigi</v>
          </cell>
        </row>
        <row r="288">
          <cell r="G288" t="str">
            <v>PPPK</v>
          </cell>
          <cell r="T288" t="str">
            <v>D3 Kesehatan Gigi</v>
          </cell>
        </row>
        <row r="289">
          <cell r="G289" t="str">
            <v>PNS</v>
          </cell>
          <cell r="H289" t="str">
            <v>Pembina Tk.I</v>
          </cell>
          <cell r="T289" t="str">
            <v>AKPER</v>
          </cell>
        </row>
        <row r="290">
          <cell r="G290" t="str">
            <v>PNS</v>
          </cell>
          <cell r="H290" t="str">
            <v>Pembina Tk.I</v>
          </cell>
          <cell r="T290" t="str">
            <v>D4 Kebidanan</v>
          </cell>
        </row>
        <row r="291">
          <cell r="G291" t="str">
            <v>PNS</v>
          </cell>
          <cell r="H291" t="str">
            <v>Penata</v>
          </cell>
          <cell r="T291" t="str">
            <v>D3 Keperawatan</v>
          </cell>
        </row>
        <row r="292">
          <cell r="G292" t="str">
            <v>PNS</v>
          </cell>
          <cell r="H292" t="str">
            <v>Penata Muda Tk.I</v>
          </cell>
          <cell r="T292" t="str">
            <v>Ners</v>
          </cell>
        </row>
        <row r="293">
          <cell r="G293" t="str">
            <v>PNS</v>
          </cell>
          <cell r="H293" t="str">
            <v>Penata Muda</v>
          </cell>
          <cell r="T293" t="str">
            <v>SMA</v>
          </cell>
        </row>
        <row r="294">
          <cell r="G294" t="str">
            <v>PNS</v>
          </cell>
          <cell r="H294" t="str">
            <v>Pembina Tk.I</v>
          </cell>
          <cell r="T294" t="str">
            <v>Ners</v>
          </cell>
        </row>
        <row r="295">
          <cell r="G295" t="str">
            <v>PNS</v>
          </cell>
          <cell r="H295" t="str">
            <v>Pembina Tk.I</v>
          </cell>
          <cell r="T295" t="str">
            <v>D4 Kebidanan</v>
          </cell>
        </row>
        <row r="296">
          <cell r="G296" t="str">
            <v>KONTRAK</v>
          </cell>
          <cell r="T296" t="str">
            <v>D3 Keperawatan</v>
          </cell>
          <cell r="U296">
            <v>2014</v>
          </cell>
        </row>
        <row r="297">
          <cell r="G297" t="str">
            <v>KONTRAK</v>
          </cell>
          <cell r="T297" t="str">
            <v>S1 Akuntansi</v>
          </cell>
        </row>
        <row r="298">
          <cell r="G298" t="str">
            <v>KONTRAK</v>
          </cell>
          <cell r="T298" t="str">
            <v>D3 Sistem Informasi</v>
          </cell>
        </row>
        <row r="299">
          <cell r="G299" t="str">
            <v>PPPK</v>
          </cell>
          <cell r="T299" t="str">
            <v>D3 Keperawatan</v>
          </cell>
        </row>
        <row r="300">
          <cell r="G300" t="str">
            <v>PNS</v>
          </cell>
          <cell r="H300" t="str">
            <v>Penata Muda Tk.I</v>
          </cell>
          <cell r="T300" t="str">
            <v>Ners</v>
          </cell>
        </row>
        <row r="301">
          <cell r="G301" t="str">
            <v>PPPK</v>
          </cell>
          <cell r="T301" t="str">
            <v>D3 Keperawatan</v>
          </cell>
        </row>
        <row r="302">
          <cell r="G302" t="str">
            <v>PPPK</v>
          </cell>
          <cell r="T302" t="str">
            <v>D3 Keperawatan</v>
          </cell>
        </row>
        <row r="303">
          <cell r="G303" t="str">
            <v>CPNS</v>
          </cell>
          <cell r="H303" t="str">
            <v>Penata Muda</v>
          </cell>
          <cell r="T303" t="str">
            <v>S1 Kesejahteraan Sosial</v>
          </cell>
        </row>
        <row r="304">
          <cell r="G304" t="str">
            <v>CPNS</v>
          </cell>
          <cell r="H304" t="str">
            <v>Penata Muda Tk.I</v>
          </cell>
          <cell r="T304" t="str">
            <v>Ners</v>
          </cell>
        </row>
        <row r="305">
          <cell r="G305" t="str">
            <v>CPNS</v>
          </cell>
          <cell r="H305" t="str">
            <v>Penata Muda Tk.I</v>
          </cell>
          <cell r="T305" t="str">
            <v>Ners</v>
          </cell>
        </row>
        <row r="306">
          <cell r="G306" t="str">
            <v>CPNS</v>
          </cell>
          <cell r="H306" t="str">
            <v>Penata Muda Tk.I</v>
          </cell>
          <cell r="T306" t="str">
            <v>Ners</v>
          </cell>
        </row>
        <row r="309">
          <cell r="G309" t="str">
            <v>Status</v>
          </cell>
          <cell r="H309" t="str">
            <v>Pangkat</v>
          </cell>
          <cell r="T309" t="str">
            <v>Pendidikan</v>
          </cell>
          <cell r="U309" t="str">
            <v>Th Lulus Pendidikan</v>
          </cell>
        </row>
        <row r="310">
          <cell r="G310" t="str">
            <v>KONTRAK</v>
          </cell>
          <cell r="T310" t="str">
            <v>S1 Ekonomi Manajemen</v>
          </cell>
        </row>
        <row r="312">
          <cell r="G312" t="str">
            <v>PNS</v>
          </cell>
          <cell r="H312" t="str">
            <v>Pembina Tk.I</v>
          </cell>
          <cell r="T312" t="str">
            <v>Ners</v>
          </cell>
        </row>
        <row r="313">
          <cell r="G313" t="str">
            <v>PNS</v>
          </cell>
          <cell r="H313" t="str">
            <v>Penata Tk.I</v>
          </cell>
          <cell r="T313" t="str">
            <v>Ners</v>
          </cell>
          <cell r="U313">
            <v>2021</v>
          </cell>
        </row>
        <row r="314">
          <cell r="G314" t="str">
            <v>PNS</v>
          </cell>
          <cell r="H314" t="str">
            <v>Penata Muda Tk.I</v>
          </cell>
          <cell r="T314" t="str">
            <v>Ners</v>
          </cell>
          <cell r="U314">
            <v>2020</v>
          </cell>
        </row>
        <row r="315">
          <cell r="G315" t="str">
            <v>PPPK</v>
          </cell>
          <cell r="T315" t="str">
            <v>AKPER</v>
          </cell>
        </row>
        <row r="316">
          <cell r="G316" t="str">
            <v>PNS</v>
          </cell>
          <cell r="H316" t="str">
            <v>Penata Muda Tk.I</v>
          </cell>
          <cell r="T316" t="str">
            <v>Ners</v>
          </cell>
          <cell r="U316">
            <v>2018</v>
          </cell>
        </row>
        <row r="317">
          <cell r="G317" t="str">
            <v>PPPK</v>
          </cell>
          <cell r="T317" t="str">
            <v>Ners</v>
          </cell>
        </row>
        <row r="318">
          <cell r="G318" t="str">
            <v>KONTRAK</v>
          </cell>
          <cell r="T318" t="str">
            <v>Ners</v>
          </cell>
        </row>
        <row r="319">
          <cell r="G319" t="str">
            <v>KONTRAK</v>
          </cell>
          <cell r="T319" t="str">
            <v>Ners</v>
          </cell>
        </row>
        <row r="320">
          <cell r="G320" t="str">
            <v>PPPK</v>
          </cell>
          <cell r="T320" t="str">
            <v>Ners</v>
          </cell>
        </row>
        <row r="321">
          <cell r="G321" t="str">
            <v>PPPK</v>
          </cell>
          <cell r="T321" t="str">
            <v>Ners</v>
          </cell>
        </row>
        <row r="322">
          <cell r="G322" t="str">
            <v>CPNS</v>
          </cell>
          <cell r="H322" t="str">
            <v>Penata Muda Tk.I</v>
          </cell>
          <cell r="T322" t="str">
            <v>Ners</v>
          </cell>
        </row>
        <row r="325">
          <cell r="G325" t="str">
            <v>PNS</v>
          </cell>
          <cell r="H325" t="str">
            <v>Pembina</v>
          </cell>
          <cell r="T325" t="str">
            <v>Ners</v>
          </cell>
          <cell r="U325">
            <v>2021</v>
          </cell>
        </row>
        <row r="326">
          <cell r="G326" t="str">
            <v>PNS</v>
          </cell>
          <cell r="H326" t="str">
            <v>Pembina Tk.I</v>
          </cell>
          <cell r="T326" t="str">
            <v>Ners</v>
          </cell>
        </row>
        <row r="327">
          <cell r="G327" t="str">
            <v>PNS</v>
          </cell>
          <cell r="H327" t="str">
            <v>Pembina Tk.I</v>
          </cell>
          <cell r="T327" t="str">
            <v>Ners</v>
          </cell>
        </row>
        <row r="328">
          <cell r="G328" t="str">
            <v>PNS</v>
          </cell>
          <cell r="H328" t="str">
            <v>Penata Tk.I</v>
          </cell>
          <cell r="T328" t="str">
            <v>D3 Keperawatan</v>
          </cell>
        </row>
        <row r="329">
          <cell r="G329" t="str">
            <v>PNS</v>
          </cell>
          <cell r="H329" t="str">
            <v>Penata Tk.I</v>
          </cell>
          <cell r="T329" t="str">
            <v>AKPER</v>
          </cell>
        </row>
        <row r="330">
          <cell r="G330" t="str">
            <v>PNS</v>
          </cell>
          <cell r="H330" t="str">
            <v>Penata</v>
          </cell>
          <cell r="T330" t="str">
            <v>D3 Keperawatan</v>
          </cell>
        </row>
        <row r="331">
          <cell r="G331" t="str">
            <v>PNS</v>
          </cell>
          <cell r="H331" t="str">
            <v>Penata Muda Tk.I</v>
          </cell>
          <cell r="T331" t="str">
            <v>SMA</v>
          </cell>
        </row>
        <row r="332">
          <cell r="G332" t="str">
            <v>PNS</v>
          </cell>
          <cell r="H332" t="str">
            <v>Penata Muda Tk.I</v>
          </cell>
          <cell r="T332" t="str">
            <v>Ners</v>
          </cell>
          <cell r="U332">
            <v>2019</v>
          </cell>
        </row>
        <row r="333">
          <cell r="G333" t="str">
            <v>PPPK</v>
          </cell>
          <cell r="T333" t="str">
            <v>Ners</v>
          </cell>
        </row>
        <row r="334">
          <cell r="G334" t="str">
            <v>PNS</v>
          </cell>
          <cell r="H334" t="str">
            <v>Penata Tk.I</v>
          </cell>
          <cell r="T334" t="str">
            <v>AKPER</v>
          </cell>
        </row>
        <row r="335">
          <cell r="G335" t="str">
            <v>PPPK</v>
          </cell>
          <cell r="T335" t="str">
            <v>D3 Keperawatan</v>
          </cell>
        </row>
        <row r="336">
          <cell r="G336" t="str">
            <v>PNS</v>
          </cell>
          <cell r="H336" t="str">
            <v>Pembina</v>
          </cell>
          <cell r="T336" t="str">
            <v>M. Kep</v>
          </cell>
        </row>
        <row r="337">
          <cell r="G337" t="str">
            <v>CPNS</v>
          </cell>
          <cell r="H337" t="str">
            <v>Penata Muda Tk.I</v>
          </cell>
          <cell r="T337" t="str">
            <v>Ners</v>
          </cell>
        </row>
        <row r="338">
          <cell r="G338" t="str">
            <v>CPNS</v>
          </cell>
          <cell r="H338" t="str">
            <v>Penata Muda Tk.I</v>
          </cell>
          <cell r="T338" t="str">
            <v>Ners</v>
          </cell>
        </row>
        <row r="341">
          <cell r="G341" t="str">
            <v>PNS</v>
          </cell>
          <cell r="H341" t="str">
            <v>Pembina Tk.I</v>
          </cell>
          <cell r="T341" t="str">
            <v>Ners</v>
          </cell>
        </row>
        <row r="342">
          <cell r="G342" t="str">
            <v>PNS</v>
          </cell>
          <cell r="H342" t="str">
            <v>Penata Muda Tk.I</v>
          </cell>
          <cell r="T342" t="str">
            <v>Ners</v>
          </cell>
          <cell r="U342">
            <v>2020</v>
          </cell>
        </row>
        <row r="343">
          <cell r="G343" t="str">
            <v>PNS</v>
          </cell>
          <cell r="H343" t="str">
            <v>Pembina Tk.I</v>
          </cell>
          <cell r="T343" t="str">
            <v>Ners</v>
          </cell>
        </row>
        <row r="344">
          <cell r="G344" t="str">
            <v>PNS</v>
          </cell>
          <cell r="H344" t="str">
            <v>Pembina Tk.I</v>
          </cell>
          <cell r="T344" t="str">
            <v>Ners</v>
          </cell>
        </row>
        <row r="345">
          <cell r="G345" t="str">
            <v>PPPK</v>
          </cell>
          <cell r="T345" t="str">
            <v>Ners</v>
          </cell>
        </row>
        <row r="346">
          <cell r="G346" t="str">
            <v>PNS</v>
          </cell>
          <cell r="H346" t="str">
            <v>Penata</v>
          </cell>
          <cell r="T346" t="str">
            <v>D3 Keperawatan</v>
          </cell>
        </row>
        <row r="347">
          <cell r="G347" t="str">
            <v>PPPK</v>
          </cell>
          <cell r="T347" t="str">
            <v>D3 Keperawatan</v>
          </cell>
        </row>
        <row r="348">
          <cell r="G348" t="str">
            <v>BLU TETAP</v>
          </cell>
          <cell r="T348" t="str">
            <v>S1 Akuntansi</v>
          </cell>
        </row>
        <row r="349">
          <cell r="G349" t="str">
            <v>KONTRAK</v>
          </cell>
          <cell r="T349" t="str">
            <v>Ners</v>
          </cell>
        </row>
        <row r="350">
          <cell r="G350" t="str">
            <v>PNS</v>
          </cell>
          <cell r="H350" t="str">
            <v>Penata Tk.I</v>
          </cell>
          <cell r="T350" t="str">
            <v>D3 Keperawatan</v>
          </cell>
        </row>
        <row r="351">
          <cell r="G351" t="str">
            <v>CPNS</v>
          </cell>
          <cell r="H351" t="str">
            <v>Penata Muda Tk.I</v>
          </cell>
          <cell r="T351" t="str">
            <v>Ners</v>
          </cell>
        </row>
        <row r="352">
          <cell r="G352" t="str">
            <v>CPNS</v>
          </cell>
          <cell r="H352" t="str">
            <v>Penata Muda Tk.I</v>
          </cell>
          <cell r="T352" t="str">
            <v>Ners</v>
          </cell>
        </row>
        <row r="353">
          <cell r="G353" t="str">
            <v>CPNS</v>
          </cell>
          <cell r="H353" t="str">
            <v>Pengatur</v>
          </cell>
          <cell r="T353" t="str">
            <v>D3 Keperawatan</v>
          </cell>
        </row>
        <row r="356">
          <cell r="G356" t="str">
            <v>PPPK</v>
          </cell>
          <cell r="T356" t="str">
            <v>AKPER</v>
          </cell>
        </row>
        <row r="357">
          <cell r="G357" t="str">
            <v>PNS</v>
          </cell>
          <cell r="H357" t="str">
            <v>Penata Muda Tk.I</v>
          </cell>
          <cell r="T357" t="str">
            <v>D3 Keperawatan</v>
          </cell>
        </row>
        <row r="358">
          <cell r="G358" t="str">
            <v>PNS</v>
          </cell>
          <cell r="H358" t="str">
            <v>Pembina Tk.I</v>
          </cell>
          <cell r="T358" t="str">
            <v>Ners</v>
          </cell>
        </row>
        <row r="359">
          <cell r="G359" t="str">
            <v>PNS</v>
          </cell>
          <cell r="H359" t="str">
            <v>Penata Tk.I</v>
          </cell>
          <cell r="T359" t="str">
            <v>D3 Keperawatan</v>
          </cell>
        </row>
        <row r="360">
          <cell r="G360" t="str">
            <v>PNS</v>
          </cell>
          <cell r="H360" t="str">
            <v>Penata Muda Tk.I</v>
          </cell>
          <cell r="T360" t="str">
            <v>Ners</v>
          </cell>
          <cell r="U360">
            <v>2020</v>
          </cell>
        </row>
        <row r="361">
          <cell r="G361" t="str">
            <v>PPPK</v>
          </cell>
          <cell r="T361" t="str">
            <v>Ners</v>
          </cell>
        </row>
        <row r="362">
          <cell r="G362" t="str">
            <v>PPPK</v>
          </cell>
          <cell r="T362" t="str">
            <v>D3 Keperawatan</v>
          </cell>
        </row>
        <row r="363">
          <cell r="G363" t="str">
            <v>PPPK</v>
          </cell>
          <cell r="T363" t="str">
            <v>Ners</v>
          </cell>
        </row>
        <row r="364">
          <cell r="G364" t="str">
            <v>KONTRAK</v>
          </cell>
          <cell r="T364" t="str">
            <v>Ners</v>
          </cell>
        </row>
        <row r="365">
          <cell r="G365" t="str">
            <v>PNS</v>
          </cell>
          <cell r="H365" t="str">
            <v>Penata Muda Tk.I</v>
          </cell>
          <cell r="T365" t="str">
            <v>Ners</v>
          </cell>
          <cell r="U365">
            <v>2018</v>
          </cell>
        </row>
        <row r="366">
          <cell r="G366" t="str">
            <v>CPNS</v>
          </cell>
          <cell r="H366" t="str">
            <v>Penata Muda Tk.I</v>
          </cell>
          <cell r="T366" t="str">
            <v>Ners</v>
          </cell>
        </row>
        <row r="367">
          <cell r="G367" t="str">
            <v>CPNS</v>
          </cell>
          <cell r="H367" t="str">
            <v>Penata Muda Tk.I</v>
          </cell>
          <cell r="T367" t="str">
            <v>Ners</v>
          </cell>
        </row>
        <row r="373">
          <cell r="G373" t="str">
            <v>PNS</v>
          </cell>
          <cell r="H373" t="str">
            <v>Pembina Tk.I</v>
          </cell>
          <cell r="T373" t="str">
            <v>Ners</v>
          </cell>
        </row>
        <row r="374">
          <cell r="G374" t="str">
            <v>PNS</v>
          </cell>
          <cell r="H374" t="str">
            <v>Penata Tk.I</v>
          </cell>
          <cell r="T374" t="str">
            <v>D3 Keperawatan</v>
          </cell>
        </row>
        <row r="375">
          <cell r="G375" t="str">
            <v>PPPK</v>
          </cell>
          <cell r="T375" t="str">
            <v>Ners</v>
          </cell>
        </row>
        <row r="376">
          <cell r="G376" t="str">
            <v>PPPK</v>
          </cell>
          <cell r="T376" t="str">
            <v>Ners</v>
          </cell>
        </row>
        <row r="377">
          <cell r="G377" t="str">
            <v>PPPK</v>
          </cell>
          <cell r="T377" t="str">
            <v>D3 Keperawatan</v>
          </cell>
        </row>
        <row r="378">
          <cell r="G378" t="str">
            <v>PNS</v>
          </cell>
          <cell r="H378" t="str">
            <v>Pembina</v>
          </cell>
          <cell r="T378" t="str">
            <v>AKPER</v>
          </cell>
        </row>
        <row r="379">
          <cell r="G379" t="str">
            <v>CPNS</v>
          </cell>
          <cell r="H379" t="str">
            <v>Penata Muda Tk.I</v>
          </cell>
          <cell r="T379" t="str">
            <v>Ners</v>
          </cell>
        </row>
        <row r="380">
          <cell r="G380" t="str">
            <v>CPNS</v>
          </cell>
          <cell r="H380" t="str">
            <v>Penata Muda Tk.I</v>
          </cell>
          <cell r="T380" t="str">
            <v>Ners</v>
          </cell>
        </row>
        <row r="381">
          <cell r="G381" t="str">
            <v>KONTRAK</v>
          </cell>
          <cell r="T381" t="str">
            <v>D3 Administrasi Publik</v>
          </cell>
        </row>
        <row r="384">
          <cell r="G384" t="str">
            <v>PNS</v>
          </cell>
          <cell r="H384" t="str">
            <v>Pembina Tk.I</v>
          </cell>
          <cell r="T384" t="str">
            <v>Ners</v>
          </cell>
        </row>
        <row r="385">
          <cell r="G385" t="str">
            <v>PNS</v>
          </cell>
          <cell r="H385" t="str">
            <v>Penata Tk.I</v>
          </cell>
          <cell r="T385" t="str">
            <v>Ners</v>
          </cell>
        </row>
        <row r="386">
          <cell r="G386" t="str">
            <v>PPPK</v>
          </cell>
          <cell r="T386" t="str">
            <v>Ners</v>
          </cell>
        </row>
        <row r="387">
          <cell r="G387" t="str">
            <v>PPPK</v>
          </cell>
          <cell r="T387" t="str">
            <v>D3 Keperawatan</v>
          </cell>
        </row>
        <row r="388">
          <cell r="G388" t="str">
            <v>PNS</v>
          </cell>
          <cell r="H388" t="str">
            <v>Penata Tk.I</v>
          </cell>
          <cell r="T388" t="str">
            <v>Ners</v>
          </cell>
          <cell r="U388">
            <v>2021</v>
          </cell>
        </row>
        <row r="389">
          <cell r="G389" t="str">
            <v>PPPK</v>
          </cell>
          <cell r="T389" t="str">
            <v>D3 Keperawatan</v>
          </cell>
        </row>
        <row r="390">
          <cell r="G390" t="str">
            <v>KONTRAK</v>
          </cell>
          <cell r="T390" t="str">
            <v>Ners</v>
          </cell>
          <cell r="U390">
            <v>2023</v>
          </cell>
        </row>
        <row r="391">
          <cell r="G391" t="str">
            <v>KONTRAK</v>
          </cell>
          <cell r="T391" t="str">
            <v>D3 Keperawatan</v>
          </cell>
          <cell r="U391">
            <v>2016</v>
          </cell>
        </row>
        <row r="392">
          <cell r="G392" t="str">
            <v>KONTRAK</v>
          </cell>
          <cell r="T392" t="str">
            <v>Ners</v>
          </cell>
          <cell r="U392">
            <v>2021</v>
          </cell>
        </row>
        <row r="393">
          <cell r="G393" t="str">
            <v>KONTRAK</v>
          </cell>
          <cell r="T393" t="str">
            <v>Ners</v>
          </cell>
        </row>
        <row r="394">
          <cell r="G394" t="str">
            <v>PNS</v>
          </cell>
          <cell r="H394" t="str">
            <v>Pembina Tk.I</v>
          </cell>
          <cell r="T394" t="str">
            <v>Ners</v>
          </cell>
        </row>
        <row r="395">
          <cell r="G395" t="str">
            <v>PNS</v>
          </cell>
          <cell r="H395" t="str">
            <v>Penata Muda</v>
          </cell>
          <cell r="T395" t="str">
            <v>D3 Keperawatan</v>
          </cell>
        </row>
        <row r="396">
          <cell r="G396" t="str">
            <v>PPPK</v>
          </cell>
          <cell r="T396" t="str">
            <v>D3 Keperawatan</v>
          </cell>
        </row>
        <row r="397">
          <cell r="G397" t="str">
            <v>PNS</v>
          </cell>
          <cell r="H397" t="str">
            <v>Penata Muda Tk.I</v>
          </cell>
          <cell r="T397" t="str">
            <v>Ners</v>
          </cell>
          <cell r="U397">
            <v>2017</v>
          </cell>
        </row>
        <row r="398">
          <cell r="G398" t="str">
            <v>PPPK</v>
          </cell>
          <cell r="T398" t="str">
            <v>D3 Keperawatan</v>
          </cell>
        </row>
        <row r="399">
          <cell r="G399" t="str">
            <v>CPNS</v>
          </cell>
          <cell r="H399" t="str">
            <v>Penata Muda Tk.I</v>
          </cell>
          <cell r="T399" t="str">
            <v>Ners</v>
          </cell>
        </row>
        <row r="400">
          <cell r="G400" t="str">
            <v>CPNS</v>
          </cell>
          <cell r="H400" t="str">
            <v>Penata Muda Tk.I</v>
          </cell>
          <cell r="T400" t="str">
            <v>Ners</v>
          </cell>
        </row>
        <row r="401">
          <cell r="G401" t="str">
            <v>CPNS</v>
          </cell>
          <cell r="H401" t="str">
            <v>Penata Muda Tk.I</v>
          </cell>
          <cell r="T401" t="str">
            <v>Ners</v>
          </cell>
        </row>
        <row r="404">
          <cell r="G404" t="str">
            <v>PNS</v>
          </cell>
          <cell r="H404" t="str">
            <v>Pembina Utama Muda</v>
          </cell>
          <cell r="T404" t="str">
            <v>Ners</v>
          </cell>
        </row>
        <row r="405">
          <cell r="G405" t="str">
            <v>PNS</v>
          </cell>
          <cell r="H405" t="str">
            <v>Pembina Tk.I</v>
          </cell>
          <cell r="T405" t="str">
            <v>Ners</v>
          </cell>
        </row>
        <row r="406">
          <cell r="G406" t="str">
            <v>PNS</v>
          </cell>
          <cell r="H406" t="str">
            <v>Penata</v>
          </cell>
          <cell r="T406" t="str">
            <v>D3 Keperawatan</v>
          </cell>
        </row>
        <row r="407">
          <cell r="G407" t="str">
            <v>PNS</v>
          </cell>
          <cell r="H407" t="str">
            <v>Penata Muda Tk.I</v>
          </cell>
          <cell r="T407" t="str">
            <v>D3 Keperawatan</v>
          </cell>
        </row>
        <row r="408">
          <cell r="G408" t="str">
            <v>PNS</v>
          </cell>
          <cell r="H408" t="str">
            <v>Penata Muda Tk.I</v>
          </cell>
          <cell r="T408" t="str">
            <v>Ners</v>
          </cell>
          <cell r="U408">
            <v>2020</v>
          </cell>
        </row>
        <row r="409">
          <cell r="G409" t="str">
            <v>PNS</v>
          </cell>
          <cell r="H409" t="str">
            <v>Penata Muda Tk.I</v>
          </cell>
          <cell r="T409" t="str">
            <v>Ners</v>
          </cell>
          <cell r="U409">
            <v>2015</v>
          </cell>
        </row>
        <row r="410">
          <cell r="G410" t="str">
            <v>PNS</v>
          </cell>
          <cell r="H410" t="str">
            <v>Penata Tk.I</v>
          </cell>
          <cell r="T410" t="str">
            <v>AKPER</v>
          </cell>
        </row>
        <row r="411">
          <cell r="G411" t="str">
            <v>PNS</v>
          </cell>
          <cell r="H411" t="str">
            <v>Penata Tk.I</v>
          </cell>
          <cell r="T411" t="str">
            <v>D3 Keperawatan</v>
          </cell>
        </row>
        <row r="412">
          <cell r="G412" t="str">
            <v>PNS</v>
          </cell>
          <cell r="H412" t="str">
            <v>Penata Tk.I</v>
          </cell>
          <cell r="T412" t="str">
            <v>Ners</v>
          </cell>
        </row>
        <row r="413">
          <cell r="G413" t="str">
            <v>PNS</v>
          </cell>
          <cell r="H413" t="str">
            <v>Penata</v>
          </cell>
          <cell r="T413" t="str">
            <v>D3 Keperawatan</v>
          </cell>
          <cell r="U413">
            <v>2011</v>
          </cell>
        </row>
        <row r="414">
          <cell r="G414" t="str">
            <v>PNS</v>
          </cell>
          <cell r="H414" t="str">
            <v>Penata Tk.I</v>
          </cell>
          <cell r="T414" t="str">
            <v>D3 Keperawatan</v>
          </cell>
        </row>
        <row r="415">
          <cell r="G415" t="str">
            <v>PNS</v>
          </cell>
          <cell r="H415" t="str">
            <v>Penata</v>
          </cell>
          <cell r="T415" t="str">
            <v>Ners</v>
          </cell>
        </row>
        <row r="416">
          <cell r="G416" t="str">
            <v>PNS</v>
          </cell>
          <cell r="H416" t="str">
            <v>Penata</v>
          </cell>
          <cell r="T416" t="str">
            <v>Ners</v>
          </cell>
          <cell r="U416">
            <v>2021</v>
          </cell>
        </row>
        <row r="417">
          <cell r="G417" t="str">
            <v>PNS</v>
          </cell>
          <cell r="H417" t="str">
            <v>Penata Muda Tk.I</v>
          </cell>
          <cell r="T417" t="str">
            <v>Ners</v>
          </cell>
        </row>
        <row r="418">
          <cell r="G418" t="str">
            <v>PPPK</v>
          </cell>
          <cell r="T418" t="str">
            <v>D3 Keperawatan</v>
          </cell>
        </row>
        <row r="419">
          <cell r="G419" t="str">
            <v>PPPK</v>
          </cell>
          <cell r="T419" t="str">
            <v>D3 Keperawatan</v>
          </cell>
        </row>
        <row r="420">
          <cell r="G420" t="str">
            <v>PNS</v>
          </cell>
          <cell r="H420" t="str">
            <v>Penata Tk.I</v>
          </cell>
          <cell r="T420" t="str">
            <v>AKPER</v>
          </cell>
        </row>
        <row r="421">
          <cell r="G421" t="str">
            <v>PPPK</v>
          </cell>
          <cell r="T421" t="str">
            <v>D3 Keperawatan</v>
          </cell>
        </row>
        <row r="422">
          <cell r="G422" t="str">
            <v>PPPK</v>
          </cell>
          <cell r="T422" t="str">
            <v>D3 Keperawatan</v>
          </cell>
        </row>
        <row r="423">
          <cell r="G423" t="str">
            <v>PNS</v>
          </cell>
          <cell r="H423" t="str">
            <v>Penata Muda Tk.I</v>
          </cell>
          <cell r="T423" t="str">
            <v>Ners</v>
          </cell>
        </row>
        <row r="424">
          <cell r="G424" t="str">
            <v>PNS</v>
          </cell>
          <cell r="H424" t="str">
            <v>Penata Tk.I</v>
          </cell>
          <cell r="T424" t="str">
            <v>Ners</v>
          </cell>
        </row>
        <row r="425">
          <cell r="G425" t="str">
            <v>KONTRAK</v>
          </cell>
          <cell r="T425" t="str">
            <v>Ners</v>
          </cell>
        </row>
        <row r="426">
          <cell r="G426" t="str">
            <v>KONTRAK</v>
          </cell>
          <cell r="T426" t="str">
            <v>Ners</v>
          </cell>
        </row>
        <row r="427">
          <cell r="G427" t="str">
            <v>PPPK</v>
          </cell>
          <cell r="T427" t="str">
            <v>Ners</v>
          </cell>
        </row>
        <row r="428">
          <cell r="G428" t="str">
            <v>PPPK</v>
          </cell>
          <cell r="T428" t="str">
            <v>Ners</v>
          </cell>
        </row>
        <row r="429">
          <cell r="G429" t="str">
            <v>CPNS</v>
          </cell>
          <cell r="H429" t="str">
            <v>Penata Muda Tk.I</v>
          </cell>
          <cell r="T429" t="str">
            <v>Ners</v>
          </cell>
        </row>
        <row r="430">
          <cell r="G430" t="str">
            <v>CPNS</v>
          </cell>
          <cell r="H430" t="str">
            <v>Penata Muda Tk.I</v>
          </cell>
          <cell r="T430" t="str">
            <v>Ners</v>
          </cell>
        </row>
        <row r="433">
          <cell r="G433" t="str">
            <v>PNS</v>
          </cell>
          <cell r="H433" t="str">
            <v>Pembina Tk.I</v>
          </cell>
          <cell r="T433" t="str">
            <v>Ners</v>
          </cell>
        </row>
        <row r="434">
          <cell r="G434" t="str">
            <v>PNS</v>
          </cell>
          <cell r="H434" t="str">
            <v>Penata Muda Tk.I</v>
          </cell>
          <cell r="T434" t="str">
            <v>Ners</v>
          </cell>
        </row>
        <row r="435">
          <cell r="G435" t="str">
            <v>PNS</v>
          </cell>
          <cell r="H435" t="str">
            <v>Pembina Tk.I</v>
          </cell>
          <cell r="T435" t="str">
            <v>Ners</v>
          </cell>
        </row>
        <row r="436">
          <cell r="G436" t="str">
            <v>PNS</v>
          </cell>
          <cell r="H436" t="str">
            <v>Penata Tk.I</v>
          </cell>
          <cell r="T436" t="str">
            <v>D3 Keperawatan</v>
          </cell>
        </row>
        <row r="437">
          <cell r="G437" t="str">
            <v>PPPK</v>
          </cell>
          <cell r="T437" t="str">
            <v>AKPER</v>
          </cell>
        </row>
        <row r="438">
          <cell r="G438" t="str">
            <v>PPPK</v>
          </cell>
          <cell r="T438" t="str">
            <v>D3 Keperawatan</v>
          </cell>
        </row>
        <row r="439">
          <cell r="G439" t="str">
            <v>PPPK</v>
          </cell>
          <cell r="T439" t="str">
            <v>Ners</v>
          </cell>
        </row>
        <row r="440">
          <cell r="G440" t="str">
            <v>PPPK</v>
          </cell>
          <cell r="T440" t="str">
            <v>Ners</v>
          </cell>
        </row>
        <row r="441">
          <cell r="G441" t="str">
            <v>PNS</v>
          </cell>
          <cell r="H441" t="str">
            <v>Penata Tk.I</v>
          </cell>
          <cell r="T441" t="str">
            <v>Ners</v>
          </cell>
        </row>
        <row r="442">
          <cell r="G442" t="str">
            <v>PPPK</v>
          </cell>
          <cell r="T442" t="str">
            <v>D3 Keperawatan</v>
          </cell>
        </row>
        <row r="443">
          <cell r="G443" t="str">
            <v>KONTRAK</v>
          </cell>
          <cell r="T443" t="str">
            <v>D3 Keperawatan</v>
          </cell>
          <cell r="U443">
            <v>2017</v>
          </cell>
        </row>
        <row r="444">
          <cell r="G444" t="str">
            <v>KONTRAK</v>
          </cell>
          <cell r="T444" t="str">
            <v>D3 Keperawatan</v>
          </cell>
          <cell r="U444">
            <v>2017</v>
          </cell>
        </row>
        <row r="445">
          <cell r="G445" t="str">
            <v>KONTRAK</v>
          </cell>
          <cell r="T445" t="str">
            <v>D3 Sistem Informasi</v>
          </cell>
        </row>
        <row r="446">
          <cell r="G446" t="str">
            <v>KONTRAK</v>
          </cell>
          <cell r="T446" t="str">
            <v>Ners</v>
          </cell>
        </row>
        <row r="447">
          <cell r="G447" t="str">
            <v>KONTRAK</v>
          </cell>
          <cell r="T447" t="str">
            <v>Ners</v>
          </cell>
        </row>
        <row r="448">
          <cell r="G448" t="str">
            <v>KONTRAK</v>
          </cell>
          <cell r="T448" t="str">
            <v>Ners</v>
          </cell>
        </row>
        <row r="449">
          <cell r="G449" t="str">
            <v>PPPK</v>
          </cell>
          <cell r="T449" t="str">
            <v>Ners</v>
          </cell>
        </row>
        <row r="450">
          <cell r="G450" t="str">
            <v>KONTRAK</v>
          </cell>
          <cell r="T450" t="str">
            <v>Ners</v>
          </cell>
        </row>
        <row r="451">
          <cell r="G451" t="str">
            <v>CPNS</v>
          </cell>
          <cell r="H451" t="str">
            <v>Penata Muda Tk.I</v>
          </cell>
          <cell r="T451" t="str">
            <v>Ners</v>
          </cell>
        </row>
        <row r="452">
          <cell r="G452" t="str">
            <v>CPNS</v>
          </cell>
          <cell r="H452" t="str">
            <v>Penata Muda Tk.I</v>
          </cell>
          <cell r="T452" t="str">
            <v>Ners</v>
          </cell>
        </row>
        <row r="453">
          <cell r="G453" t="str">
            <v>CPNS</v>
          </cell>
          <cell r="H453" t="str">
            <v>Penata Muda Tk.I</v>
          </cell>
          <cell r="T453" t="str">
            <v>Ners</v>
          </cell>
        </row>
        <row r="454">
          <cell r="G454" t="str">
            <v>CPNS</v>
          </cell>
          <cell r="H454" t="str">
            <v>Pengatur</v>
          </cell>
          <cell r="T454" t="str">
            <v>D3 Keperawatan</v>
          </cell>
        </row>
        <row r="455">
          <cell r="G455" t="str">
            <v>CPNS</v>
          </cell>
          <cell r="H455" t="str">
            <v>Pengatur</v>
          </cell>
          <cell r="T455" t="str">
            <v>D3 Keperawatan</v>
          </cell>
        </row>
        <row r="458">
          <cell r="G458" t="str">
            <v>PNS</v>
          </cell>
          <cell r="H458" t="str">
            <v>Penata Tk.I</v>
          </cell>
          <cell r="T458" t="str">
            <v>Ners</v>
          </cell>
          <cell r="U458">
            <v>2021</v>
          </cell>
        </row>
        <row r="459">
          <cell r="G459" t="str">
            <v>PNS</v>
          </cell>
          <cell r="H459" t="str">
            <v>Pembina Tk.I</v>
          </cell>
          <cell r="T459" t="str">
            <v>Ners</v>
          </cell>
        </row>
        <row r="460">
          <cell r="G460" t="str">
            <v>PNS</v>
          </cell>
          <cell r="H460" t="str">
            <v>Penata Muda</v>
          </cell>
          <cell r="T460" t="str">
            <v>D3 Keperawatan</v>
          </cell>
          <cell r="U460">
            <v>2008</v>
          </cell>
        </row>
        <row r="461">
          <cell r="G461" t="str">
            <v>PNS</v>
          </cell>
          <cell r="H461" t="str">
            <v>Penata Muda Tk.I</v>
          </cell>
          <cell r="T461" t="str">
            <v>Ners</v>
          </cell>
          <cell r="U461">
            <v>2020</v>
          </cell>
        </row>
        <row r="462">
          <cell r="G462" t="str">
            <v>PPPK</v>
          </cell>
          <cell r="T462" t="str">
            <v>Ners</v>
          </cell>
        </row>
        <row r="463">
          <cell r="G463" t="str">
            <v>PPPK</v>
          </cell>
          <cell r="T463" t="str">
            <v>Ners</v>
          </cell>
        </row>
        <row r="464">
          <cell r="G464" t="str">
            <v>PPPK</v>
          </cell>
          <cell r="T464" t="str">
            <v>Ners</v>
          </cell>
        </row>
        <row r="465">
          <cell r="G465" t="str">
            <v>PPPK</v>
          </cell>
          <cell r="T465" t="str">
            <v>Ners</v>
          </cell>
        </row>
        <row r="466">
          <cell r="G466" t="str">
            <v>PPPK</v>
          </cell>
          <cell r="T466" t="str">
            <v>Ners</v>
          </cell>
        </row>
        <row r="467">
          <cell r="G467" t="str">
            <v>PPPK</v>
          </cell>
          <cell r="T467" t="str">
            <v>Ners</v>
          </cell>
        </row>
        <row r="468">
          <cell r="G468" t="str">
            <v>PPPK</v>
          </cell>
          <cell r="T468" t="str">
            <v>D3 Keperawatan</v>
          </cell>
        </row>
        <row r="469">
          <cell r="G469" t="str">
            <v>PPPK</v>
          </cell>
          <cell r="T469" t="str">
            <v>D3 Keperawatan</v>
          </cell>
        </row>
        <row r="470">
          <cell r="G470" t="str">
            <v>PPPK</v>
          </cell>
          <cell r="T470" t="str">
            <v>AKPER</v>
          </cell>
        </row>
        <row r="471">
          <cell r="G471" t="str">
            <v>PPPK</v>
          </cell>
          <cell r="T471" t="str">
            <v>AKPER</v>
          </cell>
        </row>
        <row r="472">
          <cell r="G472" t="str">
            <v>KONTRAK</v>
          </cell>
          <cell r="T472" t="str">
            <v>D3 Keperawatan</v>
          </cell>
          <cell r="U472">
            <v>2019</v>
          </cell>
        </row>
        <row r="473">
          <cell r="G473" t="str">
            <v>KONTRAK</v>
          </cell>
          <cell r="T473" t="str">
            <v>Ners</v>
          </cell>
        </row>
        <row r="474">
          <cell r="G474" t="str">
            <v>KONTRAK</v>
          </cell>
          <cell r="T474" t="str">
            <v>D3 Keperawatan</v>
          </cell>
          <cell r="U474">
            <v>2023</v>
          </cell>
        </row>
        <row r="475">
          <cell r="G475" t="str">
            <v>KONTRAK</v>
          </cell>
          <cell r="T475" t="str">
            <v>Ners</v>
          </cell>
        </row>
        <row r="476">
          <cell r="G476" t="str">
            <v>KONTRAK</v>
          </cell>
          <cell r="T476" t="str">
            <v>Ners</v>
          </cell>
          <cell r="U476">
            <v>2020</v>
          </cell>
        </row>
        <row r="477">
          <cell r="G477" t="str">
            <v>KONTRAK</v>
          </cell>
          <cell r="T477" t="str">
            <v>D3 Keperawatan</v>
          </cell>
          <cell r="U477">
            <v>2015</v>
          </cell>
        </row>
        <row r="478">
          <cell r="G478" t="str">
            <v>CPNS</v>
          </cell>
          <cell r="H478" t="str">
            <v>Penata Muda Tk.I</v>
          </cell>
          <cell r="T478" t="str">
            <v>Ners</v>
          </cell>
        </row>
        <row r="482">
          <cell r="G482" t="str">
            <v>Status</v>
          </cell>
          <cell r="H482" t="str">
            <v>Pangkat</v>
          </cell>
          <cell r="T482" t="str">
            <v>Pendidikan</v>
          </cell>
          <cell r="U482" t="str">
            <v>Th Lulus Pendidikan</v>
          </cell>
        </row>
        <row r="485">
          <cell r="G485" t="str">
            <v>Status</v>
          </cell>
          <cell r="H485" t="str">
            <v>Pangkat</v>
          </cell>
          <cell r="T485" t="str">
            <v>Pendidikan</v>
          </cell>
          <cell r="U485" t="str">
            <v>Th Lulus Pendidikan</v>
          </cell>
        </row>
        <row r="488">
          <cell r="G488" t="str">
            <v>Status</v>
          </cell>
          <cell r="H488" t="str">
            <v>Pangkat</v>
          </cell>
          <cell r="T488" t="str">
            <v>Pendidikan</v>
          </cell>
          <cell r="U488" t="str">
            <v>Th Lulus Pendidikan</v>
          </cell>
        </row>
        <row r="490">
          <cell r="G490" t="str">
            <v>PNS</v>
          </cell>
          <cell r="H490" t="str">
            <v>Penata Tk.I</v>
          </cell>
          <cell r="T490" t="str">
            <v>Ners</v>
          </cell>
          <cell r="U490">
            <v>2021</v>
          </cell>
        </row>
        <row r="491">
          <cell r="G491" t="str">
            <v>PNS</v>
          </cell>
          <cell r="H491" t="str">
            <v>Penata</v>
          </cell>
          <cell r="T491" t="str">
            <v>D3 Keperawatan</v>
          </cell>
          <cell r="U491">
            <v>2006</v>
          </cell>
        </row>
        <row r="492">
          <cell r="G492" t="str">
            <v>PNS</v>
          </cell>
          <cell r="H492" t="str">
            <v>Penata Muda Tk.I</v>
          </cell>
          <cell r="T492" t="str">
            <v>Ners</v>
          </cell>
          <cell r="U492">
            <v>2019</v>
          </cell>
        </row>
        <row r="493">
          <cell r="G493" t="str">
            <v>PNS</v>
          </cell>
          <cell r="H493" t="str">
            <v>Penata Muda Tk.I</v>
          </cell>
          <cell r="T493" t="str">
            <v>Ners</v>
          </cell>
          <cell r="U493">
            <v>2016</v>
          </cell>
        </row>
        <row r="494">
          <cell r="G494" t="str">
            <v>PNS</v>
          </cell>
          <cell r="H494" t="str">
            <v>Penata Tk.I</v>
          </cell>
          <cell r="T494" t="str">
            <v>D3 Keperawatan</v>
          </cell>
        </row>
        <row r="495">
          <cell r="G495" t="str">
            <v>PNS</v>
          </cell>
          <cell r="H495" t="str">
            <v>Penata</v>
          </cell>
          <cell r="T495" t="str">
            <v>D3 Keperawatan</v>
          </cell>
        </row>
        <row r="496">
          <cell r="G496" t="str">
            <v>PNS</v>
          </cell>
          <cell r="H496" t="str">
            <v>Penata Muda Tk.I</v>
          </cell>
          <cell r="T496" t="str">
            <v>Ners</v>
          </cell>
        </row>
        <row r="497">
          <cell r="G497" t="str">
            <v>PNS</v>
          </cell>
          <cell r="H497" t="str">
            <v>Pembina</v>
          </cell>
          <cell r="T497" t="str">
            <v>AKPER</v>
          </cell>
        </row>
        <row r="498">
          <cell r="G498" t="str">
            <v>PNS</v>
          </cell>
          <cell r="H498" t="str">
            <v>Pembina Tk.I</v>
          </cell>
          <cell r="T498" t="str">
            <v>Ners</v>
          </cell>
          <cell r="U498">
            <v>2021</v>
          </cell>
        </row>
        <row r="499">
          <cell r="G499" t="str">
            <v>PNS</v>
          </cell>
          <cell r="H499" t="str">
            <v>Penata Tk.I</v>
          </cell>
          <cell r="T499" t="str">
            <v>D3 Keperawatan</v>
          </cell>
        </row>
        <row r="500">
          <cell r="G500" t="str">
            <v>PNS</v>
          </cell>
          <cell r="H500" t="str">
            <v>Penata Tk.I</v>
          </cell>
          <cell r="T500" t="str">
            <v>Ners</v>
          </cell>
        </row>
        <row r="501">
          <cell r="G501" t="str">
            <v>PNS</v>
          </cell>
          <cell r="H501" t="str">
            <v>Penata Muda Tk.I</v>
          </cell>
          <cell r="T501" t="str">
            <v>Ners</v>
          </cell>
          <cell r="U501">
            <v>2013</v>
          </cell>
        </row>
        <row r="502">
          <cell r="G502" t="str">
            <v>PPPK</v>
          </cell>
          <cell r="T502" t="str">
            <v>D3 Keperawatan</v>
          </cell>
        </row>
        <row r="503">
          <cell r="G503" t="str">
            <v>PPPK</v>
          </cell>
          <cell r="T503" t="str">
            <v>D3 Keperawatan</v>
          </cell>
        </row>
        <row r="504">
          <cell r="G504" t="str">
            <v>KONTRAK</v>
          </cell>
          <cell r="T504" t="str">
            <v>D3 Keperawatan</v>
          </cell>
          <cell r="U504">
            <v>2023</v>
          </cell>
        </row>
        <row r="505">
          <cell r="G505" t="str">
            <v>PNS</v>
          </cell>
          <cell r="H505" t="str">
            <v>Penata Muda Tk.I</v>
          </cell>
          <cell r="T505" t="str">
            <v>Ners</v>
          </cell>
          <cell r="U505">
            <v>2015</v>
          </cell>
        </row>
        <row r="506">
          <cell r="G506" t="str">
            <v>PNS</v>
          </cell>
          <cell r="H506" t="str">
            <v>Penata Tk.I</v>
          </cell>
          <cell r="T506" t="str">
            <v>Ners</v>
          </cell>
        </row>
        <row r="507">
          <cell r="G507" t="str">
            <v>CPNS</v>
          </cell>
          <cell r="H507" t="str">
            <v>Penata Muda</v>
          </cell>
          <cell r="T507" t="str">
            <v>D4 Keperawatan</v>
          </cell>
        </row>
        <row r="510">
          <cell r="G510" t="str">
            <v>PNS</v>
          </cell>
          <cell r="H510" t="str">
            <v>Pembina Tk.I</v>
          </cell>
          <cell r="T510" t="str">
            <v>Ners</v>
          </cell>
        </row>
        <row r="511">
          <cell r="G511" t="str">
            <v>PNS</v>
          </cell>
          <cell r="H511" t="str">
            <v>Pembina Tk.I</v>
          </cell>
          <cell r="T511" t="str">
            <v>AKPER</v>
          </cell>
        </row>
        <row r="512">
          <cell r="G512" t="str">
            <v>PNS</v>
          </cell>
          <cell r="H512" t="str">
            <v>Penata Tk.I</v>
          </cell>
          <cell r="T512" t="str">
            <v>AKPER</v>
          </cell>
        </row>
        <row r="513">
          <cell r="G513" t="str">
            <v>PNS</v>
          </cell>
          <cell r="H513" t="str">
            <v>Penata Tk.I</v>
          </cell>
          <cell r="T513" t="str">
            <v>Ners</v>
          </cell>
          <cell r="U513">
            <v>2021</v>
          </cell>
        </row>
        <row r="514">
          <cell r="G514" t="str">
            <v>PNS</v>
          </cell>
          <cell r="H514" t="str">
            <v>Penata Muda Tk.I</v>
          </cell>
          <cell r="T514" t="str">
            <v>Ners</v>
          </cell>
        </row>
        <row r="515">
          <cell r="G515" t="str">
            <v>PNS</v>
          </cell>
          <cell r="H515" t="str">
            <v>Penata</v>
          </cell>
          <cell r="T515" t="str">
            <v>Ners</v>
          </cell>
          <cell r="U515">
            <v>2015</v>
          </cell>
        </row>
        <row r="516">
          <cell r="G516" t="str">
            <v>PNS</v>
          </cell>
          <cell r="H516" t="str">
            <v>Penata</v>
          </cell>
          <cell r="T516" t="str">
            <v>Ners</v>
          </cell>
          <cell r="U516">
            <v>2017</v>
          </cell>
        </row>
        <row r="517">
          <cell r="G517" t="str">
            <v>PNS</v>
          </cell>
          <cell r="H517" t="str">
            <v>Penata</v>
          </cell>
          <cell r="T517" t="str">
            <v>Ners</v>
          </cell>
        </row>
        <row r="518">
          <cell r="G518" t="str">
            <v>PNS</v>
          </cell>
          <cell r="H518" t="str">
            <v>Penata</v>
          </cell>
          <cell r="T518" t="str">
            <v>D3 Keperawatan</v>
          </cell>
          <cell r="U518">
            <v>2009</v>
          </cell>
        </row>
        <row r="519">
          <cell r="G519" t="str">
            <v>PNS</v>
          </cell>
          <cell r="H519" t="str">
            <v>Penata Tk.I</v>
          </cell>
          <cell r="T519" t="str">
            <v>D3 Keperawatan</v>
          </cell>
        </row>
        <row r="520">
          <cell r="G520" t="str">
            <v>PNS</v>
          </cell>
          <cell r="H520" t="str">
            <v>Penata Muda Tk.I</v>
          </cell>
          <cell r="T520" t="str">
            <v>Ners</v>
          </cell>
        </row>
        <row r="521">
          <cell r="G521" t="str">
            <v>PPPK</v>
          </cell>
          <cell r="T521" t="str">
            <v>AKPER</v>
          </cell>
        </row>
        <row r="522">
          <cell r="G522" t="str">
            <v>PPPK</v>
          </cell>
          <cell r="T522" t="str">
            <v>D3 Keperawatan</v>
          </cell>
        </row>
        <row r="523">
          <cell r="G523" t="str">
            <v>KONTRAK</v>
          </cell>
          <cell r="T523" t="str">
            <v>D3 Keperawatan</v>
          </cell>
          <cell r="U523">
            <v>2022</v>
          </cell>
        </row>
        <row r="524">
          <cell r="G524" t="str">
            <v>KONTRAK</v>
          </cell>
          <cell r="T524" t="str">
            <v>D3 Keperawatan</v>
          </cell>
          <cell r="U524">
            <v>2021</v>
          </cell>
        </row>
        <row r="525">
          <cell r="G525" t="str">
            <v>PNS</v>
          </cell>
          <cell r="H525" t="str">
            <v>Penata</v>
          </cell>
          <cell r="T525" t="str">
            <v>D3 Keperawatan</v>
          </cell>
        </row>
        <row r="526">
          <cell r="G526" t="str">
            <v>KONTRAK</v>
          </cell>
          <cell r="T526" t="str">
            <v>Ners</v>
          </cell>
          <cell r="U526">
            <v>2023</v>
          </cell>
        </row>
        <row r="527">
          <cell r="G527" t="str">
            <v>PPPK</v>
          </cell>
          <cell r="T527" t="str">
            <v>Ners</v>
          </cell>
        </row>
        <row r="528">
          <cell r="G528" t="str">
            <v>PPPK</v>
          </cell>
          <cell r="T528" t="str">
            <v>Ners</v>
          </cell>
        </row>
        <row r="529">
          <cell r="G529" t="str">
            <v>CPNS</v>
          </cell>
          <cell r="H529" t="str">
            <v>Penata Muda Tk.I</v>
          </cell>
          <cell r="T529" t="str">
            <v>Ners</v>
          </cell>
        </row>
        <row r="530">
          <cell r="G530" t="str">
            <v>PNS</v>
          </cell>
          <cell r="H530" t="str">
            <v>Penata Muda Tk.I</v>
          </cell>
          <cell r="T530" t="str">
            <v>Ners</v>
          </cell>
        </row>
        <row r="531">
          <cell r="G531" t="str">
            <v>PNS</v>
          </cell>
          <cell r="H531" t="str">
            <v>Penata</v>
          </cell>
          <cell r="T531" t="str">
            <v>Ners</v>
          </cell>
        </row>
        <row r="532">
          <cell r="G532" t="str">
            <v>PNS</v>
          </cell>
          <cell r="H532" t="str">
            <v>Penata Tk.I</v>
          </cell>
          <cell r="T532" t="str">
            <v>D3 Keperawatan</v>
          </cell>
        </row>
        <row r="533">
          <cell r="G533" t="str">
            <v>PPPK</v>
          </cell>
          <cell r="T533" t="str">
            <v>D3 Keperawatan</v>
          </cell>
        </row>
        <row r="534">
          <cell r="G534" t="str">
            <v>PPPK</v>
          </cell>
          <cell r="T534" t="str">
            <v>D3 Keperawatan</v>
          </cell>
        </row>
        <row r="535">
          <cell r="G535" t="str">
            <v>KONTRAK</v>
          </cell>
          <cell r="T535" t="str">
            <v>Ners</v>
          </cell>
        </row>
        <row r="536">
          <cell r="G536" t="str">
            <v>PNS</v>
          </cell>
          <cell r="H536" t="str">
            <v>Penata Muda Tk.I</v>
          </cell>
          <cell r="T536" t="str">
            <v>Ners</v>
          </cell>
          <cell r="U536">
            <v>2020</v>
          </cell>
        </row>
        <row r="537">
          <cell r="G537" t="str">
            <v>PPPK</v>
          </cell>
          <cell r="T537" t="str">
            <v>D3 Keperawatan</v>
          </cell>
        </row>
        <row r="538">
          <cell r="G538" t="str">
            <v>PPPK</v>
          </cell>
          <cell r="T538" t="str">
            <v>Ners</v>
          </cell>
          <cell r="U538">
            <v>2017</v>
          </cell>
        </row>
        <row r="539">
          <cell r="G539" t="str">
            <v>KONTRAK</v>
          </cell>
          <cell r="T539" t="str">
            <v>Ners</v>
          </cell>
        </row>
        <row r="540">
          <cell r="G540" t="str">
            <v>KONTRAK</v>
          </cell>
          <cell r="T540" t="str">
            <v>Ners</v>
          </cell>
        </row>
        <row r="541">
          <cell r="G541" t="str">
            <v>KONTRAK</v>
          </cell>
          <cell r="T541" t="str">
            <v>Ners</v>
          </cell>
        </row>
        <row r="542">
          <cell r="G542" t="str">
            <v>KONTRAK</v>
          </cell>
          <cell r="T542" t="str">
            <v>Ners</v>
          </cell>
        </row>
        <row r="543">
          <cell r="G543" t="str">
            <v>KONTRAK</v>
          </cell>
          <cell r="T543" t="str">
            <v>Ners</v>
          </cell>
        </row>
        <row r="544">
          <cell r="G544" t="str">
            <v>PPPK</v>
          </cell>
          <cell r="T544" t="str">
            <v>D3 Keperawatan</v>
          </cell>
        </row>
        <row r="545">
          <cell r="G545" t="str">
            <v>PPPK</v>
          </cell>
          <cell r="T545" t="str">
            <v>Ners</v>
          </cell>
        </row>
        <row r="546">
          <cell r="G546" t="str">
            <v>PNS</v>
          </cell>
          <cell r="H546" t="str">
            <v>Penata Muda Tk.I</v>
          </cell>
          <cell r="T546" t="str">
            <v>Ners</v>
          </cell>
        </row>
        <row r="547">
          <cell r="G547" t="str">
            <v>CPNS</v>
          </cell>
          <cell r="H547" t="str">
            <v>Penata Muda Tk.I</v>
          </cell>
          <cell r="T547" t="str">
            <v>Ners</v>
          </cell>
        </row>
        <row r="548">
          <cell r="G548" t="str">
            <v>KONTRAK</v>
          </cell>
          <cell r="T548" t="str">
            <v>S1 Manajemen</v>
          </cell>
        </row>
        <row r="551">
          <cell r="G551" t="str">
            <v>PNS</v>
          </cell>
          <cell r="H551" t="str">
            <v>Penata</v>
          </cell>
          <cell r="T551" t="str">
            <v>Ners</v>
          </cell>
          <cell r="U551">
            <v>2021</v>
          </cell>
        </row>
        <row r="552">
          <cell r="G552" t="str">
            <v>PNS</v>
          </cell>
          <cell r="H552" t="str">
            <v>Pembina Tk.I</v>
          </cell>
          <cell r="T552" t="str">
            <v>Ners</v>
          </cell>
        </row>
        <row r="553">
          <cell r="G553" t="str">
            <v>PNS</v>
          </cell>
          <cell r="H553" t="str">
            <v>Penata Tk.I</v>
          </cell>
          <cell r="T553" t="str">
            <v>Ners</v>
          </cell>
          <cell r="U553">
            <v>2021</v>
          </cell>
        </row>
        <row r="554">
          <cell r="G554" t="str">
            <v>PNS</v>
          </cell>
          <cell r="H554" t="str">
            <v>Pembina Tk.I</v>
          </cell>
          <cell r="T554" t="str">
            <v>Ners</v>
          </cell>
        </row>
        <row r="555">
          <cell r="G555" t="str">
            <v>PNS</v>
          </cell>
          <cell r="H555" t="str">
            <v>Penata Muda</v>
          </cell>
          <cell r="T555" t="str">
            <v>D3 Keperawatan</v>
          </cell>
        </row>
        <row r="556">
          <cell r="G556" t="str">
            <v>PNS</v>
          </cell>
          <cell r="H556" t="str">
            <v>Penata Muda Tk.I</v>
          </cell>
          <cell r="T556" t="str">
            <v>Ners</v>
          </cell>
          <cell r="U556">
            <v>2014</v>
          </cell>
        </row>
        <row r="557">
          <cell r="G557" t="str">
            <v>PNS</v>
          </cell>
          <cell r="H557" t="str">
            <v>Penata Muda Tk.I</v>
          </cell>
          <cell r="T557" t="str">
            <v>Ners</v>
          </cell>
          <cell r="U557">
            <v>2018</v>
          </cell>
        </row>
        <row r="558">
          <cell r="G558" t="str">
            <v>PNS</v>
          </cell>
          <cell r="H558" t="str">
            <v>Penata Muda Tk.I</v>
          </cell>
          <cell r="T558" t="str">
            <v>Ners</v>
          </cell>
          <cell r="U558">
            <v>2020</v>
          </cell>
        </row>
        <row r="559">
          <cell r="G559" t="str">
            <v>PNS</v>
          </cell>
          <cell r="H559" t="str">
            <v>Pembina</v>
          </cell>
          <cell r="T559" t="str">
            <v>Ners</v>
          </cell>
          <cell r="U559">
            <v>2021</v>
          </cell>
        </row>
        <row r="560">
          <cell r="G560" t="str">
            <v>PNS</v>
          </cell>
          <cell r="H560" t="str">
            <v>Pembina Tk.I</v>
          </cell>
          <cell r="T560" t="str">
            <v>Ners</v>
          </cell>
          <cell r="U560">
            <v>2021</v>
          </cell>
        </row>
        <row r="561">
          <cell r="G561" t="str">
            <v>PNS</v>
          </cell>
          <cell r="H561" t="str">
            <v>Penata</v>
          </cell>
          <cell r="T561" t="str">
            <v>Ners</v>
          </cell>
        </row>
        <row r="562">
          <cell r="G562" t="str">
            <v>PNS</v>
          </cell>
          <cell r="H562" t="str">
            <v>Penata Muda Tk.I</v>
          </cell>
          <cell r="T562" t="str">
            <v>D3 Keperawatan</v>
          </cell>
        </row>
        <row r="563">
          <cell r="G563" t="str">
            <v>PNS</v>
          </cell>
          <cell r="H563" t="str">
            <v>Penata</v>
          </cell>
          <cell r="T563" t="str">
            <v>D3 Keperawatan</v>
          </cell>
        </row>
        <row r="564">
          <cell r="G564" t="str">
            <v>PNS</v>
          </cell>
          <cell r="H564" t="str">
            <v>Penata Muda Tk.I</v>
          </cell>
          <cell r="T564" t="str">
            <v>Ners</v>
          </cell>
        </row>
        <row r="565">
          <cell r="G565" t="str">
            <v>PNS</v>
          </cell>
          <cell r="H565" t="str">
            <v>Penata Muda Tk.I</v>
          </cell>
          <cell r="T565" t="str">
            <v>Ners</v>
          </cell>
        </row>
        <row r="566">
          <cell r="G566" t="str">
            <v>PNS</v>
          </cell>
          <cell r="H566" t="str">
            <v>Penata Muda Tk.I</v>
          </cell>
          <cell r="T566" t="str">
            <v>Ners</v>
          </cell>
          <cell r="U566">
            <v>2020</v>
          </cell>
        </row>
        <row r="567">
          <cell r="G567" t="str">
            <v>PPPK</v>
          </cell>
          <cell r="T567" t="str">
            <v>D3 Keperawatan</v>
          </cell>
        </row>
        <row r="568">
          <cell r="G568" t="str">
            <v>PPPK</v>
          </cell>
          <cell r="T568" t="str">
            <v>AKPER</v>
          </cell>
        </row>
        <row r="569">
          <cell r="G569" t="str">
            <v>PPPK</v>
          </cell>
          <cell r="T569" t="str">
            <v>D3 Keperawatan</v>
          </cell>
        </row>
        <row r="570">
          <cell r="G570" t="str">
            <v>PPPK</v>
          </cell>
          <cell r="T570" t="str">
            <v>Ners</v>
          </cell>
        </row>
        <row r="571">
          <cell r="G571" t="str">
            <v>PPPK</v>
          </cell>
          <cell r="T571" t="str">
            <v>D3 Keperawatan</v>
          </cell>
        </row>
        <row r="572">
          <cell r="G572" t="str">
            <v>PPPK</v>
          </cell>
          <cell r="T572" t="str">
            <v>D3 Keperawatan</v>
          </cell>
        </row>
        <row r="573">
          <cell r="G573" t="str">
            <v>PPPK</v>
          </cell>
          <cell r="T573" t="str">
            <v>D3 Keperawatan</v>
          </cell>
        </row>
        <row r="574">
          <cell r="G574" t="str">
            <v>PPPK</v>
          </cell>
          <cell r="T574" t="str">
            <v>D3 Keperawatan</v>
          </cell>
        </row>
        <row r="575">
          <cell r="G575" t="str">
            <v>PNS</v>
          </cell>
          <cell r="H575" t="str">
            <v>Pembina Tk.I</v>
          </cell>
          <cell r="T575" t="str">
            <v>Ners</v>
          </cell>
        </row>
        <row r="576">
          <cell r="G576" t="str">
            <v>PPPK</v>
          </cell>
          <cell r="T576" t="str">
            <v>Ners</v>
          </cell>
        </row>
        <row r="577">
          <cell r="G577" t="str">
            <v>PPPK</v>
          </cell>
          <cell r="T577" t="str">
            <v>Ners</v>
          </cell>
        </row>
        <row r="578">
          <cell r="G578" t="str">
            <v>PNS</v>
          </cell>
          <cell r="H578" t="str">
            <v>Penata Muda Tk.I</v>
          </cell>
          <cell r="T578" t="str">
            <v>Ners</v>
          </cell>
          <cell r="U578">
            <v>2016</v>
          </cell>
        </row>
        <row r="579">
          <cell r="G579" t="str">
            <v>KONTRAK</v>
          </cell>
          <cell r="T579" t="str">
            <v>Ners</v>
          </cell>
          <cell r="U579">
            <v>2021</v>
          </cell>
        </row>
        <row r="580">
          <cell r="G580" t="str">
            <v>KONTRAK</v>
          </cell>
          <cell r="T580" t="str">
            <v>Ners</v>
          </cell>
          <cell r="U580">
            <v>2021</v>
          </cell>
        </row>
        <row r="581">
          <cell r="G581" t="str">
            <v>KONTRAK</v>
          </cell>
          <cell r="T581" t="str">
            <v>D3 Keperawatan</v>
          </cell>
          <cell r="U581">
            <v>2016</v>
          </cell>
        </row>
        <row r="582">
          <cell r="G582" t="str">
            <v>PPPK</v>
          </cell>
          <cell r="T582" t="str">
            <v>D3 Keperawatan</v>
          </cell>
        </row>
        <row r="583">
          <cell r="G583" t="str">
            <v>KONTRAK</v>
          </cell>
          <cell r="T583" t="str">
            <v>Ners</v>
          </cell>
          <cell r="U583">
            <v>2022</v>
          </cell>
        </row>
        <row r="584">
          <cell r="G584" t="str">
            <v>KONTRAK</v>
          </cell>
          <cell r="T584" t="str">
            <v>Ners</v>
          </cell>
          <cell r="U584">
            <v>2023</v>
          </cell>
        </row>
        <row r="585">
          <cell r="G585" t="str">
            <v>KONTRAK</v>
          </cell>
          <cell r="T585" t="str">
            <v>D3 Keperawatan</v>
          </cell>
          <cell r="U585">
            <v>2021</v>
          </cell>
        </row>
        <row r="586">
          <cell r="G586" t="str">
            <v>KONTRAK</v>
          </cell>
          <cell r="T586" t="str">
            <v>Ners</v>
          </cell>
          <cell r="U586">
            <v>2023</v>
          </cell>
        </row>
        <row r="587">
          <cell r="G587" t="str">
            <v>PPPK</v>
          </cell>
          <cell r="T587" t="str">
            <v>D3 Keperawatan</v>
          </cell>
        </row>
        <row r="588">
          <cell r="G588" t="str">
            <v>PNS</v>
          </cell>
          <cell r="H588" t="str">
            <v>Penata Muda Tk.I</v>
          </cell>
          <cell r="T588" t="str">
            <v>Ners</v>
          </cell>
          <cell r="U588">
            <v>2019</v>
          </cell>
        </row>
        <row r="589">
          <cell r="G589" t="str">
            <v>CPNS</v>
          </cell>
          <cell r="H589" t="str">
            <v>Penata Muda Tk.I</v>
          </cell>
          <cell r="T589" t="str">
            <v>Ners</v>
          </cell>
        </row>
        <row r="590">
          <cell r="G590" t="str">
            <v>CPNS</v>
          </cell>
          <cell r="H590" t="str">
            <v>Penata Muda Tk.I</v>
          </cell>
          <cell r="T590" t="str">
            <v>Ners</v>
          </cell>
        </row>
        <row r="593">
          <cell r="G593" t="str">
            <v>PPPK</v>
          </cell>
          <cell r="T593" t="str">
            <v>Ners</v>
          </cell>
        </row>
        <row r="594">
          <cell r="G594" t="str">
            <v>PPPK</v>
          </cell>
          <cell r="T594" t="str">
            <v>Ners</v>
          </cell>
        </row>
        <row r="595">
          <cell r="G595" t="str">
            <v>PPPK</v>
          </cell>
          <cell r="T595" t="str">
            <v>Ners</v>
          </cell>
        </row>
        <row r="596">
          <cell r="G596" t="str">
            <v>PPPK</v>
          </cell>
          <cell r="T596" t="str">
            <v>D3 Keperawatan</v>
          </cell>
        </row>
        <row r="597">
          <cell r="G597" t="str">
            <v>PNS</v>
          </cell>
          <cell r="H597" t="str">
            <v>Pembina Tk.I</v>
          </cell>
          <cell r="T597" t="str">
            <v>Ners</v>
          </cell>
        </row>
        <row r="598">
          <cell r="G598" t="str">
            <v>PNS</v>
          </cell>
          <cell r="H598" t="str">
            <v>Pembina Tk.I</v>
          </cell>
          <cell r="T598" t="str">
            <v>Ners</v>
          </cell>
          <cell r="U598">
            <v>2020</v>
          </cell>
        </row>
        <row r="599">
          <cell r="G599" t="str">
            <v>PNS</v>
          </cell>
          <cell r="H599" t="str">
            <v>Penata Tk.I</v>
          </cell>
          <cell r="T599" t="str">
            <v>D3 Keperawatan</v>
          </cell>
        </row>
        <row r="600">
          <cell r="G600" t="str">
            <v>PNS</v>
          </cell>
          <cell r="H600" t="str">
            <v>Penata</v>
          </cell>
          <cell r="T600" t="str">
            <v>Ners</v>
          </cell>
        </row>
        <row r="601">
          <cell r="G601" t="str">
            <v>PPPK</v>
          </cell>
          <cell r="T601" t="str">
            <v>D3 Keperawatan</v>
          </cell>
        </row>
        <row r="602">
          <cell r="G602" t="str">
            <v>PNS</v>
          </cell>
          <cell r="H602" t="str">
            <v>Penata</v>
          </cell>
          <cell r="T602" t="str">
            <v>Ners</v>
          </cell>
        </row>
        <row r="603">
          <cell r="G603" t="str">
            <v>PNS</v>
          </cell>
          <cell r="H603" t="str">
            <v>Penata</v>
          </cell>
          <cell r="T603" t="str">
            <v>D3 Keperawatan</v>
          </cell>
        </row>
        <row r="604">
          <cell r="G604" t="str">
            <v>PNS</v>
          </cell>
          <cell r="H604" t="str">
            <v>Penata Tk.I</v>
          </cell>
          <cell r="T604" t="str">
            <v>D3 Keperawatan</v>
          </cell>
        </row>
        <row r="605">
          <cell r="G605" t="str">
            <v>PPPK</v>
          </cell>
          <cell r="T605" t="str">
            <v>Ners</v>
          </cell>
        </row>
        <row r="606">
          <cell r="G606" t="str">
            <v>PNS</v>
          </cell>
          <cell r="H606" t="str">
            <v>Penata Muda Tk.I</v>
          </cell>
          <cell r="T606" t="str">
            <v>Ners</v>
          </cell>
          <cell r="U606">
            <v>2020</v>
          </cell>
        </row>
        <row r="607">
          <cell r="G607" t="str">
            <v>KONTRAK</v>
          </cell>
          <cell r="T607" t="str">
            <v>D3 Administrasi Publik</v>
          </cell>
        </row>
        <row r="611">
          <cell r="G611" t="str">
            <v>Status</v>
          </cell>
          <cell r="H611" t="str">
            <v>Pangkat</v>
          </cell>
          <cell r="T611" t="str">
            <v>Pendidikan</v>
          </cell>
          <cell r="U611" t="str">
            <v>Th Lulus Pendidikan</v>
          </cell>
        </row>
        <row r="613">
          <cell r="G613" t="str">
            <v>PNS</v>
          </cell>
          <cell r="H613" t="str">
            <v>Pembina Tk.I</v>
          </cell>
          <cell r="T613" t="str">
            <v>Ners</v>
          </cell>
        </row>
        <row r="614">
          <cell r="G614" t="str">
            <v>PNS</v>
          </cell>
          <cell r="H614" t="str">
            <v>Pembina Tk.I</v>
          </cell>
          <cell r="T614" t="str">
            <v>Ners</v>
          </cell>
          <cell r="U614">
            <v>2021</v>
          </cell>
        </row>
        <row r="615">
          <cell r="G615" t="str">
            <v>PNS</v>
          </cell>
          <cell r="H615" t="str">
            <v>Penata Tk.I</v>
          </cell>
          <cell r="T615" t="str">
            <v>D3 Keperawatan</v>
          </cell>
        </row>
        <row r="616">
          <cell r="G616" t="str">
            <v>PNS</v>
          </cell>
          <cell r="H616" t="str">
            <v>Pembina Tk.I</v>
          </cell>
          <cell r="T616" t="str">
            <v>Ners</v>
          </cell>
          <cell r="U616">
            <v>2021</v>
          </cell>
        </row>
        <row r="617">
          <cell r="G617" t="str">
            <v>PNS</v>
          </cell>
          <cell r="H617" t="str">
            <v>Penata Tk.I</v>
          </cell>
          <cell r="T617" t="str">
            <v>AKPER</v>
          </cell>
          <cell r="U617">
            <v>2004</v>
          </cell>
        </row>
        <row r="618">
          <cell r="G618" t="str">
            <v>PNS</v>
          </cell>
          <cell r="H618" t="str">
            <v>Pembina</v>
          </cell>
          <cell r="T618" t="str">
            <v>Ners</v>
          </cell>
        </row>
        <row r="619">
          <cell r="G619" t="str">
            <v>PNS</v>
          </cell>
          <cell r="H619" t="str">
            <v>Pembina</v>
          </cell>
          <cell r="T619" t="str">
            <v>Ners</v>
          </cell>
          <cell r="U619">
            <v>2021</v>
          </cell>
        </row>
        <row r="620">
          <cell r="G620" t="str">
            <v>PNS</v>
          </cell>
          <cell r="H620" t="str">
            <v>Penata Tk.I</v>
          </cell>
          <cell r="T620" t="str">
            <v>AKPER</v>
          </cell>
        </row>
        <row r="621">
          <cell r="G621" t="str">
            <v>PNS</v>
          </cell>
          <cell r="H621" t="str">
            <v>Penata Tk.I</v>
          </cell>
          <cell r="T621" t="str">
            <v>Ners</v>
          </cell>
          <cell r="U621">
            <v>2021</v>
          </cell>
        </row>
        <row r="622">
          <cell r="G622" t="str">
            <v>PNS</v>
          </cell>
          <cell r="H622" t="str">
            <v>Penata</v>
          </cell>
          <cell r="T622" t="str">
            <v>D3 Keperawatan</v>
          </cell>
        </row>
        <row r="623">
          <cell r="G623" t="str">
            <v>PNS</v>
          </cell>
          <cell r="H623" t="str">
            <v>Penata</v>
          </cell>
          <cell r="T623" t="str">
            <v>D3 Keperawatan</v>
          </cell>
        </row>
        <row r="624">
          <cell r="G624" t="str">
            <v>PNS</v>
          </cell>
          <cell r="H624" t="str">
            <v>Penata</v>
          </cell>
          <cell r="T624" t="str">
            <v>Ners</v>
          </cell>
          <cell r="U624">
            <v>2021</v>
          </cell>
        </row>
        <row r="625">
          <cell r="G625" t="str">
            <v>PNS</v>
          </cell>
          <cell r="H625" t="str">
            <v>Penata</v>
          </cell>
          <cell r="T625" t="str">
            <v>Ners</v>
          </cell>
        </row>
        <row r="626">
          <cell r="G626" t="str">
            <v>PNS</v>
          </cell>
          <cell r="H626" t="str">
            <v>Penata</v>
          </cell>
          <cell r="T626" t="str">
            <v>Ners</v>
          </cell>
          <cell r="U626">
            <v>2015</v>
          </cell>
        </row>
        <row r="627">
          <cell r="G627" t="str">
            <v>PNS</v>
          </cell>
          <cell r="H627" t="str">
            <v>Penata</v>
          </cell>
          <cell r="T627" t="str">
            <v>S1 Keperawatan</v>
          </cell>
          <cell r="U627">
            <v>2011</v>
          </cell>
        </row>
        <row r="628">
          <cell r="G628" t="str">
            <v>PNS</v>
          </cell>
          <cell r="H628" t="str">
            <v>Penata Muda Tk.I</v>
          </cell>
          <cell r="T628" t="str">
            <v>Ners</v>
          </cell>
        </row>
        <row r="629">
          <cell r="G629" t="str">
            <v>PNS</v>
          </cell>
          <cell r="H629" t="str">
            <v>Penata Muda Tk.I</v>
          </cell>
          <cell r="T629" t="str">
            <v>Ners</v>
          </cell>
        </row>
        <row r="630">
          <cell r="G630" t="str">
            <v>PNS</v>
          </cell>
          <cell r="H630" t="str">
            <v>Penata Muda Tk.I</v>
          </cell>
          <cell r="T630" t="str">
            <v>Ners</v>
          </cell>
        </row>
        <row r="631">
          <cell r="G631" t="str">
            <v>PNS</v>
          </cell>
          <cell r="H631" t="str">
            <v>Penata</v>
          </cell>
          <cell r="T631" t="str">
            <v>Ners</v>
          </cell>
        </row>
        <row r="632">
          <cell r="G632" t="str">
            <v>PNS</v>
          </cell>
          <cell r="H632" t="str">
            <v>Penata</v>
          </cell>
          <cell r="T632" t="str">
            <v>Ners</v>
          </cell>
          <cell r="U632">
            <v>2016</v>
          </cell>
        </row>
        <row r="633">
          <cell r="G633" t="str">
            <v>PNS</v>
          </cell>
          <cell r="H633" t="str">
            <v>Penata Muda Tk.I</v>
          </cell>
          <cell r="T633" t="str">
            <v>Ners</v>
          </cell>
        </row>
        <row r="634">
          <cell r="G634" t="str">
            <v>PNS</v>
          </cell>
          <cell r="H634" t="str">
            <v>Penata Muda Tk.I</v>
          </cell>
          <cell r="T634" t="str">
            <v>Ners</v>
          </cell>
        </row>
        <row r="635">
          <cell r="G635" t="str">
            <v>PNS</v>
          </cell>
          <cell r="H635" t="str">
            <v>Penata Muda Tk.I</v>
          </cell>
          <cell r="T635" t="str">
            <v>Ners</v>
          </cell>
        </row>
        <row r="636">
          <cell r="G636" t="str">
            <v>PNS</v>
          </cell>
          <cell r="H636" t="str">
            <v>Penata Muda Tk.I</v>
          </cell>
          <cell r="T636" t="str">
            <v>Ners</v>
          </cell>
        </row>
        <row r="637">
          <cell r="G637" t="str">
            <v>PNS</v>
          </cell>
          <cell r="H637" t="str">
            <v>Penata Muda Tk.I</v>
          </cell>
          <cell r="T637" t="str">
            <v>Ners</v>
          </cell>
        </row>
        <row r="638">
          <cell r="G638" t="str">
            <v>PNS</v>
          </cell>
          <cell r="H638" t="str">
            <v>Penata Muda Tk.I</v>
          </cell>
          <cell r="T638" t="str">
            <v>Ners</v>
          </cell>
          <cell r="U638">
            <v>2014</v>
          </cell>
        </row>
        <row r="639">
          <cell r="G639" t="str">
            <v>PNS</v>
          </cell>
          <cell r="H639" t="str">
            <v>Penata Muda Tk.I</v>
          </cell>
          <cell r="T639" t="str">
            <v>Ners</v>
          </cell>
        </row>
        <row r="640">
          <cell r="G640" t="str">
            <v>PNS</v>
          </cell>
          <cell r="H640" t="str">
            <v>Penata Muda Tk.I</v>
          </cell>
          <cell r="T640" t="str">
            <v>SMA</v>
          </cell>
        </row>
        <row r="641">
          <cell r="G641" t="str">
            <v>PNS</v>
          </cell>
          <cell r="H641" t="str">
            <v>Penata Muda Tk.I</v>
          </cell>
          <cell r="T641" t="str">
            <v>SMA</v>
          </cell>
        </row>
        <row r="642">
          <cell r="G642" t="str">
            <v>PNS</v>
          </cell>
          <cell r="H642" t="str">
            <v>Penata Muda Tk.I</v>
          </cell>
          <cell r="T642" t="str">
            <v>Ners</v>
          </cell>
          <cell r="U642">
            <v>2018</v>
          </cell>
        </row>
        <row r="643">
          <cell r="G643" t="str">
            <v>PNS</v>
          </cell>
          <cell r="H643" t="str">
            <v>Penata Muda Tk.I</v>
          </cell>
          <cell r="T643" t="str">
            <v>Ners</v>
          </cell>
        </row>
        <row r="644">
          <cell r="G644" t="str">
            <v>PPPK</v>
          </cell>
          <cell r="T644" t="str">
            <v>AKPER</v>
          </cell>
        </row>
        <row r="645">
          <cell r="G645" t="str">
            <v>PPPK</v>
          </cell>
          <cell r="T645" t="str">
            <v>AKPER</v>
          </cell>
        </row>
        <row r="646">
          <cell r="G646" t="str">
            <v>PPPK</v>
          </cell>
          <cell r="T646" t="str">
            <v>D3 Keperawatan</v>
          </cell>
        </row>
        <row r="647">
          <cell r="G647" t="str">
            <v>PPPK</v>
          </cell>
          <cell r="T647" t="str">
            <v>D3 Keperawatan</v>
          </cell>
        </row>
        <row r="648">
          <cell r="G648" t="str">
            <v>PPPK</v>
          </cell>
          <cell r="T648" t="str">
            <v>D3 Keperawatan</v>
          </cell>
        </row>
        <row r="649">
          <cell r="G649" t="str">
            <v>PPPK</v>
          </cell>
          <cell r="T649" t="str">
            <v>D3 Keperawatan</v>
          </cell>
        </row>
        <row r="650">
          <cell r="G650" t="str">
            <v>PPPK</v>
          </cell>
          <cell r="T650" t="str">
            <v>D3 Keperawatan</v>
          </cell>
        </row>
        <row r="651">
          <cell r="G651" t="str">
            <v>PPPK</v>
          </cell>
          <cell r="T651" t="str">
            <v>AKPER</v>
          </cell>
        </row>
        <row r="652">
          <cell r="G652" t="str">
            <v>KONTRAK</v>
          </cell>
          <cell r="T652" t="str">
            <v>S1 Hospitality</v>
          </cell>
        </row>
        <row r="653">
          <cell r="G653" t="str">
            <v>KONTRAK</v>
          </cell>
          <cell r="T653" t="str">
            <v>D3 Seni Kuliner</v>
          </cell>
        </row>
        <row r="654">
          <cell r="G654" t="str">
            <v>KONTRAK</v>
          </cell>
          <cell r="T654" t="str">
            <v>Ners</v>
          </cell>
        </row>
        <row r="655">
          <cell r="G655" t="str">
            <v>KONTRAK</v>
          </cell>
          <cell r="T655" t="str">
            <v>Ners</v>
          </cell>
        </row>
        <row r="656">
          <cell r="G656" t="str">
            <v>KONTRAK</v>
          </cell>
          <cell r="T656" t="str">
            <v>Ners</v>
          </cell>
        </row>
        <row r="657">
          <cell r="G657" t="str">
            <v>KONTRAK</v>
          </cell>
          <cell r="T657" t="str">
            <v>Ners</v>
          </cell>
        </row>
        <row r="658">
          <cell r="G658" t="str">
            <v>KONTRAK</v>
          </cell>
          <cell r="T658" t="str">
            <v>Ners</v>
          </cell>
        </row>
        <row r="659">
          <cell r="G659" t="str">
            <v>KONTRAK</v>
          </cell>
          <cell r="T659" t="str">
            <v>Ners</v>
          </cell>
        </row>
        <row r="660">
          <cell r="G660" t="str">
            <v>KONTRAK</v>
          </cell>
          <cell r="T660" t="str">
            <v>Ners</v>
          </cell>
        </row>
        <row r="661">
          <cell r="G661" t="str">
            <v>CPNS</v>
          </cell>
          <cell r="H661" t="str">
            <v>Penata Muda Tk.I</v>
          </cell>
          <cell r="T661" t="str">
            <v>Ners</v>
          </cell>
        </row>
        <row r="662">
          <cell r="G662" t="str">
            <v>CPNS</v>
          </cell>
          <cell r="H662" t="str">
            <v>Penata Muda Tk.I</v>
          </cell>
          <cell r="T662" t="str">
            <v>Ners</v>
          </cell>
        </row>
        <row r="663">
          <cell r="G663" t="str">
            <v>CPNS</v>
          </cell>
          <cell r="H663" t="str">
            <v>Penata Muda Tk.I</v>
          </cell>
          <cell r="T663" t="str">
            <v>Ners</v>
          </cell>
        </row>
        <row r="664">
          <cell r="G664" t="str">
            <v>CPNS</v>
          </cell>
          <cell r="H664" t="str">
            <v>Penata Muda Tk.I</v>
          </cell>
          <cell r="T664" t="str">
            <v>Ners</v>
          </cell>
        </row>
        <row r="665">
          <cell r="G665" t="str">
            <v>PPPK</v>
          </cell>
          <cell r="T665" t="str">
            <v>D3 Keperawatan</v>
          </cell>
        </row>
        <row r="668">
          <cell r="G668" t="str">
            <v>PNS</v>
          </cell>
          <cell r="H668" t="str">
            <v>Pembina Tk.I</v>
          </cell>
          <cell r="T668" t="str">
            <v>Ners</v>
          </cell>
        </row>
        <row r="669">
          <cell r="G669" t="str">
            <v>PNS</v>
          </cell>
          <cell r="H669" t="str">
            <v>Penata Tk.I</v>
          </cell>
          <cell r="T669" t="str">
            <v>Ners</v>
          </cell>
        </row>
        <row r="670">
          <cell r="G670" t="str">
            <v>PNS</v>
          </cell>
          <cell r="H670" t="str">
            <v>Penata Tk.I</v>
          </cell>
          <cell r="T670" t="str">
            <v>AKPER</v>
          </cell>
        </row>
        <row r="671">
          <cell r="G671" t="str">
            <v>PNS</v>
          </cell>
          <cell r="H671" t="str">
            <v>Penata Tk.I</v>
          </cell>
          <cell r="T671" t="str">
            <v>Ners</v>
          </cell>
        </row>
        <row r="672">
          <cell r="G672" t="str">
            <v>PNS</v>
          </cell>
          <cell r="H672" t="str">
            <v>Penata</v>
          </cell>
          <cell r="T672" t="str">
            <v>AKPER</v>
          </cell>
        </row>
        <row r="673">
          <cell r="G673" t="str">
            <v>PNS</v>
          </cell>
          <cell r="H673" t="str">
            <v>Penata Muda Tk.I</v>
          </cell>
          <cell r="T673" t="str">
            <v>D3 Keperawatan</v>
          </cell>
        </row>
        <row r="674">
          <cell r="G674" t="str">
            <v>PNS</v>
          </cell>
          <cell r="H674" t="str">
            <v>Penata Muda</v>
          </cell>
          <cell r="T674" t="str">
            <v>D3 Keperawatan</v>
          </cell>
          <cell r="U674">
            <v>2007</v>
          </cell>
        </row>
        <row r="675">
          <cell r="G675" t="str">
            <v>PNS</v>
          </cell>
          <cell r="H675" t="str">
            <v>Penata</v>
          </cell>
          <cell r="T675" t="str">
            <v>D3 Keperawatan</v>
          </cell>
        </row>
        <row r="676">
          <cell r="G676" t="str">
            <v>PNS</v>
          </cell>
          <cell r="H676" t="str">
            <v>Penata</v>
          </cell>
          <cell r="T676" t="str">
            <v>D3 Keperawatan</v>
          </cell>
        </row>
        <row r="677">
          <cell r="G677" t="str">
            <v>PNS</v>
          </cell>
          <cell r="H677" t="str">
            <v>Penata Muda Tk.I</v>
          </cell>
          <cell r="T677" t="str">
            <v>Ners</v>
          </cell>
        </row>
        <row r="678">
          <cell r="G678" t="str">
            <v>PNS</v>
          </cell>
          <cell r="H678" t="str">
            <v>Penata Muda Tk.I</v>
          </cell>
          <cell r="T678" t="str">
            <v>Ners</v>
          </cell>
        </row>
        <row r="679">
          <cell r="G679" t="str">
            <v>PPPK</v>
          </cell>
          <cell r="T679" t="str">
            <v>AKPER</v>
          </cell>
        </row>
        <row r="680">
          <cell r="G680" t="str">
            <v>PPPK</v>
          </cell>
          <cell r="T680" t="str">
            <v>AKPER</v>
          </cell>
        </row>
        <row r="681">
          <cell r="G681" t="str">
            <v>PPPK</v>
          </cell>
          <cell r="T681" t="str">
            <v>D3 Keperawatan</v>
          </cell>
        </row>
        <row r="682">
          <cell r="G682" t="str">
            <v>PPPK</v>
          </cell>
          <cell r="T682" t="str">
            <v>D3 Keperawatan</v>
          </cell>
        </row>
        <row r="683">
          <cell r="G683" t="str">
            <v>PPPK</v>
          </cell>
          <cell r="T683" t="str">
            <v>D3 Keperawatan</v>
          </cell>
        </row>
        <row r="684">
          <cell r="G684" t="str">
            <v>PPPK</v>
          </cell>
          <cell r="T684" t="str">
            <v>D3 Keperawatan</v>
          </cell>
        </row>
        <row r="685">
          <cell r="G685" t="str">
            <v>CPNS</v>
          </cell>
          <cell r="H685" t="str">
            <v>Penata Muda Tk.I</v>
          </cell>
          <cell r="T685" t="str">
            <v>Ners</v>
          </cell>
        </row>
        <row r="686">
          <cell r="G686" t="str">
            <v>KONTRAK</v>
          </cell>
          <cell r="T686" t="str">
            <v>D3 Administrasi Publik</v>
          </cell>
        </row>
        <row r="689">
          <cell r="G689" t="str">
            <v>PNS</v>
          </cell>
          <cell r="H689" t="str">
            <v>Pembina Tk.I</v>
          </cell>
          <cell r="T689" t="str">
            <v>Ners</v>
          </cell>
        </row>
        <row r="690">
          <cell r="G690" t="str">
            <v>PNS</v>
          </cell>
          <cell r="H690" t="str">
            <v>Penata Tk.I</v>
          </cell>
          <cell r="T690" t="str">
            <v>D3 Keperawatan</v>
          </cell>
        </row>
        <row r="691">
          <cell r="G691" t="str">
            <v>PNS</v>
          </cell>
          <cell r="H691" t="str">
            <v>Penata Tk.I</v>
          </cell>
          <cell r="T691" t="str">
            <v>D3 Keperawatan</v>
          </cell>
        </row>
        <row r="692">
          <cell r="G692" t="str">
            <v>PNS</v>
          </cell>
          <cell r="H692" t="str">
            <v>Penata Tk.I</v>
          </cell>
          <cell r="T692" t="str">
            <v>D3 Keperawatan</v>
          </cell>
        </row>
        <row r="693">
          <cell r="G693" t="str">
            <v>PNS</v>
          </cell>
          <cell r="H693" t="str">
            <v>Penata Tk.I</v>
          </cell>
          <cell r="T693" t="str">
            <v>Ners</v>
          </cell>
          <cell r="U693">
            <v>2021</v>
          </cell>
        </row>
        <row r="694">
          <cell r="G694" t="str">
            <v>PNS</v>
          </cell>
          <cell r="H694" t="str">
            <v>Penata Tk.I</v>
          </cell>
          <cell r="T694" t="str">
            <v>Ners</v>
          </cell>
          <cell r="U694">
            <v>2021</v>
          </cell>
        </row>
        <row r="695">
          <cell r="G695" t="str">
            <v>PNS</v>
          </cell>
          <cell r="H695" t="str">
            <v>Penata Tk.I</v>
          </cell>
          <cell r="T695" t="str">
            <v>D4 Keperawatan</v>
          </cell>
        </row>
        <row r="696">
          <cell r="G696" t="str">
            <v>PNS</v>
          </cell>
          <cell r="H696" t="str">
            <v>Penata</v>
          </cell>
          <cell r="T696" t="str">
            <v>D3 Keperawatan</v>
          </cell>
        </row>
        <row r="697">
          <cell r="G697" t="str">
            <v>PNS</v>
          </cell>
          <cell r="H697" t="str">
            <v>Penata Tk.I</v>
          </cell>
          <cell r="T697" t="str">
            <v>D3 Keperawatan</v>
          </cell>
        </row>
        <row r="698">
          <cell r="G698" t="str">
            <v>PNS</v>
          </cell>
          <cell r="H698" t="str">
            <v>Penata Muda Tk.I</v>
          </cell>
          <cell r="T698" t="str">
            <v>D3 Keperawatan</v>
          </cell>
        </row>
        <row r="699">
          <cell r="G699" t="str">
            <v>PNS</v>
          </cell>
          <cell r="H699" t="str">
            <v>Penata Muda Tk.I</v>
          </cell>
          <cell r="T699" t="str">
            <v>Ners</v>
          </cell>
        </row>
        <row r="700">
          <cell r="G700" t="str">
            <v>PNS</v>
          </cell>
          <cell r="H700" t="str">
            <v>Penata Muda Tk.I</v>
          </cell>
          <cell r="T700" t="str">
            <v>Ners</v>
          </cell>
          <cell r="U700">
            <v>2017</v>
          </cell>
        </row>
        <row r="701">
          <cell r="G701" t="str">
            <v>PPPK</v>
          </cell>
          <cell r="T701" t="str">
            <v>D3 Keperawatan</v>
          </cell>
        </row>
        <row r="702">
          <cell r="G702" t="str">
            <v>PPPK</v>
          </cell>
          <cell r="T702" t="str">
            <v>D3 Keperawatan</v>
          </cell>
        </row>
        <row r="703">
          <cell r="G703" t="str">
            <v>PPPK</v>
          </cell>
          <cell r="T703" t="str">
            <v>Ners</v>
          </cell>
        </row>
        <row r="704">
          <cell r="G704" t="str">
            <v>PNS</v>
          </cell>
          <cell r="H704" t="str">
            <v>Penata Tk.I</v>
          </cell>
          <cell r="T704" t="str">
            <v>AKPER</v>
          </cell>
        </row>
        <row r="705">
          <cell r="G705" t="str">
            <v>KONTRAK</v>
          </cell>
          <cell r="T705" t="str">
            <v>Ners</v>
          </cell>
          <cell r="U705">
            <v>2019</v>
          </cell>
        </row>
        <row r="706">
          <cell r="G706" t="str">
            <v>KONTRAK</v>
          </cell>
          <cell r="T706" t="str">
            <v>Ners</v>
          </cell>
        </row>
        <row r="707">
          <cell r="G707" t="str">
            <v>KONTRAK</v>
          </cell>
          <cell r="T707" t="str">
            <v>Ners</v>
          </cell>
        </row>
        <row r="708">
          <cell r="G708" t="str">
            <v>KONTRAK</v>
          </cell>
          <cell r="T708" t="str">
            <v>Ners</v>
          </cell>
        </row>
        <row r="709">
          <cell r="G709" t="str">
            <v>KONTRAK</v>
          </cell>
          <cell r="T709" t="str">
            <v>D3 Keperawatan</v>
          </cell>
          <cell r="U709">
            <v>2019</v>
          </cell>
        </row>
        <row r="710">
          <cell r="G710" t="str">
            <v>KONTRAK</v>
          </cell>
          <cell r="T710" t="str">
            <v>Ners</v>
          </cell>
        </row>
        <row r="711">
          <cell r="G711" t="str">
            <v>PPPK</v>
          </cell>
          <cell r="T711" t="str">
            <v>D3 Keperawatan</v>
          </cell>
        </row>
        <row r="712">
          <cell r="G712" t="str">
            <v>CPNS</v>
          </cell>
          <cell r="H712" t="str">
            <v>Penata Muda Tk.I</v>
          </cell>
          <cell r="T712" t="str">
            <v>Ners</v>
          </cell>
        </row>
        <row r="713">
          <cell r="G713" t="str">
            <v>CPNS</v>
          </cell>
          <cell r="H713" t="str">
            <v>Penata Muda Tk.I</v>
          </cell>
          <cell r="T713" t="str">
            <v>Ners</v>
          </cell>
        </row>
        <row r="714">
          <cell r="G714" t="str">
            <v>CPNS</v>
          </cell>
          <cell r="H714" t="str">
            <v>Penata Muda Tk.I</v>
          </cell>
          <cell r="T714" t="str">
            <v>Ners</v>
          </cell>
        </row>
        <row r="717">
          <cell r="G717" t="str">
            <v>Status</v>
          </cell>
          <cell r="H717" t="str">
            <v>Pangkat</v>
          </cell>
          <cell r="T717" t="str">
            <v>Pendidikan</v>
          </cell>
          <cell r="U717" t="str">
            <v>Th Lulus Pendidikan</v>
          </cell>
        </row>
        <row r="719">
          <cell r="G719" t="str">
            <v>PNS</v>
          </cell>
          <cell r="H719" t="str">
            <v>Penata Tk.I</v>
          </cell>
          <cell r="T719" t="str">
            <v>D3 Analis Kesehatan</v>
          </cell>
        </row>
        <row r="720">
          <cell r="G720" t="str">
            <v>PNS</v>
          </cell>
          <cell r="H720" t="str">
            <v>Penata Tk.I</v>
          </cell>
          <cell r="T720" t="str">
            <v>D3 Analis Kesehatan</v>
          </cell>
        </row>
        <row r="721">
          <cell r="G721" t="str">
            <v>PNS</v>
          </cell>
          <cell r="H721" t="str">
            <v>Penata Tk.I</v>
          </cell>
          <cell r="T721" t="str">
            <v>D3 Analis Kesehatan</v>
          </cell>
        </row>
        <row r="722">
          <cell r="G722" t="str">
            <v>PNS</v>
          </cell>
          <cell r="H722" t="str">
            <v>Penata Tk.I</v>
          </cell>
          <cell r="T722" t="str">
            <v>D3 Analis Kesehatan</v>
          </cell>
        </row>
        <row r="723">
          <cell r="G723" t="str">
            <v>PNS</v>
          </cell>
          <cell r="H723" t="str">
            <v>Penata Tk.I</v>
          </cell>
          <cell r="T723" t="str">
            <v>D3 Analis Kesehatan</v>
          </cell>
        </row>
        <row r="724">
          <cell r="G724" t="str">
            <v>PNS</v>
          </cell>
          <cell r="H724" t="str">
            <v>Penata Tk.I</v>
          </cell>
          <cell r="T724" t="str">
            <v>D3 Analis Kesehatan</v>
          </cell>
        </row>
        <row r="725">
          <cell r="G725" t="str">
            <v>PNS</v>
          </cell>
          <cell r="H725" t="str">
            <v>Penata</v>
          </cell>
          <cell r="T725" t="str">
            <v>D3 Analis Kesehatan</v>
          </cell>
        </row>
        <row r="726">
          <cell r="G726" t="str">
            <v>PPPK</v>
          </cell>
          <cell r="T726" t="str">
            <v>D3 Analis Kesehatan</v>
          </cell>
        </row>
        <row r="727">
          <cell r="G727" t="str">
            <v>PNS</v>
          </cell>
          <cell r="H727" t="str">
            <v>Penata Tk.I</v>
          </cell>
          <cell r="T727" t="str">
            <v>D4 Analis Kesehatan</v>
          </cell>
        </row>
        <row r="728">
          <cell r="G728" t="str">
            <v>PNS</v>
          </cell>
          <cell r="H728" t="str">
            <v>Penata</v>
          </cell>
          <cell r="T728" t="str">
            <v>D3 Analis Kesehatan</v>
          </cell>
        </row>
        <row r="729">
          <cell r="G729" t="str">
            <v>PNS</v>
          </cell>
          <cell r="H729" t="str">
            <v>Penata Tk.I</v>
          </cell>
          <cell r="T729" t="str">
            <v>D3 Analis Kesehatan</v>
          </cell>
        </row>
        <row r="730">
          <cell r="G730" t="str">
            <v>PPPK</v>
          </cell>
          <cell r="T730" t="str">
            <v>D3 Analis Kesehatan</v>
          </cell>
        </row>
        <row r="731">
          <cell r="G731" t="str">
            <v>PNS</v>
          </cell>
          <cell r="H731" t="str">
            <v>Penata Muda</v>
          </cell>
          <cell r="T731" t="str">
            <v>D4 Analis Kesehatan</v>
          </cell>
        </row>
        <row r="732">
          <cell r="G732" t="str">
            <v>PPPK</v>
          </cell>
          <cell r="T732" t="str">
            <v>D3 Analis Kesehatan</v>
          </cell>
        </row>
        <row r="733">
          <cell r="G733" t="str">
            <v>PPPK</v>
          </cell>
          <cell r="T733" t="str">
            <v>D3 Analis Kesehatan</v>
          </cell>
        </row>
        <row r="734">
          <cell r="G734" t="str">
            <v>PNS</v>
          </cell>
          <cell r="H734" t="str">
            <v>Penata Muda Tk.I</v>
          </cell>
          <cell r="T734" t="str">
            <v>D4 Analis Kesehatan</v>
          </cell>
        </row>
        <row r="735">
          <cell r="G735" t="str">
            <v>PNS</v>
          </cell>
          <cell r="H735" t="str">
            <v>Pengatur</v>
          </cell>
          <cell r="T735" t="str">
            <v>D3 Teknologi Laboratorium Medis</v>
          </cell>
        </row>
        <row r="736">
          <cell r="G736" t="str">
            <v>BLU TETAP</v>
          </cell>
          <cell r="T736" t="str">
            <v>D3 Manaj. Informatika Perbankan</v>
          </cell>
        </row>
        <row r="737">
          <cell r="G737" t="str">
            <v>PNS</v>
          </cell>
          <cell r="H737" t="str">
            <v>Penata Muda Tk.I</v>
          </cell>
          <cell r="T737" t="str">
            <v>D3 Keperawatan</v>
          </cell>
        </row>
        <row r="738">
          <cell r="G738" t="str">
            <v>PNS</v>
          </cell>
          <cell r="H738" t="str">
            <v>Pengatur Tk.I</v>
          </cell>
          <cell r="T738" t="str">
            <v>SMF</v>
          </cell>
        </row>
        <row r="739">
          <cell r="G739" t="str">
            <v>KONTRAK</v>
          </cell>
          <cell r="T739" t="str">
            <v>D3 Sistem Informasi</v>
          </cell>
        </row>
        <row r="740">
          <cell r="G740" t="str">
            <v>KONTRAK</v>
          </cell>
          <cell r="T740" t="str">
            <v>D3 Administrasi Publik</v>
          </cell>
        </row>
        <row r="741">
          <cell r="G741" t="str">
            <v>KONTRAK</v>
          </cell>
          <cell r="T741" t="str">
            <v>S1 Administrasi Publik</v>
          </cell>
        </row>
        <row r="742">
          <cell r="G742" t="str">
            <v>CPNS</v>
          </cell>
          <cell r="H742" t="str">
            <v>Penata Muda</v>
          </cell>
          <cell r="T742" t="str">
            <v>D4 Teknologi Laboratorium Medis</v>
          </cell>
        </row>
        <row r="743">
          <cell r="G743" t="str">
            <v>CPNS</v>
          </cell>
          <cell r="H743" t="str">
            <v>Penata Muda</v>
          </cell>
          <cell r="T743" t="str">
            <v>D4 Teknologi Laboratorium Medis</v>
          </cell>
        </row>
        <row r="744">
          <cell r="G744" t="str">
            <v>CPNS</v>
          </cell>
          <cell r="H744" t="str">
            <v>Penata Muda</v>
          </cell>
          <cell r="T744" t="str">
            <v>D4 Teknologi Laboratorium Medis</v>
          </cell>
        </row>
        <row r="745">
          <cell r="G745" t="str">
            <v>CPNS</v>
          </cell>
          <cell r="H745" t="str">
            <v>Penata Muda</v>
          </cell>
          <cell r="T745" t="str">
            <v>D4 Teknologi Laboratorium Medis</v>
          </cell>
        </row>
        <row r="746">
          <cell r="G746" t="str">
            <v>CPNS</v>
          </cell>
          <cell r="H746" t="str">
            <v>Penata Muda</v>
          </cell>
          <cell r="T746" t="str">
            <v>D4 Teknologi Laboratorium Medis</v>
          </cell>
        </row>
        <row r="748">
          <cell r="G748" t="str">
            <v>PNS</v>
          </cell>
          <cell r="H748" t="str">
            <v>Penata</v>
          </cell>
          <cell r="T748" t="str">
            <v>D4 Analis Kesehatan</v>
          </cell>
        </row>
        <row r="749">
          <cell r="G749" t="str">
            <v>PNS</v>
          </cell>
          <cell r="H749" t="str">
            <v>Penata Muda</v>
          </cell>
          <cell r="T749" t="str">
            <v>D3 Analis Kesehatan</v>
          </cell>
          <cell r="U749">
            <v>2011</v>
          </cell>
        </row>
        <row r="750">
          <cell r="G750" t="str">
            <v>CPNS</v>
          </cell>
          <cell r="H750" t="str">
            <v>Penata Muda</v>
          </cell>
          <cell r="T750" t="str">
            <v>D4 Teknologi Laboratorium Medis</v>
          </cell>
        </row>
        <row r="751">
          <cell r="G751" t="str">
            <v>CPNS</v>
          </cell>
          <cell r="H751" t="str">
            <v>Penata Muda</v>
          </cell>
          <cell r="T751" t="str">
            <v>D4 Analis Kesehatan</v>
          </cell>
        </row>
        <row r="752">
          <cell r="G752" t="str">
            <v>CPNS</v>
          </cell>
          <cell r="H752" t="str">
            <v>Penata Muda</v>
          </cell>
          <cell r="T752" t="str">
            <v>D4 Teknologi Laboratorium Medis</v>
          </cell>
        </row>
        <row r="753">
          <cell r="G753" t="str">
            <v>KONTRAK</v>
          </cell>
          <cell r="T753" t="str">
            <v>S1 Teknik Informatika</v>
          </cell>
        </row>
        <row r="755">
          <cell r="G755" t="str">
            <v>PNS</v>
          </cell>
          <cell r="H755" t="str">
            <v>Pembina Utama Muda</v>
          </cell>
          <cell r="T755" t="str">
            <v>S2 Magister Kesehatan</v>
          </cell>
        </row>
        <row r="756">
          <cell r="G756" t="str">
            <v>PNS</v>
          </cell>
          <cell r="H756" t="str">
            <v>Penata</v>
          </cell>
          <cell r="T756" t="str">
            <v>D4 Analis Kesehatan</v>
          </cell>
        </row>
        <row r="757">
          <cell r="G757" t="str">
            <v>PNS</v>
          </cell>
          <cell r="H757" t="str">
            <v>Pembina</v>
          </cell>
          <cell r="T757" t="str">
            <v>D4 Analis Kesehatan</v>
          </cell>
        </row>
        <row r="758">
          <cell r="G758" t="str">
            <v>PPPK</v>
          </cell>
          <cell r="T758" t="str">
            <v>D3 Analis Kesehatan</v>
          </cell>
        </row>
        <row r="759">
          <cell r="G759" t="str">
            <v>PPPK</v>
          </cell>
          <cell r="T759" t="str">
            <v>D3 Analis Kesehatan</v>
          </cell>
        </row>
        <row r="760">
          <cell r="G760" t="str">
            <v>PPPK</v>
          </cell>
          <cell r="T760" t="str">
            <v>D3 Analis Kesehatan</v>
          </cell>
        </row>
        <row r="761">
          <cell r="G761" t="str">
            <v>KONTRAK</v>
          </cell>
          <cell r="T761" t="str">
            <v>D3 Seni Kuliner</v>
          </cell>
        </row>
        <row r="763">
          <cell r="G763" t="str">
            <v>PNS</v>
          </cell>
          <cell r="H763" t="str">
            <v>Penata Tk.I</v>
          </cell>
          <cell r="T763" t="str">
            <v>D3 Analis Kesehatan</v>
          </cell>
        </row>
        <row r="764">
          <cell r="G764" t="str">
            <v>PNS</v>
          </cell>
          <cell r="H764" t="str">
            <v>Penata Tk.I</v>
          </cell>
          <cell r="T764" t="str">
            <v>D3 Analis Kesehatan</v>
          </cell>
        </row>
        <row r="765">
          <cell r="G765" t="str">
            <v>PPPK</v>
          </cell>
          <cell r="T765" t="str">
            <v>D3 Teknologi Transfusi Darah</v>
          </cell>
        </row>
        <row r="766">
          <cell r="G766" t="str">
            <v>PPPK</v>
          </cell>
          <cell r="T766" t="str">
            <v>D3 Teknologi Transfusi Darah</v>
          </cell>
        </row>
        <row r="767">
          <cell r="G767" t="str">
            <v>PPPK</v>
          </cell>
          <cell r="T767" t="str">
            <v>D3 Analis Kesehatan</v>
          </cell>
        </row>
        <row r="768">
          <cell r="G768" t="str">
            <v>PNS</v>
          </cell>
          <cell r="H768" t="str">
            <v>Pengatur</v>
          </cell>
          <cell r="T768" t="str">
            <v>D3 Analis Kesehatan</v>
          </cell>
        </row>
        <row r="769">
          <cell r="G769" t="str">
            <v>PPPK</v>
          </cell>
          <cell r="T769" t="str">
            <v>D3 Teknologi Bank Darah</v>
          </cell>
        </row>
        <row r="770">
          <cell r="G770" t="str">
            <v>PPPK</v>
          </cell>
          <cell r="T770" t="str">
            <v>D3 Teknologi Bank Darah</v>
          </cell>
        </row>
        <row r="771">
          <cell r="G771" t="str">
            <v>CPNS</v>
          </cell>
          <cell r="H771" t="str">
            <v>Pengatur</v>
          </cell>
          <cell r="T771" t="str">
            <v>D3 Teknologi Transfusi Darah</v>
          </cell>
        </row>
        <row r="772">
          <cell r="G772" t="str">
            <v>CPNS</v>
          </cell>
          <cell r="H772" t="str">
            <v>Pengatur</v>
          </cell>
          <cell r="T772" t="str">
            <v>D3 Teknologi Bank Darah</v>
          </cell>
        </row>
        <row r="773">
          <cell r="G773" t="str">
            <v>CPNS</v>
          </cell>
          <cell r="H773" t="str">
            <v>Pengatur</v>
          </cell>
          <cell r="T773" t="str">
            <v>D3 Teknologi Bank Darah</v>
          </cell>
        </row>
        <row r="776">
          <cell r="G776" t="str">
            <v>Status</v>
          </cell>
          <cell r="H776" t="str">
            <v>Pangkat</v>
          </cell>
          <cell r="T776" t="str">
            <v>Pendidikan</v>
          </cell>
          <cell r="U776" t="str">
            <v>Th Lulus Pendidikan</v>
          </cell>
        </row>
        <row r="777">
          <cell r="G777" t="str">
            <v>PNS</v>
          </cell>
          <cell r="H777" t="str">
            <v>Pembina Tk.I</v>
          </cell>
          <cell r="T777" t="str">
            <v>M. Kep</v>
          </cell>
          <cell r="U777">
            <v>2020</v>
          </cell>
        </row>
        <row r="778">
          <cell r="G778" t="str">
            <v>PNS</v>
          </cell>
          <cell r="H778" t="str">
            <v>Pembina Tk.I</v>
          </cell>
          <cell r="T778" t="str">
            <v>Ners</v>
          </cell>
          <cell r="U778">
            <v>2021</v>
          </cell>
        </row>
        <row r="779">
          <cell r="G779" t="str">
            <v>PNS</v>
          </cell>
          <cell r="H779" t="str">
            <v>Penata Tk.I</v>
          </cell>
          <cell r="T779" t="str">
            <v>D3 Kebidanan</v>
          </cell>
        </row>
        <row r="780">
          <cell r="G780" t="str">
            <v>PNS</v>
          </cell>
          <cell r="H780" t="str">
            <v>Penata Tk.I</v>
          </cell>
          <cell r="T780" t="str">
            <v>Ners</v>
          </cell>
        </row>
        <row r="781">
          <cell r="G781" t="str">
            <v>PNS</v>
          </cell>
          <cell r="H781" t="str">
            <v>Penata Muda</v>
          </cell>
          <cell r="T781" t="str">
            <v>SMEA</v>
          </cell>
        </row>
        <row r="782">
          <cell r="G782" t="str">
            <v>PNS</v>
          </cell>
          <cell r="H782" t="str">
            <v>Pembina Tk.I</v>
          </cell>
          <cell r="T782" t="str">
            <v>Ners</v>
          </cell>
          <cell r="U782">
            <v>2021</v>
          </cell>
        </row>
        <row r="783">
          <cell r="G783" t="str">
            <v>PNS</v>
          </cell>
          <cell r="H783" t="str">
            <v>Pembina Tk.I</v>
          </cell>
          <cell r="T783" t="str">
            <v>Ners</v>
          </cell>
          <cell r="U783">
            <v>2021</v>
          </cell>
        </row>
        <row r="784">
          <cell r="G784" t="str">
            <v>PNS</v>
          </cell>
          <cell r="H784" t="str">
            <v>Penata Tk.I</v>
          </cell>
          <cell r="T784" t="str">
            <v>D3 Kebidanan</v>
          </cell>
        </row>
        <row r="785">
          <cell r="G785" t="str">
            <v>PNS</v>
          </cell>
          <cell r="H785" t="str">
            <v>Penata Muda</v>
          </cell>
          <cell r="T785" t="str">
            <v>S1 Akuntansi</v>
          </cell>
        </row>
        <row r="786">
          <cell r="G786" t="str">
            <v>PNS</v>
          </cell>
          <cell r="H786" t="str">
            <v>Penata Tk.I</v>
          </cell>
          <cell r="T786" t="str">
            <v>Ners</v>
          </cell>
        </row>
        <row r="787">
          <cell r="G787" t="str">
            <v>PNS</v>
          </cell>
          <cell r="H787" t="str">
            <v>Pembina Tk.I</v>
          </cell>
          <cell r="T787" t="str">
            <v>Ners</v>
          </cell>
        </row>
        <row r="788">
          <cell r="G788" t="str">
            <v>PNS</v>
          </cell>
          <cell r="H788" t="str">
            <v>Penata Tk.I</v>
          </cell>
          <cell r="T788" t="str">
            <v>D3 Kebidanan</v>
          </cell>
        </row>
        <row r="789">
          <cell r="G789" t="str">
            <v>PNS</v>
          </cell>
          <cell r="H789" t="str">
            <v>Penata Tk.I</v>
          </cell>
          <cell r="T789" t="str">
            <v>M. Keb</v>
          </cell>
        </row>
        <row r="790">
          <cell r="G790" t="str">
            <v>PNS</v>
          </cell>
          <cell r="H790" t="str">
            <v>Penata Tk.I</v>
          </cell>
          <cell r="T790" t="str">
            <v>AKPER</v>
          </cell>
        </row>
        <row r="791">
          <cell r="G791" t="str">
            <v>PNS</v>
          </cell>
          <cell r="H791" t="str">
            <v>Penata Tk.I</v>
          </cell>
          <cell r="T791" t="str">
            <v>D3 Keperawatan</v>
          </cell>
        </row>
        <row r="792">
          <cell r="G792" t="str">
            <v>PNS</v>
          </cell>
          <cell r="H792" t="str">
            <v>Penata Tk.I</v>
          </cell>
          <cell r="T792" t="str">
            <v>Ners</v>
          </cell>
        </row>
        <row r="793">
          <cell r="G793" t="str">
            <v>PNS</v>
          </cell>
          <cell r="H793" t="str">
            <v>Penata Tk.I</v>
          </cell>
          <cell r="T793" t="str">
            <v>Ners</v>
          </cell>
          <cell r="U793">
            <v>2021</v>
          </cell>
        </row>
        <row r="794">
          <cell r="G794" t="str">
            <v>PNS</v>
          </cell>
          <cell r="H794" t="str">
            <v>Penata Tk.I</v>
          </cell>
          <cell r="T794" t="str">
            <v>D3 Kebidanan</v>
          </cell>
        </row>
        <row r="795">
          <cell r="G795" t="str">
            <v>PNS</v>
          </cell>
          <cell r="H795" t="str">
            <v>Penata Tk.I</v>
          </cell>
          <cell r="T795" t="str">
            <v>D3 Keperawatan</v>
          </cell>
        </row>
        <row r="796">
          <cell r="G796" t="str">
            <v>PNS</v>
          </cell>
          <cell r="H796" t="str">
            <v>Penata</v>
          </cell>
          <cell r="T796" t="str">
            <v>D3 Keperawatan</v>
          </cell>
        </row>
        <row r="797">
          <cell r="G797" t="str">
            <v>PNS</v>
          </cell>
          <cell r="H797" t="str">
            <v>Penata Muda Tk.I</v>
          </cell>
          <cell r="T797" t="str">
            <v>D3 Keperawatan</v>
          </cell>
        </row>
        <row r="798">
          <cell r="G798" t="str">
            <v>PNS</v>
          </cell>
          <cell r="H798" t="str">
            <v>Penata Muda Tk.I</v>
          </cell>
          <cell r="T798" t="str">
            <v>Ners</v>
          </cell>
        </row>
        <row r="799">
          <cell r="G799" t="str">
            <v>PNS</v>
          </cell>
          <cell r="H799" t="str">
            <v>Penata Muda Tk.I</v>
          </cell>
          <cell r="T799" t="str">
            <v>Ners</v>
          </cell>
        </row>
        <row r="800">
          <cell r="G800" t="str">
            <v>PNS</v>
          </cell>
          <cell r="H800" t="str">
            <v>Pengatur</v>
          </cell>
          <cell r="T800" t="str">
            <v>SMA</v>
          </cell>
        </row>
        <row r="801">
          <cell r="G801" t="str">
            <v>PPPK</v>
          </cell>
          <cell r="T801" t="str">
            <v>AKPER</v>
          </cell>
        </row>
        <row r="802">
          <cell r="G802" t="str">
            <v>PPPK</v>
          </cell>
          <cell r="T802" t="str">
            <v>AKPER</v>
          </cell>
        </row>
        <row r="803">
          <cell r="G803" t="str">
            <v>PPPK</v>
          </cell>
          <cell r="T803" t="str">
            <v>D3 Keperawatan</v>
          </cell>
        </row>
        <row r="804">
          <cell r="G804" t="str">
            <v>PPPK</v>
          </cell>
          <cell r="T804" t="str">
            <v>D3 Keperawatan</v>
          </cell>
        </row>
        <row r="805">
          <cell r="G805" t="str">
            <v>BLU TETAP</v>
          </cell>
          <cell r="T805" t="str">
            <v>D3 Kebidanan</v>
          </cell>
        </row>
        <row r="806">
          <cell r="G806" t="str">
            <v>PPPK</v>
          </cell>
          <cell r="T806" t="str">
            <v>D3 Keperawatan</v>
          </cell>
        </row>
        <row r="807">
          <cell r="G807" t="str">
            <v>PPPK</v>
          </cell>
          <cell r="T807" t="str">
            <v>Ners</v>
          </cell>
        </row>
        <row r="808">
          <cell r="G808" t="str">
            <v>PPPK</v>
          </cell>
          <cell r="T808" t="str">
            <v>Ners</v>
          </cell>
        </row>
        <row r="809">
          <cell r="G809" t="str">
            <v>PPPK</v>
          </cell>
          <cell r="T809" t="str">
            <v>Ners</v>
          </cell>
        </row>
        <row r="810">
          <cell r="G810" t="str">
            <v>PPPK</v>
          </cell>
          <cell r="T810" t="str">
            <v>Ners</v>
          </cell>
        </row>
        <row r="811">
          <cell r="G811" t="str">
            <v>PPPK</v>
          </cell>
          <cell r="T811" t="str">
            <v>Ners</v>
          </cell>
        </row>
        <row r="812">
          <cell r="G812" t="str">
            <v>PPPK</v>
          </cell>
          <cell r="T812" t="str">
            <v>Ners</v>
          </cell>
        </row>
        <row r="813">
          <cell r="G813" t="str">
            <v>PPPK</v>
          </cell>
          <cell r="T813" t="str">
            <v>Ners</v>
          </cell>
        </row>
        <row r="814">
          <cell r="G814" t="str">
            <v>PPPK</v>
          </cell>
          <cell r="T814" t="str">
            <v>D3 Keperawatan</v>
          </cell>
        </row>
        <row r="815">
          <cell r="G815" t="str">
            <v>PNS</v>
          </cell>
          <cell r="H815" t="str">
            <v>Penata Muda Tk.I</v>
          </cell>
          <cell r="T815" t="str">
            <v>Ners</v>
          </cell>
          <cell r="U815">
            <v>2020</v>
          </cell>
        </row>
        <row r="816">
          <cell r="G816" t="str">
            <v>PNS</v>
          </cell>
          <cell r="H816" t="str">
            <v>Penata Muda Tk.I</v>
          </cell>
          <cell r="T816" t="str">
            <v>Ners</v>
          </cell>
          <cell r="U816">
            <v>2014</v>
          </cell>
        </row>
        <row r="817">
          <cell r="G817" t="str">
            <v>PPPK</v>
          </cell>
          <cell r="T817" t="str">
            <v>Ners</v>
          </cell>
        </row>
        <row r="818">
          <cell r="G818" t="str">
            <v>PNS</v>
          </cell>
          <cell r="H818" t="str">
            <v>Penata Muda Tk.I</v>
          </cell>
          <cell r="T818" t="str">
            <v>Ners</v>
          </cell>
        </row>
        <row r="819">
          <cell r="G819" t="str">
            <v>BLU TETAP</v>
          </cell>
          <cell r="T819" t="str">
            <v>D3 Kebidanan</v>
          </cell>
        </row>
        <row r="820">
          <cell r="G820" t="str">
            <v>PPPK</v>
          </cell>
          <cell r="T820" t="str">
            <v>D3 Kebidanan</v>
          </cell>
        </row>
        <row r="821">
          <cell r="G821" t="str">
            <v>KONTRAK</v>
          </cell>
          <cell r="T821" t="str">
            <v>D4 Kebidanan</v>
          </cell>
        </row>
        <row r="822">
          <cell r="G822" t="str">
            <v>BLU TETAP</v>
          </cell>
          <cell r="T822" t="str">
            <v>D3 Kebidanan</v>
          </cell>
        </row>
        <row r="823">
          <cell r="G823" t="str">
            <v>PNS</v>
          </cell>
          <cell r="H823" t="str">
            <v>Penata</v>
          </cell>
          <cell r="T823" t="str">
            <v>D3 Kebidanan</v>
          </cell>
        </row>
        <row r="824">
          <cell r="G824" t="str">
            <v>PPPK</v>
          </cell>
          <cell r="T824" t="str">
            <v>D3 Keperawatan</v>
          </cell>
        </row>
        <row r="825">
          <cell r="G825" t="str">
            <v>KONTRAK</v>
          </cell>
          <cell r="T825" t="str">
            <v>Ners</v>
          </cell>
          <cell r="U825">
            <v>2018</v>
          </cell>
        </row>
        <row r="826">
          <cell r="G826" t="str">
            <v>KONTRAK</v>
          </cell>
          <cell r="T826" t="str">
            <v>Ners</v>
          </cell>
          <cell r="U826">
            <v>2015</v>
          </cell>
        </row>
        <row r="827">
          <cell r="G827" t="str">
            <v>KONTRAK</v>
          </cell>
          <cell r="T827" t="str">
            <v>D3 Keperawatan</v>
          </cell>
          <cell r="U827">
            <v>2015</v>
          </cell>
        </row>
        <row r="828">
          <cell r="G828" t="str">
            <v>KONTRAK</v>
          </cell>
          <cell r="T828" t="str">
            <v>D3 Seni Kuliner</v>
          </cell>
        </row>
        <row r="829">
          <cell r="G829" t="str">
            <v>KONTRAK</v>
          </cell>
          <cell r="T829" t="str">
            <v>Ners</v>
          </cell>
          <cell r="U829">
            <v>2021</v>
          </cell>
        </row>
        <row r="830">
          <cell r="G830" t="str">
            <v>CPNS</v>
          </cell>
          <cell r="H830" t="str">
            <v>Penata Muda Tk.I</v>
          </cell>
          <cell r="T830" t="str">
            <v>Ners</v>
          </cell>
        </row>
        <row r="831">
          <cell r="G831" t="str">
            <v>CPNS</v>
          </cell>
          <cell r="H831" t="str">
            <v>Penata Muda Tk.I</v>
          </cell>
          <cell r="T831" t="str">
            <v>Ners</v>
          </cell>
        </row>
        <row r="833">
          <cell r="G833" t="str">
            <v>PNS</v>
          </cell>
          <cell r="H833" t="str">
            <v>Penata Tk.I</v>
          </cell>
          <cell r="T833" t="str">
            <v>M. Kep</v>
          </cell>
        </row>
        <row r="834">
          <cell r="G834" t="str">
            <v>PPPK</v>
          </cell>
          <cell r="T834" t="str">
            <v>Ners</v>
          </cell>
        </row>
        <row r="835">
          <cell r="G835" t="str">
            <v>PPPK</v>
          </cell>
          <cell r="T835" t="str">
            <v>AKPER</v>
          </cell>
        </row>
        <row r="836">
          <cell r="G836" t="str">
            <v>PNS</v>
          </cell>
          <cell r="H836" t="str">
            <v>Penata</v>
          </cell>
          <cell r="T836" t="str">
            <v>AKPER</v>
          </cell>
        </row>
        <row r="837">
          <cell r="G837" t="str">
            <v>PPPK</v>
          </cell>
          <cell r="T837" t="str">
            <v>D3 Keperawatan</v>
          </cell>
        </row>
        <row r="838">
          <cell r="G838" t="str">
            <v>KONTRAK</v>
          </cell>
          <cell r="T838" t="str">
            <v>Ners</v>
          </cell>
          <cell r="U838">
            <v>2022</v>
          </cell>
        </row>
        <row r="839">
          <cell r="G839" t="str">
            <v>PNS</v>
          </cell>
          <cell r="H839" t="str">
            <v>Penata Muda Tk.I</v>
          </cell>
          <cell r="T839" t="str">
            <v>Ners</v>
          </cell>
          <cell r="U839">
            <v>2018</v>
          </cell>
        </row>
        <row r="840">
          <cell r="G840" t="str">
            <v>PNS</v>
          </cell>
          <cell r="H840" t="str">
            <v>Penata Tk.I</v>
          </cell>
          <cell r="T840" t="str">
            <v>AKPER</v>
          </cell>
          <cell r="U840">
            <v>2005</v>
          </cell>
        </row>
        <row r="844">
          <cell r="G844" t="str">
            <v>Status</v>
          </cell>
          <cell r="H844" t="str">
            <v>Pangkat</v>
          </cell>
          <cell r="T844" t="str">
            <v>Pendidikan</v>
          </cell>
          <cell r="U844" t="str">
            <v>Th Lulus Pendidikan</v>
          </cell>
        </row>
        <row r="845">
          <cell r="G845" t="str">
            <v>PNS</v>
          </cell>
          <cell r="H845" t="str">
            <v>Pembina Tk.I</v>
          </cell>
          <cell r="T845" t="str">
            <v>M. Kep</v>
          </cell>
        </row>
        <row r="846">
          <cell r="G846" t="str">
            <v>PNS</v>
          </cell>
          <cell r="H846" t="str">
            <v>Pembina Tk.I</v>
          </cell>
          <cell r="T846" t="str">
            <v>Ners</v>
          </cell>
        </row>
        <row r="847">
          <cell r="G847" t="str">
            <v>PNS</v>
          </cell>
          <cell r="H847" t="str">
            <v>Pembina Tk.I</v>
          </cell>
          <cell r="T847" t="str">
            <v>Ners</v>
          </cell>
        </row>
        <row r="848">
          <cell r="G848" t="str">
            <v>PNS</v>
          </cell>
          <cell r="H848" t="str">
            <v>Penata Tk.I</v>
          </cell>
          <cell r="T848" t="str">
            <v>AKPER</v>
          </cell>
        </row>
        <row r="849">
          <cell r="G849" t="str">
            <v>PNS</v>
          </cell>
          <cell r="H849" t="str">
            <v>Penata Tk.I</v>
          </cell>
          <cell r="T849" t="str">
            <v>AKPER</v>
          </cell>
        </row>
        <row r="850">
          <cell r="G850" t="str">
            <v>PNS</v>
          </cell>
          <cell r="H850" t="str">
            <v>Penata Tk.I</v>
          </cell>
          <cell r="T850" t="str">
            <v>AKPER</v>
          </cell>
        </row>
        <row r="851">
          <cell r="G851" t="str">
            <v>PNS</v>
          </cell>
          <cell r="H851" t="str">
            <v>Penata Tk.I</v>
          </cell>
          <cell r="T851" t="str">
            <v>AKPER</v>
          </cell>
        </row>
        <row r="852">
          <cell r="G852" t="str">
            <v>PNS</v>
          </cell>
          <cell r="H852" t="str">
            <v>Penata Tk.I</v>
          </cell>
          <cell r="T852" t="str">
            <v>D3 Keperawatan</v>
          </cell>
        </row>
        <row r="853">
          <cell r="G853" t="str">
            <v>PNS</v>
          </cell>
          <cell r="H853" t="str">
            <v>Penata Tk.I</v>
          </cell>
          <cell r="T853" t="str">
            <v>D4 Keperawatan Anestesiologi</v>
          </cell>
          <cell r="U853">
            <v>2009</v>
          </cell>
        </row>
        <row r="854">
          <cell r="G854" t="str">
            <v>PNS</v>
          </cell>
          <cell r="H854" t="str">
            <v>Penata Tk.I</v>
          </cell>
          <cell r="T854" t="str">
            <v>D3 Keperawatan</v>
          </cell>
        </row>
        <row r="855">
          <cell r="G855" t="str">
            <v>PNS</v>
          </cell>
          <cell r="H855" t="str">
            <v>Penata</v>
          </cell>
          <cell r="T855" t="str">
            <v>D3 Keperawatan</v>
          </cell>
        </row>
        <row r="856">
          <cell r="G856" t="str">
            <v>PNS</v>
          </cell>
          <cell r="H856" t="str">
            <v>Penata Tk.I</v>
          </cell>
          <cell r="T856" t="str">
            <v>AKPER</v>
          </cell>
        </row>
        <row r="857">
          <cell r="G857" t="str">
            <v>PNS</v>
          </cell>
          <cell r="H857" t="str">
            <v>Penata Tk.I</v>
          </cell>
          <cell r="T857" t="str">
            <v>AKPER</v>
          </cell>
        </row>
        <row r="858">
          <cell r="G858" t="str">
            <v>PNS</v>
          </cell>
          <cell r="H858" t="str">
            <v>Pembina Tk.I</v>
          </cell>
          <cell r="T858" t="str">
            <v>Ners</v>
          </cell>
          <cell r="U858">
            <v>2021</v>
          </cell>
        </row>
        <row r="859">
          <cell r="G859" t="str">
            <v>PNS</v>
          </cell>
          <cell r="H859" t="str">
            <v>Penata Tk.I</v>
          </cell>
          <cell r="T859" t="str">
            <v>Ners</v>
          </cell>
        </row>
        <row r="860">
          <cell r="G860" t="str">
            <v>PNS</v>
          </cell>
          <cell r="H860" t="str">
            <v>Penata Tk.I</v>
          </cell>
          <cell r="T860" t="str">
            <v>AKPER</v>
          </cell>
        </row>
        <row r="861">
          <cell r="G861" t="str">
            <v>PNS</v>
          </cell>
          <cell r="H861" t="str">
            <v>Pembina Tk.I</v>
          </cell>
          <cell r="T861" t="str">
            <v>Ners</v>
          </cell>
        </row>
        <row r="862">
          <cell r="G862" t="str">
            <v>PNS</v>
          </cell>
          <cell r="H862" t="str">
            <v>Penata Tk.I</v>
          </cell>
          <cell r="T862" t="str">
            <v>D3 Keperawatan</v>
          </cell>
        </row>
        <row r="863">
          <cell r="G863" t="str">
            <v>PNS</v>
          </cell>
          <cell r="H863" t="str">
            <v>Penata Tk.I</v>
          </cell>
          <cell r="T863" t="str">
            <v>AKPER</v>
          </cell>
        </row>
        <row r="864">
          <cell r="G864" t="str">
            <v>PNS</v>
          </cell>
          <cell r="H864" t="str">
            <v>Penata Tk.I</v>
          </cell>
          <cell r="T864" t="str">
            <v>AKPER</v>
          </cell>
        </row>
        <row r="865">
          <cell r="G865" t="str">
            <v>PNS</v>
          </cell>
          <cell r="H865" t="str">
            <v>Penata Tk.I</v>
          </cell>
          <cell r="T865" t="str">
            <v>AKPER</v>
          </cell>
        </row>
        <row r="866">
          <cell r="G866" t="str">
            <v>PNS</v>
          </cell>
          <cell r="H866" t="str">
            <v>Penata Tk.I</v>
          </cell>
          <cell r="T866" t="str">
            <v>AKPER</v>
          </cell>
        </row>
        <row r="867">
          <cell r="G867" t="str">
            <v>PNS</v>
          </cell>
          <cell r="H867" t="str">
            <v>Pembina Tk.I</v>
          </cell>
          <cell r="T867" t="str">
            <v>Ners</v>
          </cell>
          <cell r="U867">
            <v>2021</v>
          </cell>
        </row>
        <row r="868">
          <cell r="G868" t="str">
            <v>PNS</v>
          </cell>
          <cell r="H868" t="str">
            <v>Penata</v>
          </cell>
          <cell r="T868" t="str">
            <v>D3 Keperawatan</v>
          </cell>
        </row>
        <row r="869">
          <cell r="G869" t="str">
            <v>PNS</v>
          </cell>
          <cell r="H869" t="str">
            <v>Penata Tk.I</v>
          </cell>
          <cell r="T869" t="str">
            <v>Ners</v>
          </cell>
        </row>
        <row r="870">
          <cell r="G870" t="str">
            <v>PNS</v>
          </cell>
          <cell r="H870" t="str">
            <v>Pembina</v>
          </cell>
          <cell r="T870" t="str">
            <v>Ners</v>
          </cell>
        </row>
        <row r="871">
          <cell r="G871" t="str">
            <v>PNS</v>
          </cell>
          <cell r="H871" t="str">
            <v>Penata Tk.I</v>
          </cell>
          <cell r="T871" t="str">
            <v>Ners</v>
          </cell>
          <cell r="U871">
            <v>2021</v>
          </cell>
        </row>
        <row r="872">
          <cell r="G872" t="str">
            <v>PNS</v>
          </cell>
          <cell r="H872" t="str">
            <v>Penata Tk.I</v>
          </cell>
          <cell r="T872" t="str">
            <v>D3 Keperawatan</v>
          </cell>
        </row>
        <row r="873">
          <cell r="G873" t="str">
            <v>PNS</v>
          </cell>
          <cell r="H873" t="str">
            <v>Penata Tk.I</v>
          </cell>
          <cell r="T873" t="str">
            <v>Ners</v>
          </cell>
          <cell r="U873">
            <v>2021</v>
          </cell>
        </row>
        <row r="874">
          <cell r="G874" t="str">
            <v>PNS</v>
          </cell>
          <cell r="H874" t="str">
            <v>Penata Tk.I</v>
          </cell>
          <cell r="T874" t="str">
            <v>AKPER</v>
          </cell>
        </row>
        <row r="875">
          <cell r="G875" t="str">
            <v>PNS</v>
          </cell>
          <cell r="H875" t="str">
            <v>Penata Tk.I</v>
          </cell>
          <cell r="T875" t="str">
            <v>Ners</v>
          </cell>
        </row>
        <row r="876">
          <cell r="G876" t="str">
            <v>PNS</v>
          </cell>
          <cell r="H876" t="str">
            <v>Penata</v>
          </cell>
          <cell r="T876" t="str">
            <v>D3 Keperawatan</v>
          </cell>
        </row>
        <row r="877">
          <cell r="G877" t="str">
            <v>PNS</v>
          </cell>
          <cell r="H877" t="str">
            <v>Penata Tk.I</v>
          </cell>
          <cell r="T877" t="str">
            <v>D3 Keperawatan</v>
          </cell>
        </row>
        <row r="878">
          <cell r="G878" t="str">
            <v>PNS</v>
          </cell>
          <cell r="H878" t="str">
            <v>Penata</v>
          </cell>
          <cell r="T878" t="str">
            <v>D3 Keperawatan</v>
          </cell>
        </row>
        <row r="879">
          <cell r="G879" t="str">
            <v>PNS</v>
          </cell>
          <cell r="H879" t="str">
            <v>Penata Muda Tk.I</v>
          </cell>
          <cell r="T879" t="str">
            <v>D3 Keperawatan</v>
          </cell>
        </row>
        <row r="880">
          <cell r="G880" t="str">
            <v>PNS</v>
          </cell>
          <cell r="H880" t="str">
            <v>Penata Tk.I</v>
          </cell>
          <cell r="T880" t="str">
            <v>Ners</v>
          </cell>
        </row>
        <row r="881">
          <cell r="G881" t="str">
            <v>PNS</v>
          </cell>
          <cell r="H881" t="str">
            <v>Penata Muda Tk.I</v>
          </cell>
          <cell r="T881" t="str">
            <v>Ners</v>
          </cell>
        </row>
        <row r="882">
          <cell r="G882" t="str">
            <v>PNS</v>
          </cell>
          <cell r="H882" t="str">
            <v>Penata Muda</v>
          </cell>
          <cell r="T882" t="str">
            <v>D4 Keperawatan Anestesiologi</v>
          </cell>
          <cell r="U882">
            <v>2020</v>
          </cell>
        </row>
        <row r="883">
          <cell r="G883" t="str">
            <v>PNS</v>
          </cell>
          <cell r="H883" t="str">
            <v>Penata Muda</v>
          </cell>
          <cell r="T883" t="str">
            <v>D4 Keperawatan Anestesiologi</v>
          </cell>
          <cell r="U883">
            <v>2020</v>
          </cell>
        </row>
        <row r="884">
          <cell r="G884" t="str">
            <v>PNS</v>
          </cell>
          <cell r="H884" t="str">
            <v>Penata Muda Tk.I</v>
          </cell>
          <cell r="T884" t="str">
            <v>Ners</v>
          </cell>
          <cell r="U884">
            <v>2015</v>
          </cell>
        </row>
        <row r="885">
          <cell r="G885" t="str">
            <v>PNS</v>
          </cell>
          <cell r="H885" t="str">
            <v>Penata Muda Tk.I</v>
          </cell>
          <cell r="T885" t="str">
            <v>Ners</v>
          </cell>
          <cell r="U885">
            <v>2015</v>
          </cell>
        </row>
        <row r="886">
          <cell r="G886" t="str">
            <v>PNS</v>
          </cell>
          <cell r="H886" t="str">
            <v>Penata Muda Tk.I</v>
          </cell>
          <cell r="T886" t="str">
            <v>Ners</v>
          </cell>
        </row>
        <row r="887">
          <cell r="G887" t="str">
            <v>PNS</v>
          </cell>
          <cell r="H887" t="str">
            <v>Penata Muda Tk.I</v>
          </cell>
          <cell r="T887" t="str">
            <v>Ners</v>
          </cell>
        </row>
        <row r="888">
          <cell r="G888" t="str">
            <v>PPPK</v>
          </cell>
          <cell r="T888" t="str">
            <v>AKPER</v>
          </cell>
        </row>
        <row r="889">
          <cell r="G889" t="str">
            <v>PPPK</v>
          </cell>
          <cell r="T889" t="str">
            <v>AKPER</v>
          </cell>
        </row>
        <row r="890">
          <cell r="G890" t="str">
            <v>PPPK</v>
          </cell>
          <cell r="T890" t="str">
            <v>D3 Keperawatan</v>
          </cell>
        </row>
        <row r="891">
          <cell r="G891" t="str">
            <v>PPPK</v>
          </cell>
          <cell r="T891" t="str">
            <v>D3 Keperawatan</v>
          </cell>
        </row>
        <row r="892">
          <cell r="G892" t="str">
            <v>PPPK</v>
          </cell>
          <cell r="T892" t="str">
            <v>D3 Keperawatan</v>
          </cell>
        </row>
        <row r="893">
          <cell r="G893" t="str">
            <v>PPPK</v>
          </cell>
          <cell r="T893" t="str">
            <v>D3 Keperawatan</v>
          </cell>
        </row>
        <row r="894">
          <cell r="G894" t="str">
            <v>PPPK</v>
          </cell>
          <cell r="T894" t="str">
            <v>Ners</v>
          </cell>
        </row>
        <row r="895">
          <cell r="G895" t="str">
            <v>PPPK</v>
          </cell>
          <cell r="T895" t="str">
            <v>D4 Keperawatan</v>
          </cell>
        </row>
        <row r="896">
          <cell r="G896" t="str">
            <v>PPPK</v>
          </cell>
          <cell r="T896" t="str">
            <v>D4 Keperawatan</v>
          </cell>
        </row>
        <row r="897">
          <cell r="G897" t="str">
            <v>PPPK</v>
          </cell>
          <cell r="T897" t="str">
            <v>D4 Keperawatan</v>
          </cell>
        </row>
        <row r="898">
          <cell r="G898" t="str">
            <v>PNS</v>
          </cell>
          <cell r="H898" t="str">
            <v>Penata Muda Tk.I</v>
          </cell>
          <cell r="T898" t="str">
            <v>Ners</v>
          </cell>
          <cell r="U898">
            <v>2020</v>
          </cell>
        </row>
        <row r="899">
          <cell r="G899" t="str">
            <v>KONTRAK</v>
          </cell>
          <cell r="T899" t="str">
            <v>D4 Keperawatan Anestesiologi</v>
          </cell>
          <cell r="U899">
            <v>2023</v>
          </cell>
        </row>
        <row r="900">
          <cell r="G900" t="str">
            <v>KONTRAK</v>
          </cell>
          <cell r="T900" t="str">
            <v>D4 Keperawatan Anestesiologi</v>
          </cell>
          <cell r="U900">
            <v>2023</v>
          </cell>
        </row>
        <row r="901">
          <cell r="G901" t="str">
            <v>KONTRAK</v>
          </cell>
          <cell r="T901" t="str">
            <v>D4 Keperawatan Anestesiologi</v>
          </cell>
          <cell r="U901">
            <v>2022</v>
          </cell>
        </row>
        <row r="902">
          <cell r="G902" t="str">
            <v>KONTRAK</v>
          </cell>
          <cell r="T902" t="str">
            <v>D4 Keperawatan Anestesiologi</v>
          </cell>
          <cell r="U902">
            <v>2023</v>
          </cell>
        </row>
        <row r="903">
          <cell r="G903" t="str">
            <v>KONTRAK</v>
          </cell>
          <cell r="T903" t="str">
            <v>D4 Keperawatan Anestesiologi</v>
          </cell>
          <cell r="U903">
            <v>2022</v>
          </cell>
        </row>
        <row r="904">
          <cell r="G904" t="str">
            <v>KONTRAK</v>
          </cell>
          <cell r="T904" t="str">
            <v>Ners</v>
          </cell>
          <cell r="U904">
            <v>2023</v>
          </cell>
        </row>
        <row r="905">
          <cell r="G905" t="str">
            <v>KONTRAK</v>
          </cell>
          <cell r="T905" t="str">
            <v>D3 Keperawatan</v>
          </cell>
          <cell r="U905">
            <v>2016</v>
          </cell>
        </row>
        <row r="906">
          <cell r="G906" t="str">
            <v>KONTRAK</v>
          </cell>
          <cell r="T906" t="str">
            <v>D3 Keperawatan</v>
          </cell>
          <cell r="U906">
            <v>2016</v>
          </cell>
        </row>
        <row r="907">
          <cell r="G907" t="str">
            <v>KONTRAK</v>
          </cell>
          <cell r="T907" t="str">
            <v>S1 Manajemen</v>
          </cell>
        </row>
        <row r="908">
          <cell r="G908" t="str">
            <v>KONTRAK</v>
          </cell>
          <cell r="T908" t="str">
            <v>D3 Administrasi Publik</v>
          </cell>
        </row>
        <row r="909">
          <cell r="G909" t="str">
            <v>KONTRAK</v>
          </cell>
          <cell r="T909" t="str">
            <v>Ners</v>
          </cell>
        </row>
        <row r="910">
          <cell r="G910" t="str">
            <v>KONTRAK</v>
          </cell>
          <cell r="T910" t="str">
            <v>Ners</v>
          </cell>
        </row>
        <row r="911">
          <cell r="G911" t="str">
            <v>KONTRAK</v>
          </cell>
          <cell r="T911" t="str">
            <v>Ners</v>
          </cell>
        </row>
        <row r="912">
          <cell r="G912" t="str">
            <v>PPPK</v>
          </cell>
          <cell r="T912" t="str">
            <v>Ners</v>
          </cell>
        </row>
        <row r="913">
          <cell r="G913" t="str">
            <v>PNS</v>
          </cell>
          <cell r="H913" t="str">
            <v>Penata Muda Tk.I</v>
          </cell>
          <cell r="T913" t="str">
            <v>Ners</v>
          </cell>
          <cell r="U913">
            <v>2017</v>
          </cell>
        </row>
        <row r="914">
          <cell r="G914" t="str">
            <v>KONTRAK</v>
          </cell>
          <cell r="T914" t="str">
            <v>Ners</v>
          </cell>
        </row>
        <row r="915">
          <cell r="G915" t="str">
            <v>PNS</v>
          </cell>
          <cell r="H915" t="str">
            <v>Penata Muda Tk.I</v>
          </cell>
          <cell r="T915" t="str">
            <v>Ners</v>
          </cell>
          <cell r="U915">
            <v>2019</v>
          </cell>
        </row>
        <row r="916">
          <cell r="G916" t="str">
            <v>PPPK</v>
          </cell>
          <cell r="T916" t="str">
            <v>Ners</v>
          </cell>
        </row>
        <row r="917">
          <cell r="G917" t="str">
            <v>PNS</v>
          </cell>
          <cell r="H917" t="str">
            <v>Penata Muda Tk.I</v>
          </cell>
          <cell r="T917" t="str">
            <v>Ners</v>
          </cell>
          <cell r="U917">
            <v>2020</v>
          </cell>
        </row>
        <row r="918">
          <cell r="G918" t="str">
            <v>KONTRAK</v>
          </cell>
          <cell r="T918" t="str">
            <v>Ners</v>
          </cell>
        </row>
        <row r="919">
          <cell r="G919" t="str">
            <v>CPNS</v>
          </cell>
          <cell r="H919" t="str">
            <v>Penata Muda Tk.I</v>
          </cell>
          <cell r="T919" t="str">
            <v>Ners</v>
          </cell>
        </row>
        <row r="920">
          <cell r="G920" t="str">
            <v>CPNS</v>
          </cell>
          <cell r="H920" t="str">
            <v>Penata Muda Tk.I</v>
          </cell>
          <cell r="T920" t="str">
            <v>Ners</v>
          </cell>
        </row>
        <row r="923">
          <cell r="G923" t="str">
            <v>Status</v>
          </cell>
          <cell r="H923" t="str">
            <v>Pangkat</v>
          </cell>
          <cell r="T923" t="str">
            <v>Pendidikan</v>
          </cell>
          <cell r="U923" t="str">
            <v>Th Lulus Pendidikan</v>
          </cell>
        </row>
        <row r="926">
          <cell r="G926" t="str">
            <v>PNS</v>
          </cell>
          <cell r="H926" t="str">
            <v>Penata Tk.I</v>
          </cell>
          <cell r="T926" t="str">
            <v>D4 Kebidanan</v>
          </cell>
        </row>
        <row r="927">
          <cell r="G927" t="str">
            <v>PNS</v>
          </cell>
          <cell r="H927" t="str">
            <v>Penata Tk.I</v>
          </cell>
          <cell r="T927" t="str">
            <v>Ners</v>
          </cell>
        </row>
        <row r="928">
          <cell r="G928" t="str">
            <v>PNS</v>
          </cell>
          <cell r="H928" t="str">
            <v>Penata</v>
          </cell>
          <cell r="T928" t="str">
            <v>D3 Kebidanan</v>
          </cell>
        </row>
        <row r="929">
          <cell r="G929" t="str">
            <v>PNS</v>
          </cell>
          <cell r="H929" t="str">
            <v>Penata Muda Tk.I</v>
          </cell>
          <cell r="T929" t="str">
            <v>D3 Kebidanan</v>
          </cell>
        </row>
        <row r="930">
          <cell r="G930" t="str">
            <v>PNS</v>
          </cell>
          <cell r="H930" t="str">
            <v>Penata Muda Tk.I</v>
          </cell>
          <cell r="T930" t="str">
            <v>D3 Kebidanan</v>
          </cell>
        </row>
        <row r="931">
          <cell r="G931" t="str">
            <v>PNS</v>
          </cell>
          <cell r="H931" t="str">
            <v>Penata Muda</v>
          </cell>
          <cell r="T931" t="str">
            <v>D4 Kebidanan</v>
          </cell>
          <cell r="U931">
            <v>2013</v>
          </cell>
        </row>
        <row r="932">
          <cell r="G932" t="str">
            <v>PNS</v>
          </cell>
          <cell r="H932" t="str">
            <v>Penata Muda Tk.I</v>
          </cell>
          <cell r="T932" t="str">
            <v>D3 Kebidanan</v>
          </cell>
        </row>
        <row r="933">
          <cell r="G933" t="str">
            <v>PNS</v>
          </cell>
          <cell r="H933" t="str">
            <v>Penata Tk.I</v>
          </cell>
          <cell r="T933" t="str">
            <v>D3 Kebidanan</v>
          </cell>
        </row>
        <row r="934">
          <cell r="G934" t="str">
            <v>PNS</v>
          </cell>
          <cell r="H934" t="str">
            <v>Penata</v>
          </cell>
          <cell r="T934" t="str">
            <v>D3 Kebidanan</v>
          </cell>
        </row>
        <row r="935">
          <cell r="G935" t="str">
            <v>PNS</v>
          </cell>
          <cell r="H935" t="str">
            <v>Penata Muda Tk.I</v>
          </cell>
          <cell r="T935" t="str">
            <v>D3 Kebidanan</v>
          </cell>
        </row>
        <row r="936">
          <cell r="G936" t="str">
            <v>BLU TETAP</v>
          </cell>
          <cell r="T936" t="str">
            <v>D3 Kebidanan</v>
          </cell>
        </row>
        <row r="937">
          <cell r="G937" t="str">
            <v>PPPK</v>
          </cell>
          <cell r="T937" t="str">
            <v>D3 Kebidanan</v>
          </cell>
        </row>
        <row r="938">
          <cell r="G938" t="str">
            <v>BLU TETAP</v>
          </cell>
          <cell r="T938" t="str">
            <v>D3 Kebidanan</v>
          </cell>
        </row>
        <row r="939">
          <cell r="G939" t="str">
            <v>PNS</v>
          </cell>
          <cell r="H939" t="str">
            <v xml:space="preserve">Penata </v>
          </cell>
          <cell r="T939" t="str">
            <v>D3 Kebidanan</v>
          </cell>
        </row>
        <row r="940">
          <cell r="G940" t="str">
            <v>PNS</v>
          </cell>
          <cell r="H940" t="str">
            <v>Penata Tk.I</v>
          </cell>
          <cell r="T940" t="str">
            <v>D3 Kebidanan</v>
          </cell>
        </row>
        <row r="941">
          <cell r="G941" t="str">
            <v>KONTRAK</v>
          </cell>
          <cell r="T941" t="str">
            <v>S1 Manajemen</v>
          </cell>
        </row>
        <row r="944">
          <cell r="G944" t="str">
            <v>PNS</v>
          </cell>
          <cell r="H944" t="str">
            <v>Pembina</v>
          </cell>
          <cell r="T944" t="str">
            <v>D4 Kebidanan</v>
          </cell>
        </row>
        <row r="945">
          <cell r="G945" t="str">
            <v>PNS</v>
          </cell>
          <cell r="H945" t="str">
            <v>Pembina Tk.I</v>
          </cell>
          <cell r="T945" t="str">
            <v>D4 Kebidanan</v>
          </cell>
        </row>
        <row r="946">
          <cell r="G946" t="str">
            <v>PNS</v>
          </cell>
          <cell r="H946" t="str">
            <v>Pembina</v>
          </cell>
          <cell r="T946" t="str">
            <v>D4 Kebidanan</v>
          </cell>
        </row>
        <row r="947">
          <cell r="G947" t="str">
            <v>PNS</v>
          </cell>
          <cell r="H947" t="str">
            <v>Penata Tk.I</v>
          </cell>
          <cell r="T947" t="str">
            <v>D4 Kebidanan</v>
          </cell>
        </row>
        <row r="948">
          <cell r="G948" t="str">
            <v>PNS</v>
          </cell>
          <cell r="H948" t="str">
            <v>Penata Muda</v>
          </cell>
          <cell r="T948" t="str">
            <v>S1 Kebidanan</v>
          </cell>
          <cell r="U948">
            <v>2018</v>
          </cell>
        </row>
        <row r="949">
          <cell r="G949" t="str">
            <v>PNS</v>
          </cell>
          <cell r="H949" t="str">
            <v>Penata</v>
          </cell>
          <cell r="T949" t="str">
            <v>D3 Kebidanan</v>
          </cell>
        </row>
        <row r="950">
          <cell r="G950" t="str">
            <v>PNS</v>
          </cell>
          <cell r="H950" t="str">
            <v>Penata Muda Tk.I</v>
          </cell>
          <cell r="T950" t="str">
            <v>D3 Kebidanan</v>
          </cell>
        </row>
        <row r="951">
          <cell r="G951" t="str">
            <v>PNS</v>
          </cell>
          <cell r="H951" t="str">
            <v>Penata</v>
          </cell>
          <cell r="T951" t="str">
            <v>D3 Kebidanan</v>
          </cell>
        </row>
        <row r="952">
          <cell r="G952" t="str">
            <v>PNS</v>
          </cell>
          <cell r="H952" t="str">
            <v>Penata Muda Tk.I</v>
          </cell>
          <cell r="T952" t="str">
            <v>D3 Kebidanan</v>
          </cell>
        </row>
        <row r="953">
          <cell r="G953" t="str">
            <v>BLU TETAP</v>
          </cell>
          <cell r="T953" t="str">
            <v>D3 Kebidanan</v>
          </cell>
        </row>
        <row r="954">
          <cell r="G954" t="str">
            <v>BLU TETAP</v>
          </cell>
          <cell r="T954" t="str">
            <v>D3 Kebidanan</v>
          </cell>
        </row>
        <row r="955">
          <cell r="G955" t="str">
            <v>PNS</v>
          </cell>
          <cell r="H955" t="str">
            <v>Penata Tk.I</v>
          </cell>
          <cell r="T955" t="str">
            <v>D3 Kebidanan</v>
          </cell>
        </row>
        <row r="956">
          <cell r="G956" t="str">
            <v>PPPK</v>
          </cell>
          <cell r="T956" t="str">
            <v>D3 Kebidanan</v>
          </cell>
        </row>
        <row r="957">
          <cell r="G957" t="str">
            <v>PPPK</v>
          </cell>
          <cell r="T957" t="str">
            <v>AKBID</v>
          </cell>
        </row>
        <row r="958">
          <cell r="G958" t="str">
            <v>PNS</v>
          </cell>
          <cell r="H958" t="str">
            <v>Penata Muda</v>
          </cell>
          <cell r="T958" t="str">
            <v>D4 Kebidanan</v>
          </cell>
        </row>
        <row r="959">
          <cell r="G959" t="str">
            <v>KONTRAK</v>
          </cell>
          <cell r="T959" t="str">
            <v>D4 Kebidanan</v>
          </cell>
        </row>
        <row r="962">
          <cell r="G962" t="str">
            <v>Status</v>
          </cell>
          <cell r="H962" t="str">
            <v>Pangkat</v>
          </cell>
          <cell r="T962" t="str">
            <v>Pendidikan</v>
          </cell>
          <cell r="U962" t="str">
            <v>Th Lulus Pendidikan</v>
          </cell>
        </row>
        <row r="963">
          <cell r="G963" t="str">
            <v>PNS</v>
          </cell>
          <cell r="H963" t="str">
            <v>Pembina Tk.I</v>
          </cell>
          <cell r="T963" t="str">
            <v>Ners</v>
          </cell>
        </row>
        <row r="964">
          <cell r="G964" t="str">
            <v>PNS</v>
          </cell>
          <cell r="H964" t="str">
            <v>Pembina Tk.I</v>
          </cell>
          <cell r="T964" t="str">
            <v>Ners</v>
          </cell>
        </row>
        <row r="965">
          <cell r="G965" t="str">
            <v>PNS</v>
          </cell>
          <cell r="H965" t="str">
            <v>Pembina Tk.I</v>
          </cell>
          <cell r="T965" t="str">
            <v>Ners</v>
          </cell>
        </row>
        <row r="966">
          <cell r="G966" t="str">
            <v>PNS</v>
          </cell>
          <cell r="H966" t="str">
            <v>Penata Tk.I</v>
          </cell>
          <cell r="T966" t="str">
            <v>AKPER</v>
          </cell>
        </row>
        <row r="967">
          <cell r="G967" t="str">
            <v>PNS</v>
          </cell>
          <cell r="H967" t="str">
            <v>Pembina Tk.I</v>
          </cell>
          <cell r="T967" t="str">
            <v>Ners</v>
          </cell>
        </row>
        <row r="968">
          <cell r="G968" t="str">
            <v>PNS</v>
          </cell>
          <cell r="H968" t="str">
            <v>Penata Tk.I</v>
          </cell>
          <cell r="T968" t="str">
            <v>D3 Keperawatan</v>
          </cell>
        </row>
        <row r="969">
          <cell r="G969" t="str">
            <v>PNS</v>
          </cell>
          <cell r="H969" t="str">
            <v>Penata Tk.I</v>
          </cell>
          <cell r="T969" t="str">
            <v>AKPER</v>
          </cell>
        </row>
        <row r="970">
          <cell r="G970" t="str">
            <v>PNS</v>
          </cell>
          <cell r="H970" t="str">
            <v>Penata Tk.I</v>
          </cell>
          <cell r="T970" t="str">
            <v>D3 Keperawatan</v>
          </cell>
        </row>
        <row r="971">
          <cell r="G971" t="str">
            <v>PNS</v>
          </cell>
          <cell r="H971" t="str">
            <v>Penata Tk.I</v>
          </cell>
          <cell r="T971" t="str">
            <v>AKPER</v>
          </cell>
        </row>
        <row r="972">
          <cell r="G972" t="str">
            <v>PNS</v>
          </cell>
          <cell r="H972" t="str">
            <v>Pembina Tk.I</v>
          </cell>
          <cell r="T972" t="str">
            <v>D3 Keperawatan</v>
          </cell>
        </row>
        <row r="973">
          <cell r="G973" t="str">
            <v>PNS</v>
          </cell>
          <cell r="H973" t="str">
            <v>Penata Tk.I</v>
          </cell>
          <cell r="T973" t="str">
            <v>AKPER</v>
          </cell>
        </row>
        <row r="974">
          <cell r="G974" t="str">
            <v>PNS</v>
          </cell>
          <cell r="H974" t="str">
            <v>Penata Tk.I</v>
          </cell>
          <cell r="T974" t="str">
            <v>D3 Keperawatan</v>
          </cell>
        </row>
        <row r="975">
          <cell r="G975" t="str">
            <v>PNS</v>
          </cell>
          <cell r="H975" t="str">
            <v>Penata Tk.I</v>
          </cell>
          <cell r="T975" t="str">
            <v>D3 Keperawatan</v>
          </cell>
        </row>
        <row r="976">
          <cell r="G976" t="str">
            <v>PNS</v>
          </cell>
          <cell r="H976" t="str">
            <v>Penata</v>
          </cell>
          <cell r="T976" t="str">
            <v>D3 Keperawatan</v>
          </cell>
        </row>
        <row r="977">
          <cell r="G977" t="str">
            <v>PNS</v>
          </cell>
          <cell r="H977" t="str">
            <v>Penata</v>
          </cell>
          <cell r="T977" t="str">
            <v>D3 Keperawatan</v>
          </cell>
        </row>
        <row r="978">
          <cell r="G978" t="str">
            <v>PNS</v>
          </cell>
          <cell r="H978" t="str">
            <v>Penata</v>
          </cell>
          <cell r="T978" t="str">
            <v>Ners</v>
          </cell>
          <cell r="U978">
            <v>2015</v>
          </cell>
        </row>
        <row r="979">
          <cell r="G979" t="str">
            <v>PNS</v>
          </cell>
          <cell r="H979" t="str">
            <v>Penata Muda Tk.I</v>
          </cell>
          <cell r="T979" t="str">
            <v>Ners</v>
          </cell>
        </row>
        <row r="980">
          <cell r="G980" t="str">
            <v>PNS</v>
          </cell>
          <cell r="H980" t="str">
            <v>Penata Muda Tk.I</v>
          </cell>
          <cell r="T980" t="str">
            <v>Ners</v>
          </cell>
        </row>
        <row r="981">
          <cell r="G981" t="str">
            <v>PNS</v>
          </cell>
          <cell r="H981" t="str">
            <v>Penata Muda Tk.I</v>
          </cell>
          <cell r="T981" t="str">
            <v>Ners</v>
          </cell>
          <cell r="U981">
            <v>2015</v>
          </cell>
        </row>
        <row r="982">
          <cell r="G982" t="str">
            <v>PNS</v>
          </cell>
          <cell r="H982" t="str">
            <v>Penata</v>
          </cell>
          <cell r="T982" t="str">
            <v>D3 Keperawatan</v>
          </cell>
        </row>
        <row r="983">
          <cell r="G983" t="str">
            <v>PNS</v>
          </cell>
          <cell r="H983" t="str">
            <v>Penata Muda Tk.I</v>
          </cell>
          <cell r="T983" t="str">
            <v>Ners</v>
          </cell>
          <cell r="U983">
            <v>2020</v>
          </cell>
        </row>
        <row r="984">
          <cell r="G984" t="str">
            <v>PPPK</v>
          </cell>
          <cell r="T984" t="str">
            <v>D3 Keperawatan</v>
          </cell>
        </row>
        <row r="985">
          <cell r="G985" t="str">
            <v>PPPK</v>
          </cell>
          <cell r="T985" t="str">
            <v>Ners</v>
          </cell>
        </row>
        <row r="986">
          <cell r="G986" t="str">
            <v>PPPK</v>
          </cell>
          <cell r="T986" t="str">
            <v>D3 Keperawatan</v>
          </cell>
        </row>
        <row r="987">
          <cell r="G987" t="str">
            <v>PPPK</v>
          </cell>
          <cell r="T987" t="str">
            <v>Ners</v>
          </cell>
        </row>
        <row r="988">
          <cell r="G988" t="str">
            <v>PPPK</v>
          </cell>
          <cell r="T988" t="str">
            <v>Ners</v>
          </cell>
        </row>
        <row r="989">
          <cell r="G989" t="str">
            <v>KONTRAK</v>
          </cell>
          <cell r="T989" t="str">
            <v>D3 Keperawatan</v>
          </cell>
          <cell r="U989">
            <v>2013</v>
          </cell>
        </row>
        <row r="990">
          <cell r="G990" t="str">
            <v>KONTRAK</v>
          </cell>
          <cell r="T990" t="str">
            <v>D3 Keperawatan</v>
          </cell>
          <cell r="U990">
            <v>2017</v>
          </cell>
        </row>
        <row r="991">
          <cell r="G991" t="str">
            <v>KONTRAK</v>
          </cell>
          <cell r="T991" t="str">
            <v>S1 Akuntansi</v>
          </cell>
        </row>
        <row r="992">
          <cell r="G992" t="str">
            <v>KONTRAK</v>
          </cell>
          <cell r="T992" t="str">
            <v>Ners</v>
          </cell>
        </row>
        <row r="993">
          <cell r="G993" t="str">
            <v>KONTRAK</v>
          </cell>
          <cell r="T993" t="str">
            <v>Ners</v>
          </cell>
        </row>
        <row r="994">
          <cell r="G994" t="str">
            <v>KONTRAK</v>
          </cell>
          <cell r="T994" t="str">
            <v>Ners</v>
          </cell>
        </row>
        <row r="995">
          <cell r="G995" t="str">
            <v>PNS</v>
          </cell>
          <cell r="H995" t="str">
            <v>Penata Muda Tk.I</v>
          </cell>
          <cell r="T995" t="str">
            <v>Ners</v>
          </cell>
          <cell r="U995">
            <v>2020</v>
          </cell>
        </row>
        <row r="996">
          <cell r="G996" t="str">
            <v>PNS</v>
          </cell>
          <cell r="H996" t="str">
            <v>Penata Muda Tk.I</v>
          </cell>
          <cell r="T996" t="str">
            <v>Ners</v>
          </cell>
          <cell r="U996">
            <v>2020</v>
          </cell>
        </row>
        <row r="997">
          <cell r="G997" t="str">
            <v>CPNS</v>
          </cell>
          <cell r="H997" t="str">
            <v>Penata Muda Tk.I</v>
          </cell>
          <cell r="T997" t="str">
            <v>Ners</v>
          </cell>
        </row>
        <row r="998">
          <cell r="G998" t="str">
            <v>KONTRAK</v>
          </cell>
          <cell r="T998" t="str">
            <v>D3 Administrasi Publik</v>
          </cell>
        </row>
        <row r="1001">
          <cell r="G1001" t="str">
            <v>Status</v>
          </cell>
          <cell r="H1001" t="str">
            <v>Pangkat</v>
          </cell>
          <cell r="T1001" t="str">
            <v>Pendidikan</v>
          </cell>
          <cell r="U1001" t="str">
            <v>Th Lulus Pendidikan</v>
          </cell>
        </row>
        <row r="1002">
          <cell r="G1002" t="str">
            <v>PNS</v>
          </cell>
          <cell r="H1002" t="str">
            <v>Penata Tk.I</v>
          </cell>
          <cell r="T1002" t="str">
            <v>D4 Teknik Radiologi</v>
          </cell>
        </row>
        <row r="1003">
          <cell r="G1003" t="str">
            <v>PNS</v>
          </cell>
          <cell r="H1003" t="str">
            <v>Pembina Tk.I</v>
          </cell>
          <cell r="T1003" t="str">
            <v>Akademi Teknik Rontgen</v>
          </cell>
        </row>
        <row r="1004">
          <cell r="G1004" t="str">
            <v>PNS</v>
          </cell>
          <cell r="H1004" t="str">
            <v>Pembina Tk.I</v>
          </cell>
          <cell r="T1004" t="str">
            <v>Ners</v>
          </cell>
        </row>
        <row r="1005">
          <cell r="G1005" t="str">
            <v>PNS</v>
          </cell>
          <cell r="H1005" t="str">
            <v>Penata Tk.I</v>
          </cell>
          <cell r="T1005" t="str">
            <v>D3 Radiodiagnostik</v>
          </cell>
        </row>
        <row r="1006">
          <cell r="G1006" t="str">
            <v>PNS</v>
          </cell>
          <cell r="H1006" t="str">
            <v>Pembina Tk.I</v>
          </cell>
          <cell r="T1006" t="str">
            <v>D3 Radiodiagnostik</v>
          </cell>
        </row>
        <row r="1007">
          <cell r="G1007" t="str">
            <v>PNS</v>
          </cell>
          <cell r="H1007" t="str">
            <v>Penata Tk.I</v>
          </cell>
          <cell r="T1007" t="str">
            <v>D3 Radiodiagnostik</v>
          </cell>
        </row>
        <row r="1008">
          <cell r="G1008" t="str">
            <v>PNS</v>
          </cell>
          <cell r="H1008" t="str">
            <v>Pembina</v>
          </cell>
          <cell r="T1008" t="str">
            <v>D4 Teknik Radiologi</v>
          </cell>
        </row>
        <row r="1009">
          <cell r="G1009" t="str">
            <v>PNS</v>
          </cell>
          <cell r="H1009" t="str">
            <v>Penata Tk.I</v>
          </cell>
          <cell r="T1009" t="str">
            <v>D4 Teknik Radiologi</v>
          </cell>
        </row>
        <row r="1010">
          <cell r="G1010" t="str">
            <v>PNS</v>
          </cell>
          <cell r="H1010" t="str">
            <v>Penata</v>
          </cell>
          <cell r="T1010" t="str">
            <v>D4 Teknik Radiologi</v>
          </cell>
        </row>
        <row r="1011">
          <cell r="G1011" t="str">
            <v>PNS</v>
          </cell>
          <cell r="H1011" t="str">
            <v>Penata</v>
          </cell>
          <cell r="T1011" t="str">
            <v>D4 Teknik Radiologi</v>
          </cell>
        </row>
        <row r="1012">
          <cell r="G1012" t="str">
            <v>PNS</v>
          </cell>
          <cell r="H1012" t="str">
            <v>Penata Muda Tk.I</v>
          </cell>
          <cell r="T1012" t="str">
            <v>D4 Teknik Radiodiagnostik dan Radioterapi</v>
          </cell>
        </row>
        <row r="1013">
          <cell r="G1013" t="str">
            <v>PNS</v>
          </cell>
          <cell r="H1013" t="str">
            <v>Penata Muda Tk.I</v>
          </cell>
          <cell r="T1013" t="str">
            <v>D3 Radiodiagnostik</v>
          </cell>
        </row>
        <row r="1014">
          <cell r="G1014" t="str">
            <v>PNS</v>
          </cell>
          <cell r="H1014" t="str">
            <v>Penata Muda</v>
          </cell>
          <cell r="T1014" t="str">
            <v>D3 Radiodiagnostik</v>
          </cell>
        </row>
        <row r="1015">
          <cell r="G1015" t="str">
            <v>PNS</v>
          </cell>
          <cell r="H1015" t="str">
            <v>Penata Muda Tk.I</v>
          </cell>
          <cell r="T1015" t="str">
            <v>SMEA</v>
          </cell>
        </row>
        <row r="1016">
          <cell r="G1016" t="str">
            <v>PNS</v>
          </cell>
          <cell r="H1016" t="str">
            <v>Pengatur Tk.I</v>
          </cell>
          <cell r="T1016" t="str">
            <v>SMEA</v>
          </cell>
        </row>
        <row r="1017">
          <cell r="G1017" t="str">
            <v>PNS</v>
          </cell>
          <cell r="H1017" t="str">
            <v>Pengatur</v>
          </cell>
          <cell r="T1017" t="str">
            <v>D3 Teknik Radiodiagnostik dan Radioterapi</v>
          </cell>
          <cell r="U1017">
            <v>2012</v>
          </cell>
        </row>
        <row r="1018">
          <cell r="G1018" t="str">
            <v>PPPK</v>
          </cell>
          <cell r="T1018" t="str">
            <v>D4 Radiodiagnostik dan Radioterapi</v>
          </cell>
        </row>
        <row r="1019">
          <cell r="G1019" t="str">
            <v>PPPK</v>
          </cell>
          <cell r="T1019" t="str">
            <v>D3 Radiodiagnostik</v>
          </cell>
        </row>
        <row r="1020">
          <cell r="G1020" t="str">
            <v>PPPK</v>
          </cell>
          <cell r="T1020" t="str">
            <v>S1 Fisika Medik</v>
          </cell>
        </row>
        <row r="1021">
          <cell r="G1021" t="str">
            <v>PPPK</v>
          </cell>
          <cell r="T1021" t="str">
            <v>D3 Radiodiagnostik</v>
          </cell>
        </row>
        <row r="1022">
          <cell r="G1022" t="str">
            <v>PPPK</v>
          </cell>
          <cell r="T1022" t="str">
            <v>D3 Radiodiagnostik</v>
          </cell>
        </row>
        <row r="1023">
          <cell r="G1023" t="str">
            <v>PPPK</v>
          </cell>
          <cell r="T1023" t="str">
            <v>Akademi Teknik Rontgen</v>
          </cell>
        </row>
        <row r="1024">
          <cell r="G1024" t="str">
            <v>PNS</v>
          </cell>
          <cell r="H1024" t="str">
            <v>Penata Muda Tk.I</v>
          </cell>
          <cell r="T1024" t="str">
            <v>D3 Radiodiagnostik</v>
          </cell>
        </row>
        <row r="1025">
          <cell r="G1025" t="str">
            <v>PNS</v>
          </cell>
          <cell r="H1025" t="str">
            <v>Penata Muda Tk.I</v>
          </cell>
          <cell r="T1025" t="str">
            <v>D3 Teknik Radiodiagnostik dan Radioterapi</v>
          </cell>
        </row>
        <row r="1026">
          <cell r="G1026" t="str">
            <v>PNS</v>
          </cell>
          <cell r="H1026" t="str">
            <v>Penata Tk.I</v>
          </cell>
          <cell r="T1026" t="str">
            <v>AKPER</v>
          </cell>
        </row>
        <row r="1027">
          <cell r="G1027" t="str">
            <v>KONTRAK</v>
          </cell>
          <cell r="T1027" t="str">
            <v>S2 Fisikawan Medik</v>
          </cell>
        </row>
        <row r="1028">
          <cell r="G1028" t="str">
            <v>CPNS</v>
          </cell>
          <cell r="H1028" t="str">
            <v>Penata Muda</v>
          </cell>
          <cell r="T1028" t="str">
            <v>S1 Teknik Nuklir</v>
          </cell>
        </row>
        <row r="1029">
          <cell r="G1029" t="str">
            <v>CPNS</v>
          </cell>
          <cell r="H1029" t="str">
            <v>Penata Muda</v>
          </cell>
          <cell r="T1029" t="str">
            <v>Sarjana Terapan Teknologi Radiologi Pencitraan</v>
          </cell>
        </row>
        <row r="1030">
          <cell r="G1030" t="str">
            <v>CPNS</v>
          </cell>
          <cell r="H1030" t="str">
            <v>Penata Muda</v>
          </cell>
          <cell r="T1030" t="str">
            <v>Sarjana Terapan Teknologi Radiologi Pencitraan</v>
          </cell>
        </row>
        <row r="1031">
          <cell r="G1031" t="str">
            <v>CPNS</v>
          </cell>
          <cell r="H1031" t="str">
            <v>Penata Muda</v>
          </cell>
          <cell r="T1031" t="str">
            <v>Sarjana Terapan Teknologi Radiologi Pencitraan</v>
          </cell>
        </row>
        <row r="1032">
          <cell r="G1032" t="str">
            <v>CPNS</v>
          </cell>
          <cell r="H1032" t="str">
            <v>Penata Muda</v>
          </cell>
          <cell r="T1032" t="str">
            <v>Sarjana Terapan Teknologi Radiologi Pencitraan</v>
          </cell>
        </row>
        <row r="1034">
          <cell r="G1034" t="str">
            <v>PNS</v>
          </cell>
          <cell r="H1034" t="str">
            <v>Penata</v>
          </cell>
          <cell r="T1034" t="str">
            <v>D4 Keperawatan</v>
          </cell>
        </row>
        <row r="1035">
          <cell r="G1035" t="str">
            <v>PNS</v>
          </cell>
          <cell r="H1035" t="str">
            <v>Penata Muda Tk.I</v>
          </cell>
          <cell r="T1035" t="str">
            <v>Ners</v>
          </cell>
        </row>
        <row r="1036">
          <cell r="G1036" t="str">
            <v>PNS</v>
          </cell>
          <cell r="H1036" t="str">
            <v>Penata Muda Tk.I</v>
          </cell>
          <cell r="T1036" t="str">
            <v>Ners</v>
          </cell>
        </row>
        <row r="1037">
          <cell r="G1037" t="str">
            <v>PNS</v>
          </cell>
          <cell r="H1037" t="str">
            <v>Penata Tk.I</v>
          </cell>
          <cell r="T1037" t="str">
            <v>D3 Keperawatan</v>
          </cell>
        </row>
        <row r="1038">
          <cell r="G1038" t="str">
            <v>PNS</v>
          </cell>
          <cell r="H1038" t="str">
            <v>Penata Tk.I</v>
          </cell>
          <cell r="T1038" t="str">
            <v>Ners</v>
          </cell>
          <cell r="U1038">
            <v>2021</v>
          </cell>
        </row>
        <row r="1039">
          <cell r="G1039" t="str">
            <v>PNS</v>
          </cell>
          <cell r="H1039" t="str">
            <v>Penata Tk.I</v>
          </cell>
          <cell r="T1039" t="str">
            <v>D3 Keperawatan</v>
          </cell>
        </row>
        <row r="1040">
          <cell r="G1040" t="str">
            <v>PNS</v>
          </cell>
          <cell r="H1040" t="str">
            <v>Penata</v>
          </cell>
          <cell r="T1040" t="str">
            <v>D3 Keperawatan</v>
          </cell>
        </row>
        <row r="1041">
          <cell r="G1041" t="str">
            <v>PNS</v>
          </cell>
          <cell r="H1041" t="str">
            <v>Penata Muda Tk.I</v>
          </cell>
          <cell r="T1041" t="str">
            <v>Ners</v>
          </cell>
        </row>
        <row r="1044">
          <cell r="G1044" t="str">
            <v>Status</v>
          </cell>
          <cell r="H1044" t="str">
            <v>Pangkat</v>
          </cell>
          <cell r="T1044" t="str">
            <v>Pendidikan</v>
          </cell>
          <cell r="U1044" t="str">
            <v>Th Lulus Pendidikan</v>
          </cell>
        </row>
        <row r="1045">
          <cell r="G1045" t="str">
            <v>PNS</v>
          </cell>
          <cell r="H1045" t="str">
            <v>Pembina</v>
          </cell>
          <cell r="T1045" t="str">
            <v>S2 Fisiologi Olah Raga Konsentrasi Fisioterapi</v>
          </cell>
        </row>
        <row r="1046">
          <cell r="G1046" t="str">
            <v>PNS</v>
          </cell>
          <cell r="H1046" t="str">
            <v>Penata  Tk.I</v>
          </cell>
          <cell r="T1046" t="str">
            <v>D3 Okupasi Terapi</v>
          </cell>
        </row>
        <row r="1047">
          <cell r="G1047" t="str">
            <v>PNS</v>
          </cell>
          <cell r="H1047" t="str">
            <v xml:space="preserve">Pembina Utama Muda </v>
          </cell>
          <cell r="T1047" t="str">
            <v>S1 Fisioterapi</v>
          </cell>
        </row>
        <row r="1048">
          <cell r="G1048" t="str">
            <v>PNS</v>
          </cell>
          <cell r="H1048" t="str">
            <v xml:space="preserve">Pembina Utama Muda </v>
          </cell>
          <cell r="T1048" t="str">
            <v>D4 Fisioterapi</v>
          </cell>
        </row>
        <row r="1049">
          <cell r="G1049" t="str">
            <v>PNS</v>
          </cell>
          <cell r="H1049" t="str">
            <v xml:space="preserve">Pembina Utama Muda </v>
          </cell>
          <cell r="T1049" t="str">
            <v>D4 Fisioterapi</v>
          </cell>
        </row>
        <row r="1050">
          <cell r="G1050" t="str">
            <v>PNS</v>
          </cell>
          <cell r="H1050" t="str">
            <v>Penata Tk.I</v>
          </cell>
          <cell r="T1050" t="str">
            <v>D4 Okupasi Terapi</v>
          </cell>
        </row>
        <row r="1051">
          <cell r="G1051" t="str">
            <v>PNS</v>
          </cell>
          <cell r="H1051" t="str">
            <v>Penata</v>
          </cell>
          <cell r="T1051" t="str">
            <v>D4 Orthotik Prostetik</v>
          </cell>
        </row>
        <row r="1052">
          <cell r="G1052" t="str">
            <v>PNS</v>
          </cell>
          <cell r="H1052" t="str">
            <v>Penata Tk.I</v>
          </cell>
          <cell r="T1052" t="str">
            <v>D4 Fisioterapi</v>
          </cell>
        </row>
        <row r="1053">
          <cell r="G1053" t="str">
            <v>PNS</v>
          </cell>
          <cell r="H1053" t="str">
            <v>Penata Tk.I</v>
          </cell>
          <cell r="T1053" t="str">
            <v>D3 Okupasi Terapi</v>
          </cell>
        </row>
        <row r="1054">
          <cell r="G1054" t="str">
            <v>PNS</v>
          </cell>
          <cell r="H1054" t="str">
            <v>Penata Tk.I</v>
          </cell>
          <cell r="T1054" t="str">
            <v>D3 Terapi Wicara</v>
          </cell>
        </row>
        <row r="1055">
          <cell r="G1055" t="str">
            <v>PNS</v>
          </cell>
          <cell r="H1055" t="str">
            <v>Penata Muda Tk.I</v>
          </cell>
          <cell r="T1055" t="str">
            <v>D3 Fisioterapi</v>
          </cell>
        </row>
        <row r="1056">
          <cell r="G1056" t="str">
            <v>PNS</v>
          </cell>
          <cell r="H1056" t="str">
            <v>Penata Muda</v>
          </cell>
          <cell r="T1056" t="str">
            <v>D3 Fisioterapi</v>
          </cell>
        </row>
        <row r="1057">
          <cell r="G1057" t="str">
            <v>PNS</v>
          </cell>
          <cell r="H1057" t="str">
            <v>Penata Muda</v>
          </cell>
          <cell r="T1057" t="str">
            <v>D3 Fisioterapi</v>
          </cell>
        </row>
        <row r="1058">
          <cell r="G1058" t="str">
            <v>PNS</v>
          </cell>
          <cell r="H1058" t="str">
            <v>Penata Tk.I</v>
          </cell>
          <cell r="T1058" t="str">
            <v>S1 Kom Masyarakat</v>
          </cell>
        </row>
        <row r="1059">
          <cell r="G1059" t="str">
            <v>PNS</v>
          </cell>
          <cell r="H1059" t="str">
            <v>Penata Muda Tk.I</v>
          </cell>
          <cell r="T1059" t="str">
            <v>SMA</v>
          </cell>
        </row>
        <row r="1060">
          <cell r="G1060" t="str">
            <v>PPPK</v>
          </cell>
          <cell r="T1060" t="str">
            <v>D3 Fisioterapi</v>
          </cell>
        </row>
        <row r="1061">
          <cell r="G1061" t="str">
            <v>PPPK</v>
          </cell>
          <cell r="T1061" t="str">
            <v>D3 Orthotik Prostetik</v>
          </cell>
        </row>
        <row r="1062">
          <cell r="G1062" t="str">
            <v>PNS</v>
          </cell>
          <cell r="H1062" t="str">
            <v>Penata</v>
          </cell>
          <cell r="T1062" t="str">
            <v>D3 Fisioterapi</v>
          </cell>
        </row>
        <row r="1063">
          <cell r="G1063" t="str">
            <v>PPPK</v>
          </cell>
          <cell r="T1063" t="str">
            <v>D3 Terapi Wicara</v>
          </cell>
        </row>
        <row r="1064">
          <cell r="G1064" t="str">
            <v>PNS</v>
          </cell>
          <cell r="H1064" t="str">
            <v>Pembina Tk.I</v>
          </cell>
          <cell r="T1064" t="str">
            <v>Ners</v>
          </cell>
        </row>
        <row r="1065">
          <cell r="G1065" t="str">
            <v>CPNS</v>
          </cell>
          <cell r="H1065" t="str">
            <v>Penata Muda</v>
          </cell>
          <cell r="T1065" t="str">
            <v>D4 Fisioterapi</v>
          </cell>
        </row>
        <row r="1066">
          <cell r="G1066" t="str">
            <v>CPNS</v>
          </cell>
          <cell r="H1066" t="str">
            <v>Penata Muda</v>
          </cell>
          <cell r="T1066" t="str">
            <v>D4 Fisioterapi</v>
          </cell>
        </row>
        <row r="1067">
          <cell r="G1067" t="str">
            <v>CPNS</v>
          </cell>
          <cell r="H1067" t="str">
            <v>Penata Muda Tk.I</v>
          </cell>
          <cell r="T1067" t="str">
            <v>S2 Psikologi Profesi</v>
          </cell>
        </row>
        <row r="1068">
          <cell r="G1068" t="str">
            <v>CPNS</v>
          </cell>
          <cell r="H1068" t="str">
            <v>Pengatur</v>
          </cell>
          <cell r="T1068" t="str">
            <v>D3 Terapi Wicara</v>
          </cell>
        </row>
        <row r="1069">
          <cell r="G1069" t="str">
            <v>CPNS</v>
          </cell>
          <cell r="H1069" t="str">
            <v>Pengatur</v>
          </cell>
          <cell r="T1069" t="str">
            <v>D3 Terapi Wicara</v>
          </cell>
        </row>
        <row r="1072">
          <cell r="G1072" t="str">
            <v>Status</v>
          </cell>
          <cell r="H1072" t="str">
            <v>Pangkat</v>
          </cell>
          <cell r="T1072" t="str">
            <v>Pendidikan</v>
          </cell>
          <cell r="U1072" t="str">
            <v>Th Lulus Pendidikan</v>
          </cell>
        </row>
        <row r="1073">
          <cell r="G1073" t="str">
            <v>PNS</v>
          </cell>
          <cell r="H1073" t="str">
            <v>Penata</v>
          </cell>
          <cell r="T1073" t="str">
            <v>D3 AKFIS</v>
          </cell>
        </row>
        <row r="1074">
          <cell r="G1074" t="str">
            <v>PNS</v>
          </cell>
          <cell r="H1074" t="str">
            <v>Penata Muda</v>
          </cell>
          <cell r="T1074" t="str">
            <v>SMA</v>
          </cell>
        </row>
        <row r="1075">
          <cell r="G1075" t="str">
            <v>PNS</v>
          </cell>
          <cell r="H1075" t="str">
            <v>Pengatur Tk.I</v>
          </cell>
          <cell r="T1075" t="str">
            <v>SMA</v>
          </cell>
        </row>
        <row r="1076">
          <cell r="G1076" t="str">
            <v>BLU TETAP</v>
          </cell>
          <cell r="T1076" t="str">
            <v>S1 Agama Islam</v>
          </cell>
        </row>
        <row r="1077">
          <cell r="G1077" t="str">
            <v>KONTRAK</v>
          </cell>
          <cell r="T1077" t="str">
            <v>S1 Manajemen</v>
          </cell>
        </row>
        <row r="1078">
          <cell r="G1078" t="str">
            <v>KONTRAK</v>
          </cell>
          <cell r="T1078" t="str">
            <v>D3 Administrasi Publik</v>
          </cell>
        </row>
        <row r="1081">
          <cell r="G1081" t="str">
            <v>Status</v>
          </cell>
          <cell r="H1081" t="str">
            <v>Pangkat</v>
          </cell>
          <cell r="T1081" t="str">
            <v>Pendidikan</v>
          </cell>
          <cell r="U1081" t="str">
            <v>Th Lulus Pendidikan</v>
          </cell>
        </row>
        <row r="1082">
          <cell r="G1082" t="str">
            <v>PNS</v>
          </cell>
          <cell r="H1082" t="str">
            <v>Pembina</v>
          </cell>
          <cell r="T1082" t="str">
            <v>Apoteker</v>
          </cell>
          <cell r="U1082">
            <v>2009</v>
          </cell>
        </row>
        <row r="1083">
          <cell r="G1083" t="str">
            <v>PPPK</v>
          </cell>
          <cell r="T1083" t="str">
            <v>Apoteker Klinis Komunitas</v>
          </cell>
        </row>
        <row r="1084">
          <cell r="G1084" t="str">
            <v>PPPK</v>
          </cell>
          <cell r="T1084" t="str">
            <v>Apoteker Klinis Komunitas</v>
          </cell>
        </row>
        <row r="1085">
          <cell r="G1085" t="str">
            <v>PNS</v>
          </cell>
          <cell r="H1085" t="str">
            <v>Pengatur</v>
          </cell>
          <cell r="T1085" t="str">
            <v>D3 Farmasi</v>
          </cell>
          <cell r="U1085">
            <v>2019</v>
          </cell>
        </row>
        <row r="1086">
          <cell r="G1086" t="str">
            <v>PPPK</v>
          </cell>
          <cell r="T1086" t="str">
            <v>D3 Farmasi</v>
          </cell>
        </row>
        <row r="1087">
          <cell r="G1087" t="str">
            <v>PPPK</v>
          </cell>
          <cell r="T1087" t="str">
            <v>D3 Farmasi</v>
          </cell>
        </row>
        <row r="1088">
          <cell r="G1088" t="str">
            <v>PPPK</v>
          </cell>
          <cell r="T1088" t="str">
            <v>Apoteker</v>
          </cell>
        </row>
        <row r="1089">
          <cell r="G1089" t="str">
            <v>PPPK</v>
          </cell>
          <cell r="T1089" t="str">
            <v>D3 Farmasi</v>
          </cell>
        </row>
        <row r="1090">
          <cell r="G1090" t="str">
            <v>PPPK</v>
          </cell>
          <cell r="T1090" t="str">
            <v>D3 Farmasi</v>
          </cell>
        </row>
        <row r="1091">
          <cell r="G1091" t="str">
            <v>PPPK</v>
          </cell>
          <cell r="T1091" t="str">
            <v>D3 Farmasi</v>
          </cell>
        </row>
        <row r="1092">
          <cell r="G1092" t="str">
            <v>PPPK</v>
          </cell>
          <cell r="T1092" t="str">
            <v>D3 Farmasi</v>
          </cell>
        </row>
        <row r="1093">
          <cell r="G1093" t="str">
            <v>PPPK</v>
          </cell>
          <cell r="T1093" t="str">
            <v>D3 Farmasi</v>
          </cell>
        </row>
        <row r="1094">
          <cell r="G1094" t="str">
            <v>PNS</v>
          </cell>
          <cell r="H1094" t="str">
            <v>Pembina Utama Muda</v>
          </cell>
          <cell r="T1094" t="str">
            <v>Apoteker</v>
          </cell>
        </row>
        <row r="1095">
          <cell r="G1095" t="str">
            <v>KONTRAK</v>
          </cell>
          <cell r="T1095" t="str">
            <v>D3 Seni Kuliner</v>
          </cell>
        </row>
        <row r="1096">
          <cell r="G1096" t="str">
            <v>KONTRAK</v>
          </cell>
          <cell r="T1096" t="str">
            <v>S1 Akuntansi</v>
          </cell>
        </row>
        <row r="1097">
          <cell r="G1097" t="str">
            <v>PNS</v>
          </cell>
          <cell r="H1097" t="str">
            <v>Pembina Utama Madya</v>
          </cell>
          <cell r="T1097" t="str">
            <v>Apoteker</v>
          </cell>
        </row>
        <row r="1098">
          <cell r="G1098" t="str">
            <v>PNS</v>
          </cell>
          <cell r="H1098" t="str">
            <v>Penata Tk.I</v>
          </cell>
          <cell r="T1098" t="str">
            <v>D3 Farmasi</v>
          </cell>
        </row>
        <row r="1099">
          <cell r="G1099" t="str">
            <v>PNS</v>
          </cell>
          <cell r="H1099" t="str">
            <v>Penata</v>
          </cell>
          <cell r="T1099" t="str">
            <v>D3 Farmasi</v>
          </cell>
        </row>
        <row r="1100">
          <cell r="G1100" t="str">
            <v>PNS</v>
          </cell>
          <cell r="H1100" t="str">
            <v>Penata Tk.I</v>
          </cell>
          <cell r="T1100" t="str">
            <v>S2 Farmasi Klinis</v>
          </cell>
        </row>
        <row r="1101">
          <cell r="G1101" t="str">
            <v>PNS</v>
          </cell>
          <cell r="H1101" t="str">
            <v>Penata Tk.I</v>
          </cell>
          <cell r="T1101" t="str">
            <v>Apoteker</v>
          </cell>
        </row>
        <row r="1102">
          <cell r="G1102" t="str">
            <v>PNS</v>
          </cell>
          <cell r="H1102" t="str">
            <v>Pengatur Tk.I</v>
          </cell>
          <cell r="T1102" t="str">
            <v>D3 Farmasi</v>
          </cell>
          <cell r="U1102">
            <v>2012</v>
          </cell>
        </row>
        <row r="1103">
          <cell r="G1103" t="str">
            <v>PNS</v>
          </cell>
          <cell r="H1103" t="str">
            <v>Penata</v>
          </cell>
          <cell r="T1103" t="str">
            <v>D3 Keperawatan</v>
          </cell>
        </row>
        <row r="1104">
          <cell r="G1104" t="str">
            <v>PPPK</v>
          </cell>
          <cell r="T1104" t="str">
            <v>S2 Farmasi Klinis</v>
          </cell>
        </row>
        <row r="1105">
          <cell r="G1105" t="str">
            <v>PPPK</v>
          </cell>
          <cell r="T1105" t="str">
            <v>Apoteker</v>
          </cell>
        </row>
        <row r="1106">
          <cell r="G1106" t="str">
            <v>PNS</v>
          </cell>
          <cell r="H1106" t="str">
            <v>Penata Tk.I</v>
          </cell>
          <cell r="T1106" t="str">
            <v>D3 Farmasi</v>
          </cell>
        </row>
        <row r="1107">
          <cell r="G1107" t="str">
            <v>PNS</v>
          </cell>
          <cell r="H1107" t="str">
            <v>Penata Tk.I</v>
          </cell>
          <cell r="T1107" t="str">
            <v>D3 Farmasi</v>
          </cell>
        </row>
        <row r="1108">
          <cell r="G1108" t="str">
            <v>PNS</v>
          </cell>
          <cell r="H1108" t="str">
            <v>Penata</v>
          </cell>
          <cell r="T1108" t="str">
            <v>D3 Farmasi</v>
          </cell>
        </row>
        <row r="1109">
          <cell r="G1109" t="str">
            <v>PNS</v>
          </cell>
          <cell r="H1109" t="str">
            <v>Penata</v>
          </cell>
          <cell r="T1109" t="str">
            <v>D3 Farmasi</v>
          </cell>
        </row>
        <row r="1110">
          <cell r="G1110" t="str">
            <v>PNS</v>
          </cell>
          <cell r="H1110" t="str">
            <v>Penata Muda Tk.I</v>
          </cell>
          <cell r="T1110" t="str">
            <v>D3 Farmasi</v>
          </cell>
        </row>
        <row r="1111">
          <cell r="G1111" t="str">
            <v>PPPK</v>
          </cell>
          <cell r="T1111" t="str">
            <v>Apoteker</v>
          </cell>
        </row>
        <row r="1112">
          <cell r="G1112" t="str">
            <v>PPPK</v>
          </cell>
          <cell r="T1112" t="str">
            <v>Apoteker</v>
          </cell>
        </row>
        <row r="1113">
          <cell r="G1113" t="str">
            <v>PPPK</v>
          </cell>
          <cell r="T1113" t="str">
            <v>D3 Farmasi</v>
          </cell>
        </row>
        <row r="1114">
          <cell r="G1114" t="str">
            <v>PPPK</v>
          </cell>
          <cell r="T1114" t="str">
            <v>D3 Farmasi</v>
          </cell>
        </row>
        <row r="1115">
          <cell r="G1115" t="str">
            <v>PPPK</v>
          </cell>
          <cell r="T1115" t="str">
            <v>Apoteker</v>
          </cell>
        </row>
        <row r="1116">
          <cell r="G1116" t="str">
            <v>PNS</v>
          </cell>
          <cell r="H1116" t="str">
            <v>Penata Muda Tk.I</v>
          </cell>
          <cell r="T1116" t="str">
            <v>Apoteker</v>
          </cell>
        </row>
        <row r="1117">
          <cell r="G1117" t="str">
            <v>PNS</v>
          </cell>
          <cell r="H1117" t="str">
            <v>Penata  Tk.I</v>
          </cell>
          <cell r="T1117" t="str">
            <v>SMF</v>
          </cell>
        </row>
        <row r="1118">
          <cell r="G1118" t="str">
            <v>PNS</v>
          </cell>
          <cell r="H1118" t="str">
            <v>Penata Muda Tk.I</v>
          </cell>
          <cell r="T1118" t="str">
            <v>D3 Farmasi</v>
          </cell>
        </row>
        <row r="1119">
          <cell r="G1119" t="str">
            <v>PPPK</v>
          </cell>
          <cell r="T1119" t="str">
            <v>D3 Farmasi</v>
          </cell>
        </row>
        <row r="1120">
          <cell r="G1120" t="str">
            <v>PNS</v>
          </cell>
          <cell r="H1120" t="str">
            <v>Pengatur</v>
          </cell>
          <cell r="T1120" t="str">
            <v>D3 Farmasi</v>
          </cell>
        </row>
        <row r="1121">
          <cell r="G1121" t="str">
            <v>BLU TETAP</v>
          </cell>
          <cell r="T1121" t="str">
            <v>D3 Analisa Farmasi &amp; Makanan</v>
          </cell>
        </row>
        <row r="1122">
          <cell r="G1122" t="str">
            <v>PPPK</v>
          </cell>
          <cell r="T1122" t="str">
            <v>D3 Farmasi</v>
          </cell>
        </row>
        <row r="1123">
          <cell r="G1123" t="str">
            <v>PPPK</v>
          </cell>
          <cell r="T1123" t="str">
            <v>Apoteker Klinis Komunitas</v>
          </cell>
        </row>
        <row r="1124">
          <cell r="G1124" t="str">
            <v>PPPK</v>
          </cell>
          <cell r="T1124" t="str">
            <v>Apoteker Klinis Komunitas</v>
          </cell>
        </row>
        <row r="1125">
          <cell r="G1125" t="str">
            <v>PPPK</v>
          </cell>
          <cell r="T1125" t="str">
            <v>Apoteker Klinis Komunitas</v>
          </cell>
        </row>
        <row r="1126">
          <cell r="G1126" t="str">
            <v>PPPK</v>
          </cell>
          <cell r="T1126" t="str">
            <v>D3 Farmasi</v>
          </cell>
        </row>
        <row r="1127">
          <cell r="G1127" t="str">
            <v>PPPK</v>
          </cell>
          <cell r="T1127" t="str">
            <v>D3 Farmasi</v>
          </cell>
        </row>
        <row r="1128">
          <cell r="G1128" t="str">
            <v>PPPK</v>
          </cell>
          <cell r="T1128" t="str">
            <v>Apoteker</v>
          </cell>
        </row>
        <row r="1129">
          <cell r="G1129" t="str">
            <v>PNS</v>
          </cell>
          <cell r="H1129" t="str">
            <v>Pengatur Tk.I</v>
          </cell>
          <cell r="T1129" t="str">
            <v>D3 Farmasi</v>
          </cell>
        </row>
        <row r="1130">
          <cell r="G1130" t="str">
            <v>PNS</v>
          </cell>
          <cell r="H1130" t="str">
            <v>Pengatur Tk.I</v>
          </cell>
          <cell r="T1130" t="str">
            <v>D3 Farmasi</v>
          </cell>
        </row>
        <row r="1131">
          <cell r="G1131" t="str">
            <v>PNS</v>
          </cell>
          <cell r="H1131" t="str">
            <v>Pengatur Tk.I</v>
          </cell>
          <cell r="T1131" t="str">
            <v>D3 Farmasi</v>
          </cell>
        </row>
        <row r="1132">
          <cell r="G1132" t="str">
            <v>PNS</v>
          </cell>
          <cell r="H1132" t="str">
            <v>Penata</v>
          </cell>
          <cell r="T1132" t="str">
            <v>D3 Farmasi</v>
          </cell>
        </row>
        <row r="1133">
          <cell r="G1133" t="str">
            <v>PPPK</v>
          </cell>
          <cell r="T1133" t="str">
            <v>Apoteker</v>
          </cell>
        </row>
        <row r="1134">
          <cell r="G1134" t="str">
            <v>PPPK</v>
          </cell>
          <cell r="T1134" t="str">
            <v>D3 Farmasi</v>
          </cell>
        </row>
        <row r="1135">
          <cell r="G1135" t="str">
            <v>PPPK</v>
          </cell>
          <cell r="T1135" t="str">
            <v>D3 Farmasi</v>
          </cell>
        </row>
        <row r="1136">
          <cell r="G1136" t="str">
            <v>PNS</v>
          </cell>
          <cell r="H1136" t="str">
            <v>Pengatur Tk.I</v>
          </cell>
          <cell r="T1136" t="str">
            <v>D3 Farmasi</v>
          </cell>
        </row>
        <row r="1137">
          <cell r="G1137" t="str">
            <v>PPPK</v>
          </cell>
          <cell r="T1137" t="str">
            <v>D3 Farmasi</v>
          </cell>
        </row>
        <row r="1138">
          <cell r="G1138" t="str">
            <v>PNS</v>
          </cell>
          <cell r="H1138" t="str">
            <v>Penata Tk.I</v>
          </cell>
          <cell r="T1138" t="str">
            <v>D3 Farmasi</v>
          </cell>
          <cell r="U1138">
            <v>2018</v>
          </cell>
        </row>
        <row r="1139">
          <cell r="G1139" t="str">
            <v>PNS</v>
          </cell>
          <cell r="H1139" t="str">
            <v>Penata</v>
          </cell>
          <cell r="T1139" t="str">
            <v>D3 Farmasi</v>
          </cell>
        </row>
        <row r="1140">
          <cell r="G1140" t="str">
            <v>PPPK</v>
          </cell>
          <cell r="T1140" t="str">
            <v>D3 Manaj. Informatika Perbankan</v>
          </cell>
        </row>
        <row r="1141">
          <cell r="G1141" t="str">
            <v>PPPK</v>
          </cell>
          <cell r="T1141" t="str">
            <v>D3 Komputer</v>
          </cell>
        </row>
        <row r="1142">
          <cell r="G1142" t="str">
            <v>PNS</v>
          </cell>
          <cell r="H1142" t="str">
            <v>Penata Tk.I</v>
          </cell>
          <cell r="T1142" t="str">
            <v>Apoteker</v>
          </cell>
        </row>
        <row r="1143">
          <cell r="G1143" t="str">
            <v>KONTRAK</v>
          </cell>
          <cell r="T1143" t="str">
            <v>Apoteker</v>
          </cell>
        </row>
        <row r="1144">
          <cell r="G1144" t="str">
            <v>KONTRAK</v>
          </cell>
          <cell r="T1144" t="str">
            <v>Apoteker</v>
          </cell>
        </row>
        <row r="1145">
          <cell r="G1145" t="str">
            <v>KONTRAK</v>
          </cell>
          <cell r="T1145" t="str">
            <v>D3 Farmasi</v>
          </cell>
        </row>
        <row r="1146">
          <cell r="G1146" t="str">
            <v>KONTRAK</v>
          </cell>
          <cell r="T1146" t="str">
            <v>D3 Farmasi</v>
          </cell>
        </row>
        <row r="1147">
          <cell r="G1147" t="str">
            <v>KONTRAK</v>
          </cell>
          <cell r="T1147" t="str">
            <v>D3 Farmasi</v>
          </cell>
        </row>
        <row r="1148">
          <cell r="G1148" t="str">
            <v>KONTRAK</v>
          </cell>
          <cell r="T1148" t="str">
            <v>D3 Farmasi</v>
          </cell>
        </row>
        <row r="1149">
          <cell r="G1149" t="str">
            <v>KONTRAK</v>
          </cell>
          <cell r="T1149" t="str">
            <v>D3 Farmasi</v>
          </cell>
        </row>
        <row r="1150">
          <cell r="G1150" t="str">
            <v>KONTRAK</v>
          </cell>
          <cell r="T1150" t="str">
            <v>D3 Farmasi</v>
          </cell>
        </row>
        <row r="1151">
          <cell r="G1151" t="str">
            <v>KONTRAK</v>
          </cell>
          <cell r="T1151" t="str">
            <v>D3 Farmasi</v>
          </cell>
        </row>
        <row r="1152">
          <cell r="G1152" t="str">
            <v>KONTRAK</v>
          </cell>
          <cell r="T1152" t="str">
            <v>D3 Farmasi</v>
          </cell>
        </row>
        <row r="1153">
          <cell r="G1153" t="str">
            <v>KONTRAK</v>
          </cell>
          <cell r="T1153" t="str">
            <v>D3 Farmasi</v>
          </cell>
        </row>
        <row r="1154">
          <cell r="G1154" t="str">
            <v>KONTRAK</v>
          </cell>
          <cell r="T1154" t="str">
            <v>D3 Farmasi</v>
          </cell>
        </row>
        <row r="1155">
          <cell r="G1155" t="str">
            <v>KONTRAK</v>
          </cell>
          <cell r="T1155" t="str">
            <v>D3 Farmasi</v>
          </cell>
        </row>
        <row r="1156">
          <cell r="G1156" t="str">
            <v>KONTRAK</v>
          </cell>
          <cell r="T1156" t="str">
            <v>D3 Farmasi</v>
          </cell>
        </row>
        <row r="1157">
          <cell r="G1157" t="str">
            <v>KONTRAK</v>
          </cell>
          <cell r="T1157" t="str">
            <v>D3 Farmasi</v>
          </cell>
        </row>
        <row r="1158">
          <cell r="G1158" t="str">
            <v>KONTRAK</v>
          </cell>
          <cell r="T1158" t="str">
            <v>D3 Farmasi</v>
          </cell>
        </row>
        <row r="1159">
          <cell r="G1159" t="str">
            <v>KONTRAK</v>
          </cell>
          <cell r="T1159" t="str">
            <v>D3 Farmasi</v>
          </cell>
        </row>
        <row r="1160">
          <cell r="G1160" t="str">
            <v>CPNS</v>
          </cell>
          <cell r="H1160" t="str">
            <v>Penata Muda Tk.I</v>
          </cell>
          <cell r="T1160" t="str">
            <v>Apoteker</v>
          </cell>
        </row>
        <row r="1161">
          <cell r="G1161" t="str">
            <v>CPNS</v>
          </cell>
          <cell r="H1161" t="str">
            <v>Penata Muda Tk.I</v>
          </cell>
          <cell r="T1161" t="str">
            <v>Apoteker</v>
          </cell>
        </row>
        <row r="1162">
          <cell r="G1162" t="str">
            <v>CPNS</v>
          </cell>
          <cell r="H1162" t="str">
            <v>Penata Muda Tk.I</v>
          </cell>
          <cell r="T1162" t="str">
            <v>Apoteker</v>
          </cell>
        </row>
        <row r="1163">
          <cell r="G1163" t="str">
            <v>CPNS</v>
          </cell>
          <cell r="H1163" t="str">
            <v>Penata Muda Tk.I</v>
          </cell>
          <cell r="T1163" t="str">
            <v>Apoteker</v>
          </cell>
        </row>
        <row r="1164">
          <cell r="G1164" t="str">
            <v>CPNS</v>
          </cell>
          <cell r="H1164" t="str">
            <v>Pengatur</v>
          </cell>
          <cell r="T1164" t="str">
            <v>D3 Farmasi</v>
          </cell>
        </row>
        <row r="1165">
          <cell r="G1165" t="str">
            <v>CPNS</v>
          </cell>
          <cell r="H1165" t="str">
            <v>Pengatur</v>
          </cell>
          <cell r="T1165" t="str">
            <v>D3 Farmasi</v>
          </cell>
        </row>
        <row r="1166">
          <cell r="G1166" t="str">
            <v>CPNS</v>
          </cell>
          <cell r="H1166" t="str">
            <v>Pengatur</v>
          </cell>
          <cell r="T1166" t="str">
            <v>D3 Farmasi</v>
          </cell>
        </row>
        <row r="1167">
          <cell r="G1167" t="str">
            <v>CPNS</v>
          </cell>
          <cell r="H1167" t="str">
            <v>Pengatur</v>
          </cell>
          <cell r="T1167" t="str">
            <v>D3 Farmasi</v>
          </cell>
        </row>
        <row r="1170">
          <cell r="G1170" t="str">
            <v>Status</v>
          </cell>
          <cell r="H1170" t="str">
            <v>Pangkat</v>
          </cell>
          <cell r="T1170" t="str">
            <v>Pendidikan</v>
          </cell>
          <cell r="U1170" t="str">
            <v>Th Lulus Pendidikan</v>
          </cell>
        </row>
        <row r="1172">
          <cell r="G1172" t="str">
            <v>PNS</v>
          </cell>
          <cell r="H1172" t="str">
            <v>Pengatur Tk.I</v>
          </cell>
          <cell r="T1172" t="str">
            <v>D3 Gizi</v>
          </cell>
        </row>
        <row r="1173">
          <cell r="G1173" t="str">
            <v>PNS</v>
          </cell>
          <cell r="H1173" t="str">
            <v>Pembina Utama Muda</v>
          </cell>
          <cell r="T1173" t="str">
            <v>S2 Gizi</v>
          </cell>
        </row>
        <row r="1174">
          <cell r="G1174" t="str">
            <v>PNS</v>
          </cell>
          <cell r="H1174" t="str">
            <v>Penata Tk.I</v>
          </cell>
          <cell r="T1174" t="str">
            <v>D3 Gizi</v>
          </cell>
        </row>
        <row r="1176">
          <cell r="G1176" t="str">
            <v>KONTRAK</v>
          </cell>
          <cell r="T1176" t="str">
            <v>D3 Sistem Informasi</v>
          </cell>
        </row>
        <row r="1177">
          <cell r="G1177" t="str">
            <v>KONTRAK</v>
          </cell>
          <cell r="T1177" t="str">
            <v>D3 Seni Kuliner</v>
          </cell>
        </row>
        <row r="1178">
          <cell r="G1178" t="str">
            <v>KONTRAK</v>
          </cell>
          <cell r="T1178" t="str">
            <v>D3 Seni Kuliner</v>
          </cell>
        </row>
        <row r="1179">
          <cell r="G1179" t="str">
            <v>KONTRAK</v>
          </cell>
          <cell r="T1179" t="str">
            <v>D3 Seni Kuliner</v>
          </cell>
        </row>
        <row r="1181">
          <cell r="G1181" t="str">
            <v>PNS</v>
          </cell>
          <cell r="H1181" t="str">
            <v>Pembina Utama Muda</v>
          </cell>
          <cell r="T1181" t="str">
            <v>S1 Gizi</v>
          </cell>
        </row>
        <row r="1182">
          <cell r="G1182" t="str">
            <v>PNS</v>
          </cell>
          <cell r="H1182" t="str">
            <v>Penata Tk.I</v>
          </cell>
          <cell r="T1182" t="str">
            <v>D3 Gizi</v>
          </cell>
        </row>
        <row r="1183">
          <cell r="G1183" t="str">
            <v>PNS</v>
          </cell>
          <cell r="H1183" t="str">
            <v>Penata Tk.I</v>
          </cell>
          <cell r="T1183" t="str">
            <v>D3 Gizi</v>
          </cell>
        </row>
        <row r="1184">
          <cell r="G1184" t="str">
            <v>PNS</v>
          </cell>
          <cell r="H1184" t="str">
            <v>Pembina</v>
          </cell>
          <cell r="T1184" t="str">
            <v>S1 Gizi</v>
          </cell>
        </row>
        <row r="1185">
          <cell r="G1185" t="str">
            <v>PNS</v>
          </cell>
          <cell r="H1185" t="str">
            <v>Penata Tk.I</v>
          </cell>
          <cell r="T1185" t="str">
            <v>D3 Gizi</v>
          </cell>
        </row>
        <row r="1186">
          <cell r="G1186" t="str">
            <v>PNS</v>
          </cell>
          <cell r="H1186" t="str">
            <v>Pengatur Tk.I</v>
          </cell>
          <cell r="T1186" t="str">
            <v>D3 Gizi</v>
          </cell>
        </row>
        <row r="1187">
          <cell r="G1187" t="str">
            <v>PNS</v>
          </cell>
          <cell r="H1187" t="str">
            <v>Penata Muda</v>
          </cell>
          <cell r="T1187" t="str">
            <v>D3 Gizi</v>
          </cell>
          <cell r="U1187">
            <v>2014</v>
          </cell>
        </row>
        <row r="1188">
          <cell r="G1188" t="str">
            <v>PNS</v>
          </cell>
          <cell r="H1188" t="str">
            <v>Penata Muda</v>
          </cell>
          <cell r="T1188" t="str">
            <v>D4 Gizi</v>
          </cell>
        </row>
        <row r="1189">
          <cell r="G1189" t="str">
            <v>PNS</v>
          </cell>
          <cell r="H1189" t="str">
            <v>Penata Muda Tk.I</v>
          </cell>
          <cell r="T1189" t="str">
            <v>D4 Gizi</v>
          </cell>
        </row>
        <row r="1190">
          <cell r="G1190" t="str">
            <v>PNS</v>
          </cell>
          <cell r="H1190" t="str">
            <v>Penata Muda</v>
          </cell>
          <cell r="T1190" t="str">
            <v>S1 Gizi</v>
          </cell>
        </row>
        <row r="1191">
          <cell r="G1191" t="str">
            <v>PNS</v>
          </cell>
          <cell r="H1191" t="str">
            <v>Penata Muda</v>
          </cell>
          <cell r="T1191" t="str">
            <v>D4 Gizi</v>
          </cell>
        </row>
        <row r="1192">
          <cell r="G1192" t="str">
            <v>PPPK</v>
          </cell>
          <cell r="T1192" t="str">
            <v>S1 Gizi</v>
          </cell>
        </row>
        <row r="1193">
          <cell r="G1193" t="str">
            <v>PPPK</v>
          </cell>
          <cell r="T1193" t="str">
            <v>S1 Gizi</v>
          </cell>
        </row>
        <row r="1194">
          <cell r="G1194" t="str">
            <v>PPPK</v>
          </cell>
          <cell r="T1194" t="str">
            <v>S1 Gizi</v>
          </cell>
        </row>
        <row r="1195">
          <cell r="G1195" t="str">
            <v>PPPK</v>
          </cell>
          <cell r="T1195" t="str">
            <v>S1 Gizi</v>
          </cell>
        </row>
        <row r="1196">
          <cell r="G1196" t="str">
            <v>PPPK</v>
          </cell>
          <cell r="T1196" t="str">
            <v>S1 Gizi</v>
          </cell>
        </row>
        <row r="1198">
          <cell r="G1198" t="str">
            <v>PNS</v>
          </cell>
          <cell r="H1198" t="str">
            <v>Penata Muda</v>
          </cell>
          <cell r="T1198" t="str">
            <v>SMA</v>
          </cell>
        </row>
        <row r="1199">
          <cell r="G1199" t="str">
            <v>PNS</v>
          </cell>
          <cell r="H1199" t="str">
            <v>Pengatur Tk.I</v>
          </cell>
          <cell r="T1199" t="str">
            <v>SMEA</v>
          </cell>
        </row>
        <row r="1200">
          <cell r="G1200" t="str">
            <v>PNS</v>
          </cell>
          <cell r="H1200" t="str">
            <v>Penata Muda</v>
          </cell>
          <cell r="T1200" t="str">
            <v>STM</v>
          </cell>
        </row>
        <row r="1201">
          <cell r="G1201" t="str">
            <v>PNS</v>
          </cell>
          <cell r="H1201" t="str">
            <v>Penata Muda</v>
          </cell>
          <cell r="T1201" t="str">
            <v>SMK</v>
          </cell>
        </row>
        <row r="1202">
          <cell r="G1202" t="str">
            <v>BLU TETAP</v>
          </cell>
          <cell r="T1202" t="str">
            <v>D3 Teknik Boga</v>
          </cell>
        </row>
        <row r="1203">
          <cell r="G1203" t="str">
            <v>KONTRAK</v>
          </cell>
          <cell r="T1203" t="str">
            <v>D3 Seni Kuliner</v>
          </cell>
        </row>
        <row r="1205">
          <cell r="G1205" t="str">
            <v>PNS</v>
          </cell>
          <cell r="H1205" t="str">
            <v>Penata Muda</v>
          </cell>
          <cell r="T1205" t="str">
            <v>SMA</v>
          </cell>
        </row>
        <row r="1206">
          <cell r="G1206" t="str">
            <v>PNS</v>
          </cell>
          <cell r="H1206" t="str">
            <v>Pengatur Tk.I</v>
          </cell>
          <cell r="T1206" t="str">
            <v>SMKK</v>
          </cell>
        </row>
        <row r="1207">
          <cell r="G1207" t="str">
            <v>PNS</v>
          </cell>
          <cell r="H1207" t="str">
            <v>Pengatur Tk.I</v>
          </cell>
          <cell r="T1207" t="str">
            <v>Paket C</v>
          </cell>
        </row>
        <row r="1208">
          <cell r="G1208" t="str">
            <v>PNS</v>
          </cell>
          <cell r="H1208" t="str">
            <v>Penata Muda</v>
          </cell>
          <cell r="T1208" t="str">
            <v>SMA</v>
          </cell>
        </row>
        <row r="1209">
          <cell r="G1209" t="str">
            <v>PNS</v>
          </cell>
          <cell r="H1209" t="str">
            <v>Pengatur Tk.I</v>
          </cell>
          <cell r="T1209" t="str">
            <v>SMA</v>
          </cell>
        </row>
        <row r="1210">
          <cell r="G1210" t="str">
            <v>PNS</v>
          </cell>
          <cell r="H1210" t="str">
            <v>Pengatur Tk.I</v>
          </cell>
          <cell r="T1210" t="str">
            <v>Paket C</v>
          </cell>
          <cell r="U1210">
            <v>2005</v>
          </cell>
        </row>
        <row r="1211">
          <cell r="G1211" t="str">
            <v>PNS</v>
          </cell>
          <cell r="H1211" t="str">
            <v>Penata Muda</v>
          </cell>
          <cell r="T1211" t="str">
            <v>SMA</v>
          </cell>
        </row>
        <row r="1212">
          <cell r="G1212" t="str">
            <v>PNS</v>
          </cell>
          <cell r="H1212" t="str">
            <v>Pengatur Tk.I</v>
          </cell>
          <cell r="T1212" t="str">
            <v>Paket C</v>
          </cell>
          <cell r="U1212">
            <v>2006</v>
          </cell>
        </row>
        <row r="1213">
          <cell r="G1213" t="str">
            <v>PNS</v>
          </cell>
          <cell r="H1213" t="str">
            <v>Penata Muda</v>
          </cell>
          <cell r="T1213" t="str">
            <v>SMA</v>
          </cell>
        </row>
        <row r="1214">
          <cell r="G1214" t="str">
            <v>PNS</v>
          </cell>
          <cell r="H1214" t="str">
            <v>Pengatur Tk.I</v>
          </cell>
          <cell r="T1214" t="str">
            <v>SMA</v>
          </cell>
        </row>
        <row r="1216">
          <cell r="G1216" t="str">
            <v>KONTRAK</v>
          </cell>
          <cell r="T1216" t="str">
            <v>D3 Seni Kuliner</v>
          </cell>
        </row>
        <row r="1217">
          <cell r="G1217" t="str">
            <v>KONTRAK</v>
          </cell>
          <cell r="T1217" t="str">
            <v>D3 Seni Kuliner</v>
          </cell>
        </row>
        <row r="1218">
          <cell r="G1218" t="str">
            <v>KONTRAK</v>
          </cell>
          <cell r="T1218" t="str">
            <v>D3 Seni Kuliner</v>
          </cell>
        </row>
        <row r="1221">
          <cell r="G1221" t="str">
            <v>Status</v>
          </cell>
          <cell r="H1221" t="str">
            <v>Pangkat</v>
          </cell>
          <cell r="T1221" t="str">
            <v>Pendidikan</v>
          </cell>
          <cell r="U1221" t="str">
            <v>Th Lulus Pendidikan</v>
          </cell>
        </row>
        <row r="1222">
          <cell r="G1222" t="str">
            <v>PNS</v>
          </cell>
          <cell r="H1222" t="str">
            <v>Pembina Tk.I</v>
          </cell>
          <cell r="T1222" t="str">
            <v>D4 Keperawatan</v>
          </cell>
        </row>
        <row r="1223">
          <cell r="G1223" t="str">
            <v>PNS</v>
          </cell>
          <cell r="H1223" t="str">
            <v>Pembina Tk.I</v>
          </cell>
          <cell r="T1223" t="str">
            <v>S2 Magister Manajemen</v>
          </cell>
        </row>
        <row r="1224">
          <cell r="G1224" t="str">
            <v>PNS</v>
          </cell>
          <cell r="H1224" t="str">
            <v>Pembina Tk.I</v>
          </cell>
          <cell r="T1224" t="str">
            <v>Ners</v>
          </cell>
        </row>
        <row r="1230">
          <cell r="G1230" t="str">
            <v>Status</v>
          </cell>
          <cell r="H1230" t="str">
            <v>Pangkat</v>
          </cell>
          <cell r="T1230" t="str">
            <v>Pendidikan</v>
          </cell>
          <cell r="U1230" t="str">
            <v>Th Lulus Pendidikan</v>
          </cell>
        </row>
        <row r="1231">
          <cell r="G1231" t="str">
            <v>PNS</v>
          </cell>
          <cell r="H1231" t="str">
            <v>Penata Tk.I</v>
          </cell>
          <cell r="T1231" t="str">
            <v>S1 Ekonomi Akuntansi</v>
          </cell>
        </row>
        <row r="1232">
          <cell r="G1232" t="str">
            <v>PNS</v>
          </cell>
          <cell r="H1232" t="str">
            <v>Pembina Tk.I</v>
          </cell>
          <cell r="T1232" t="str">
            <v>S1 Ekonomi Akuntansi</v>
          </cell>
        </row>
        <row r="1233">
          <cell r="G1233" t="str">
            <v>PPPK</v>
          </cell>
          <cell r="T1233" t="str">
            <v>S1 Ekonomi Akuntansi</v>
          </cell>
        </row>
        <row r="1234">
          <cell r="G1234" t="str">
            <v>PPPK</v>
          </cell>
          <cell r="T1234" t="str">
            <v>S1 Akuntansi</v>
          </cell>
        </row>
        <row r="1235">
          <cell r="G1235" t="str">
            <v>PPPK</v>
          </cell>
          <cell r="T1235" t="str">
            <v>S1 Ekonomi Manajemen</v>
          </cell>
        </row>
        <row r="1236">
          <cell r="G1236" t="str">
            <v>PNS</v>
          </cell>
          <cell r="H1236" t="str">
            <v>Penata Tk.I</v>
          </cell>
          <cell r="T1236" t="str">
            <v>S1 Ekonomi Akuntansi</v>
          </cell>
        </row>
        <row r="1237">
          <cell r="G1237" t="str">
            <v>BLU TETAP</v>
          </cell>
          <cell r="T1237" t="str">
            <v>S1 Akuntansi</v>
          </cell>
        </row>
        <row r="1238">
          <cell r="G1238" t="str">
            <v>KONTRAK</v>
          </cell>
          <cell r="T1238" t="str">
            <v>S1 Akuntansi</v>
          </cell>
        </row>
        <row r="1239">
          <cell r="G1239" t="str">
            <v>BLU TETAP</v>
          </cell>
          <cell r="T1239" t="str">
            <v>S1 Sistem Informasi</v>
          </cell>
        </row>
        <row r="1242">
          <cell r="G1242" t="str">
            <v>Status</v>
          </cell>
          <cell r="H1242" t="str">
            <v>Pangkat</v>
          </cell>
          <cell r="T1242" t="str">
            <v>Pendidikan</v>
          </cell>
          <cell r="U1242" t="str">
            <v>Th Lulus Pendidikan</v>
          </cell>
        </row>
        <row r="1243">
          <cell r="G1243" t="str">
            <v>PNS</v>
          </cell>
          <cell r="H1243" t="str">
            <v>Pengatur Tk.I</v>
          </cell>
          <cell r="T1243" t="str">
            <v>S1 Akuntansi</v>
          </cell>
        </row>
        <row r="1244">
          <cell r="G1244" t="str">
            <v>PNS</v>
          </cell>
          <cell r="H1244" t="str">
            <v>Penata</v>
          </cell>
          <cell r="T1244" t="str">
            <v>D3 Akuntansi</v>
          </cell>
        </row>
        <row r="1245">
          <cell r="G1245" t="str">
            <v>PNS</v>
          </cell>
          <cell r="H1245" t="str">
            <v>Penata Muda Tk.I</v>
          </cell>
          <cell r="T1245" t="str">
            <v>S1 Akuntansi</v>
          </cell>
        </row>
        <row r="1246">
          <cell r="G1246" t="str">
            <v>BLU TETAP</v>
          </cell>
          <cell r="T1246" t="str">
            <v>D3 Akuntansi</v>
          </cell>
        </row>
        <row r="1247">
          <cell r="G1247" t="str">
            <v>BLU TETAP</v>
          </cell>
          <cell r="T1247" t="str">
            <v>D3 Perpajakan</v>
          </cell>
        </row>
        <row r="1248">
          <cell r="G1248" t="str">
            <v>PNS</v>
          </cell>
          <cell r="H1248" t="str">
            <v>Pengatur</v>
          </cell>
          <cell r="T1248" t="str">
            <v>D3 Akuntansi</v>
          </cell>
        </row>
        <row r="1249">
          <cell r="G1249" t="str">
            <v>PNS</v>
          </cell>
          <cell r="H1249" t="str">
            <v>Pengatur</v>
          </cell>
          <cell r="T1249" t="str">
            <v>D3 Akuntansi</v>
          </cell>
        </row>
        <row r="1250">
          <cell r="G1250" t="str">
            <v>PNS</v>
          </cell>
          <cell r="H1250" t="str">
            <v>Pengatur</v>
          </cell>
          <cell r="T1250" t="str">
            <v>D3 Akuntansi</v>
          </cell>
        </row>
        <row r="1251">
          <cell r="G1251" t="str">
            <v>PNS</v>
          </cell>
          <cell r="H1251" t="str">
            <v>Pengatur</v>
          </cell>
          <cell r="T1251" t="str">
            <v>D3 Akuntansi</v>
          </cell>
        </row>
        <row r="1252">
          <cell r="G1252" t="str">
            <v>BLU TETAP</v>
          </cell>
          <cell r="T1252" t="str">
            <v>S1 Akuntansi</v>
          </cell>
        </row>
        <row r="1253">
          <cell r="G1253" t="str">
            <v>KONTRAK</v>
          </cell>
          <cell r="T1253" t="str">
            <v>S1 Manajemen</v>
          </cell>
        </row>
        <row r="1254">
          <cell r="G1254" t="str">
            <v>CPNS</v>
          </cell>
          <cell r="H1254" t="str">
            <v>Pengatur</v>
          </cell>
          <cell r="T1254" t="str">
            <v>D3 Akuntansi</v>
          </cell>
        </row>
        <row r="1256">
          <cell r="G1256" t="str">
            <v>PNS</v>
          </cell>
          <cell r="H1256" t="str">
            <v>Penata Muda Tk.I</v>
          </cell>
          <cell r="T1256" t="str">
            <v>S1 Ekonomi Manajemen</v>
          </cell>
        </row>
        <row r="1257">
          <cell r="G1257" t="str">
            <v>PNS</v>
          </cell>
          <cell r="H1257" t="str">
            <v>Penata Muda Tk.I</v>
          </cell>
          <cell r="T1257" t="str">
            <v>SMA</v>
          </cell>
        </row>
        <row r="1258">
          <cell r="G1258" t="str">
            <v>PNS</v>
          </cell>
          <cell r="H1258" t="str">
            <v>Penata Tk.I</v>
          </cell>
          <cell r="T1258" t="str">
            <v>S1 Ekonomi Manajemen</v>
          </cell>
        </row>
        <row r="1259">
          <cell r="G1259" t="str">
            <v>PNS</v>
          </cell>
          <cell r="H1259" t="str">
            <v>Penata Muda</v>
          </cell>
          <cell r="T1259" t="str">
            <v>S1 Akuntansi</v>
          </cell>
        </row>
        <row r="1260">
          <cell r="G1260" t="str">
            <v>BLU TETAP</v>
          </cell>
          <cell r="T1260" t="str">
            <v>D3 Akuntansi</v>
          </cell>
        </row>
        <row r="1262">
          <cell r="G1262" t="str">
            <v>BLU TETAP</v>
          </cell>
          <cell r="T1262" t="str">
            <v>D3 Akuntansi</v>
          </cell>
        </row>
        <row r="1263">
          <cell r="G1263" t="str">
            <v>BLU TETAP</v>
          </cell>
          <cell r="T1263" t="str">
            <v>S1 Ekonomi Akuntansi</v>
          </cell>
        </row>
        <row r="1264">
          <cell r="G1264" t="str">
            <v>BLU TETAP</v>
          </cell>
          <cell r="T1264" t="str">
            <v>D3 Akuntansi</v>
          </cell>
        </row>
        <row r="1265">
          <cell r="G1265" t="str">
            <v>PPPK</v>
          </cell>
          <cell r="T1265" t="str">
            <v>D3 Komputer</v>
          </cell>
        </row>
        <row r="1268">
          <cell r="G1268" t="str">
            <v>Status</v>
          </cell>
          <cell r="H1268" t="str">
            <v>Pangkat</v>
          </cell>
          <cell r="T1268" t="str">
            <v>Pendidikan</v>
          </cell>
          <cell r="U1268" t="str">
            <v>Th Lulus Pendidikan</v>
          </cell>
        </row>
        <row r="1269">
          <cell r="G1269" t="str">
            <v>PNS</v>
          </cell>
          <cell r="H1269" t="str">
            <v>Penata Muda Tk.I</v>
          </cell>
          <cell r="T1269" t="str">
            <v>S1 Ekonomi Akuntansi</v>
          </cell>
        </row>
        <row r="1270">
          <cell r="G1270" t="str">
            <v>PNS</v>
          </cell>
          <cell r="H1270" t="str">
            <v>Penata Muda</v>
          </cell>
          <cell r="T1270" t="str">
            <v>S1 Akuntansi</v>
          </cell>
        </row>
        <row r="1271">
          <cell r="G1271" t="str">
            <v>PNS</v>
          </cell>
          <cell r="H1271" t="str">
            <v>Penata Tk.I</v>
          </cell>
          <cell r="T1271" t="str">
            <v>S1 Ekonomi Manajemen</v>
          </cell>
        </row>
        <row r="1272">
          <cell r="G1272" t="str">
            <v>PNS</v>
          </cell>
          <cell r="H1272" t="str">
            <v>Penata Muda Tk.I</v>
          </cell>
          <cell r="T1272" t="str">
            <v>S1 Ekonomi Manajemen</v>
          </cell>
        </row>
        <row r="1273">
          <cell r="G1273" t="str">
            <v>PNS</v>
          </cell>
          <cell r="H1273" t="str">
            <v>Penata Muda</v>
          </cell>
          <cell r="T1273" t="str">
            <v>S1 Akuntansi</v>
          </cell>
        </row>
        <row r="1274">
          <cell r="G1274" t="str">
            <v>PNS</v>
          </cell>
          <cell r="H1274" t="str">
            <v>Penata Muda</v>
          </cell>
          <cell r="T1274" t="str">
            <v>S1 Akuntansi</v>
          </cell>
          <cell r="U1274">
            <v>2018</v>
          </cell>
        </row>
        <row r="1275">
          <cell r="G1275" t="str">
            <v>PNS</v>
          </cell>
          <cell r="H1275" t="str">
            <v>Penata Muda Tk. I</v>
          </cell>
          <cell r="T1275" t="str">
            <v>S1 Akuntansi</v>
          </cell>
        </row>
        <row r="1276">
          <cell r="G1276" t="str">
            <v>BLU TETAP</v>
          </cell>
          <cell r="T1276" t="str">
            <v>D3 Akuntansi</v>
          </cell>
        </row>
        <row r="1277">
          <cell r="G1277" t="str">
            <v>BLU TETAP</v>
          </cell>
          <cell r="T1277" t="str">
            <v>S1 Ekonomi Akuntansi</v>
          </cell>
        </row>
        <row r="1278">
          <cell r="G1278" t="str">
            <v>BLU TETAP</v>
          </cell>
          <cell r="T1278" t="str">
            <v>S1 Akuntansi</v>
          </cell>
        </row>
        <row r="1279">
          <cell r="G1279" t="str">
            <v>BLU TETAP</v>
          </cell>
          <cell r="T1279" t="str">
            <v>S1 Ekonomi Akuntansi</v>
          </cell>
        </row>
        <row r="1280">
          <cell r="G1280" t="str">
            <v>BLU TETAP</v>
          </cell>
          <cell r="T1280" t="str">
            <v>S1 Ekonomi Akuntansi</v>
          </cell>
        </row>
        <row r="1281">
          <cell r="G1281" t="str">
            <v>BLU TETAP</v>
          </cell>
          <cell r="T1281" t="str">
            <v>S1 Akuntansi</v>
          </cell>
        </row>
        <row r="1282">
          <cell r="G1282" t="str">
            <v>PNS</v>
          </cell>
          <cell r="H1282" t="str">
            <v>Penata Tk.I</v>
          </cell>
          <cell r="T1282" t="str">
            <v>S1 Ekonomi Akuntansi</v>
          </cell>
        </row>
        <row r="1283">
          <cell r="G1283" t="str">
            <v>PNS</v>
          </cell>
          <cell r="H1283" t="str">
            <v>Penata Muda Tk.I</v>
          </cell>
          <cell r="T1283" t="str">
            <v>D3 Teknik Komputer</v>
          </cell>
        </row>
        <row r="1284">
          <cell r="G1284" t="str">
            <v>PNS</v>
          </cell>
          <cell r="H1284" t="str">
            <v>Penata Muda</v>
          </cell>
          <cell r="T1284" t="str">
            <v>S1 Akuntansi</v>
          </cell>
          <cell r="U1284">
            <v>2012</v>
          </cell>
        </row>
        <row r="1285">
          <cell r="G1285" t="str">
            <v>BLU TETAP</v>
          </cell>
          <cell r="T1285" t="str">
            <v>D3 Akuntansi</v>
          </cell>
        </row>
        <row r="1286">
          <cell r="G1286" t="str">
            <v>KONTRAK</v>
          </cell>
          <cell r="T1286" t="str">
            <v>D3 Sekretaris</v>
          </cell>
        </row>
        <row r="1287">
          <cell r="G1287" t="str">
            <v>CPNS</v>
          </cell>
          <cell r="H1287" t="str">
            <v>Pengatur</v>
          </cell>
          <cell r="T1287" t="str">
            <v>D3 Akuntansi</v>
          </cell>
        </row>
        <row r="1290">
          <cell r="G1290" t="str">
            <v>Status</v>
          </cell>
          <cell r="H1290" t="str">
            <v>Pangkat</v>
          </cell>
          <cell r="T1290" t="str">
            <v>Pendidikan</v>
          </cell>
          <cell r="U1290" t="str">
            <v>Th Lulus Pendidikan</v>
          </cell>
        </row>
        <row r="1291">
          <cell r="G1291" t="str">
            <v>PNS</v>
          </cell>
          <cell r="H1291" t="str">
            <v>Penata Muda Tk.I</v>
          </cell>
          <cell r="T1291" t="str">
            <v>Ners</v>
          </cell>
          <cell r="U1291">
            <v>2017</v>
          </cell>
        </row>
        <row r="1292">
          <cell r="G1292" t="str">
            <v>BLU TETAP</v>
          </cell>
          <cell r="T1292" t="str">
            <v>S1 Ilmu Komunikasi</v>
          </cell>
        </row>
        <row r="1293">
          <cell r="G1293" t="str">
            <v>BLU TETAP</v>
          </cell>
          <cell r="T1293" t="str">
            <v>D3 MARS</v>
          </cell>
        </row>
        <row r="1294">
          <cell r="G1294" t="str">
            <v>PNS</v>
          </cell>
          <cell r="H1294" t="str">
            <v>Pengatur Tk.I</v>
          </cell>
          <cell r="T1294" t="str">
            <v>S1 Akuntansi</v>
          </cell>
          <cell r="U1294">
            <v>2018</v>
          </cell>
        </row>
        <row r="1295">
          <cell r="G1295" t="str">
            <v>BLU TETAP</v>
          </cell>
          <cell r="T1295" t="str">
            <v>D3 Hubungan Masyarakat</v>
          </cell>
        </row>
        <row r="1296">
          <cell r="G1296" t="str">
            <v>BLU TETAP</v>
          </cell>
          <cell r="T1296" t="str">
            <v>D3 Hubungan Masyarakat</v>
          </cell>
        </row>
        <row r="1297">
          <cell r="G1297" t="str">
            <v>PNS</v>
          </cell>
          <cell r="H1297" t="str">
            <v>Pembina Tk.I</v>
          </cell>
          <cell r="T1297" t="str">
            <v>S1 SKM Penilik Kesmas</v>
          </cell>
        </row>
        <row r="1298">
          <cell r="G1298" t="str">
            <v>PPPK</v>
          </cell>
          <cell r="T1298" t="str">
            <v>S1 SKM</v>
          </cell>
        </row>
        <row r="1299">
          <cell r="G1299" t="str">
            <v>PPPK</v>
          </cell>
          <cell r="T1299" t="str">
            <v>S1 SKM</v>
          </cell>
        </row>
        <row r="1300">
          <cell r="G1300" t="str">
            <v>KONTRAK</v>
          </cell>
          <cell r="T1300" t="str">
            <v>D3 Hubungan Masyarakat</v>
          </cell>
        </row>
        <row r="1301">
          <cell r="G1301" t="str">
            <v>KONTRAK</v>
          </cell>
          <cell r="T1301" t="str">
            <v>D3 Hubungan Masyarakat</v>
          </cell>
        </row>
        <row r="1302">
          <cell r="G1302" t="str">
            <v>PNS</v>
          </cell>
          <cell r="H1302" t="str">
            <v>Penata Tk.I</v>
          </cell>
          <cell r="T1302" t="str">
            <v>S1 Hukum</v>
          </cell>
        </row>
        <row r="1303">
          <cell r="G1303" t="str">
            <v>PNS</v>
          </cell>
          <cell r="H1303" t="str">
            <v>Pembina Tk.I</v>
          </cell>
          <cell r="T1303" t="str">
            <v>S2 Ilmu Kesehatan Masyarakat</v>
          </cell>
        </row>
        <row r="1304">
          <cell r="G1304" t="str">
            <v>PNS</v>
          </cell>
          <cell r="H1304" t="str">
            <v>Penata</v>
          </cell>
          <cell r="T1304" t="str">
            <v>S2 Hukum</v>
          </cell>
        </row>
        <row r="1305">
          <cell r="G1305" t="str">
            <v>PNS</v>
          </cell>
          <cell r="H1305" t="str">
            <v>Penata Tk.I</v>
          </cell>
          <cell r="T1305" t="str">
            <v>S1 Sos</v>
          </cell>
        </row>
        <row r="1306">
          <cell r="G1306" t="str">
            <v>PNS</v>
          </cell>
          <cell r="H1306" t="str">
            <v>Penata Tk.I</v>
          </cell>
          <cell r="T1306" t="str">
            <v>S1 Hukum</v>
          </cell>
        </row>
        <row r="1307">
          <cell r="G1307" t="str">
            <v>PPPK</v>
          </cell>
          <cell r="T1307" t="str">
            <v>S1 Hukum</v>
          </cell>
        </row>
        <row r="1308">
          <cell r="G1308" t="str">
            <v>PNS</v>
          </cell>
          <cell r="H1308" t="str">
            <v>Penata Tk.I</v>
          </cell>
          <cell r="T1308" t="str">
            <v>S2 Hukum</v>
          </cell>
        </row>
        <row r="1311">
          <cell r="G1311" t="str">
            <v>Status</v>
          </cell>
          <cell r="H1311" t="str">
            <v>Pangkat</v>
          </cell>
          <cell r="T1311" t="str">
            <v>Pendidikan</v>
          </cell>
          <cell r="U1311" t="str">
            <v>Th Lulus Pendidikan</v>
          </cell>
        </row>
        <row r="1313">
          <cell r="G1313" t="str">
            <v>PNS</v>
          </cell>
          <cell r="H1313" t="str">
            <v>Penata Tk.I</v>
          </cell>
          <cell r="T1313" t="str">
            <v>S1 Ekonomi Akuntansi</v>
          </cell>
        </row>
        <row r="1314">
          <cell r="G1314" t="str">
            <v>PNS</v>
          </cell>
          <cell r="H1314" t="str">
            <v>Penata Muda</v>
          </cell>
          <cell r="T1314" t="str">
            <v>S1 Administrasi Publik</v>
          </cell>
        </row>
        <row r="1315">
          <cell r="G1315" t="str">
            <v>PNS</v>
          </cell>
          <cell r="H1315" t="str">
            <v>Penata Muda</v>
          </cell>
          <cell r="T1315" t="str">
            <v>SMEA</v>
          </cell>
        </row>
        <row r="1316">
          <cell r="G1316" t="str">
            <v>PNS</v>
          </cell>
          <cell r="H1316" t="str">
            <v>Penata Muda Tk.I</v>
          </cell>
          <cell r="T1316" t="str">
            <v>D3 Perpustakaan</v>
          </cell>
        </row>
        <row r="1317">
          <cell r="G1317" t="str">
            <v>BLU TETAP</v>
          </cell>
          <cell r="T1317" t="str">
            <v>D3 Teknik Informatika</v>
          </cell>
        </row>
        <row r="1318">
          <cell r="G1318" t="str">
            <v>PPPK</v>
          </cell>
          <cell r="T1318" t="str">
            <v>D3 Sekretaris</v>
          </cell>
        </row>
        <row r="1319">
          <cell r="G1319" t="str">
            <v>BLU TETAP</v>
          </cell>
          <cell r="T1319" t="str">
            <v>S1 Ekonomi Manajemen</v>
          </cell>
        </row>
        <row r="1320">
          <cell r="G1320" t="str">
            <v>PPPK</v>
          </cell>
          <cell r="T1320" t="str">
            <v>D3 manajemen Informatika</v>
          </cell>
        </row>
        <row r="1321">
          <cell r="G1321" t="str">
            <v>KONTRAK</v>
          </cell>
          <cell r="T1321" t="str">
            <v>S1 Akuntansi</v>
          </cell>
        </row>
        <row r="1322">
          <cell r="G1322" t="str">
            <v>CPNS</v>
          </cell>
          <cell r="H1322" t="str">
            <v>Penata Muda</v>
          </cell>
          <cell r="T1322" t="str">
            <v>D4 Kearsipan</v>
          </cell>
        </row>
        <row r="1324">
          <cell r="G1324" t="str">
            <v>PNS</v>
          </cell>
          <cell r="H1324" t="str">
            <v>Penata Muda</v>
          </cell>
          <cell r="T1324" t="str">
            <v>SMA</v>
          </cell>
        </row>
        <row r="1325">
          <cell r="G1325" t="str">
            <v>PNS</v>
          </cell>
          <cell r="H1325" t="str">
            <v>Pengatur</v>
          </cell>
          <cell r="T1325" t="str">
            <v>Paket C</v>
          </cell>
        </row>
        <row r="1326">
          <cell r="G1326" t="str">
            <v>PNS</v>
          </cell>
          <cell r="H1326" t="str">
            <v>Penata Muda</v>
          </cell>
          <cell r="T1326" t="str">
            <v>SMEA</v>
          </cell>
        </row>
        <row r="1327">
          <cell r="G1327" t="str">
            <v>PNS</v>
          </cell>
          <cell r="H1327" t="str">
            <v>Pengatur Tk.I</v>
          </cell>
          <cell r="T1327" t="str">
            <v>SMA</v>
          </cell>
        </row>
        <row r="1328">
          <cell r="G1328" t="str">
            <v>PNS</v>
          </cell>
          <cell r="H1328" t="str">
            <v>Pengatur Tk.1</v>
          </cell>
          <cell r="T1328" t="str">
            <v>SMA</v>
          </cell>
        </row>
        <row r="1330">
          <cell r="G1330" t="str">
            <v>PNS</v>
          </cell>
          <cell r="H1330" t="str">
            <v>Penata Tk.1</v>
          </cell>
          <cell r="T1330" t="str">
            <v>S1 Ekonomi Manajemen</v>
          </cell>
        </row>
        <row r="1331">
          <cell r="G1331" t="str">
            <v>PNS</v>
          </cell>
          <cell r="H1331" t="str">
            <v>Penata Muda</v>
          </cell>
          <cell r="T1331" t="str">
            <v>SMA</v>
          </cell>
        </row>
        <row r="1332">
          <cell r="G1332" t="str">
            <v>PNS</v>
          </cell>
          <cell r="H1332" t="str">
            <v>Pengatur Tk.I</v>
          </cell>
          <cell r="T1332" t="str">
            <v>SMA</v>
          </cell>
        </row>
        <row r="1333">
          <cell r="G1333" t="str">
            <v>PNS</v>
          </cell>
          <cell r="H1333" t="str">
            <v>Penata Muda</v>
          </cell>
          <cell r="T1333" t="str">
            <v>S1 Manajemen</v>
          </cell>
        </row>
        <row r="1334">
          <cell r="G1334" t="str">
            <v>BLU TETAP</v>
          </cell>
          <cell r="T1334" t="str">
            <v>D3 Manajemen Informatika</v>
          </cell>
        </row>
        <row r="1335">
          <cell r="G1335" t="str">
            <v>KONTRAK</v>
          </cell>
          <cell r="T1335" t="str">
            <v>D3 Desain Teknologi Sepatu/ Produk Kulit</v>
          </cell>
        </row>
        <row r="1336">
          <cell r="G1336" t="str">
            <v>KONTRAK</v>
          </cell>
          <cell r="T1336" t="str">
            <v>D3 Administrasi Publik</v>
          </cell>
        </row>
        <row r="1339">
          <cell r="G1339" t="str">
            <v>Status</v>
          </cell>
          <cell r="H1339" t="str">
            <v>Pangkat</v>
          </cell>
          <cell r="T1339" t="str">
            <v>Pendidikan</v>
          </cell>
          <cell r="U1339" t="str">
            <v>Th Lulus Pendidikan</v>
          </cell>
        </row>
        <row r="1340">
          <cell r="G1340" t="str">
            <v>PNS</v>
          </cell>
          <cell r="H1340" t="str">
            <v>Penata Muda Tk.I</v>
          </cell>
          <cell r="T1340" t="str">
            <v>D4 Rekam Medik</v>
          </cell>
        </row>
        <row r="1341">
          <cell r="G1341" t="str">
            <v>PNS</v>
          </cell>
          <cell r="H1341" t="str">
            <v>Penata</v>
          </cell>
          <cell r="T1341" t="str">
            <v>D4 Rekam Medik</v>
          </cell>
        </row>
        <row r="1342">
          <cell r="G1342" t="str">
            <v>PNS</v>
          </cell>
          <cell r="H1342" t="str">
            <v>Penata</v>
          </cell>
          <cell r="T1342" t="str">
            <v>D4 Rekam Medik</v>
          </cell>
        </row>
        <row r="1343">
          <cell r="G1343" t="str">
            <v>PNS</v>
          </cell>
          <cell r="H1343" t="str">
            <v>Penata</v>
          </cell>
          <cell r="T1343" t="str">
            <v>D3 Rekam Medik</v>
          </cell>
        </row>
        <row r="1344">
          <cell r="G1344" t="str">
            <v>PNS</v>
          </cell>
          <cell r="H1344" t="str">
            <v>Penata</v>
          </cell>
          <cell r="T1344" t="str">
            <v>D4 Rekam Medik</v>
          </cell>
        </row>
        <row r="1345">
          <cell r="G1345" t="str">
            <v>PNS</v>
          </cell>
          <cell r="H1345" t="str">
            <v>Penata Tk.I</v>
          </cell>
          <cell r="T1345" t="str">
            <v>D3 Rekam Medik</v>
          </cell>
        </row>
        <row r="1346">
          <cell r="G1346" t="str">
            <v>PNS</v>
          </cell>
          <cell r="H1346" t="str">
            <v>Penata</v>
          </cell>
          <cell r="T1346" t="str">
            <v>D3 Rekam Medik</v>
          </cell>
        </row>
        <row r="1347">
          <cell r="G1347" t="str">
            <v>PNS</v>
          </cell>
          <cell r="H1347" t="str">
            <v>Penata Muda Tk.I</v>
          </cell>
          <cell r="T1347" t="str">
            <v>D3 Rekam Medik</v>
          </cell>
        </row>
        <row r="1348">
          <cell r="G1348" t="str">
            <v>PNS</v>
          </cell>
          <cell r="H1348" t="str">
            <v>Penata</v>
          </cell>
          <cell r="T1348" t="str">
            <v>D3 Rekam Medik</v>
          </cell>
        </row>
        <row r="1349">
          <cell r="G1349" t="str">
            <v>PNS</v>
          </cell>
          <cell r="H1349" t="str">
            <v>Penata Muda Tk.I</v>
          </cell>
          <cell r="T1349" t="str">
            <v>D3 Rekam Medik</v>
          </cell>
        </row>
        <row r="1350">
          <cell r="G1350" t="str">
            <v>PNS</v>
          </cell>
          <cell r="H1350" t="str">
            <v>Penata</v>
          </cell>
          <cell r="T1350" t="str">
            <v>D3 Rekam Medik</v>
          </cell>
        </row>
        <row r="1351">
          <cell r="G1351" t="str">
            <v>PNS</v>
          </cell>
          <cell r="H1351" t="str">
            <v>Penata</v>
          </cell>
          <cell r="T1351" t="str">
            <v>D3 Rekam Medik</v>
          </cell>
        </row>
        <row r="1352">
          <cell r="G1352" t="str">
            <v>PNS</v>
          </cell>
          <cell r="H1352" t="str">
            <v>Penata Muda Tk.I</v>
          </cell>
          <cell r="T1352" t="str">
            <v>D3 Rekam Medik</v>
          </cell>
        </row>
        <row r="1353">
          <cell r="G1353" t="str">
            <v>PNS</v>
          </cell>
          <cell r="H1353" t="str">
            <v>Penata Muda</v>
          </cell>
          <cell r="T1353" t="str">
            <v>D3 Rekam Medik</v>
          </cell>
          <cell r="U1353">
            <v>2014</v>
          </cell>
        </row>
        <row r="1354">
          <cell r="G1354" t="str">
            <v>PNS</v>
          </cell>
          <cell r="H1354" t="str">
            <v>Penata Muda</v>
          </cell>
          <cell r="T1354" t="str">
            <v>D3 Rekam Medik</v>
          </cell>
        </row>
        <row r="1355">
          <cell r="G1355" t="str">
            <v>PNS</v>
          </cell>
          <cell r="H1355" t="str">
            <v>Penata Muda</v>
          </cell>
          <cell r="T1355" t="str">
            <v>D3 Rekam Medik</v>
          </cell>
          <cell r="U1355">
            <v>2017</v>
          </cell>
        </row>
        <row r="1356">
          <cell r="G1356" t="str">
            <v>PNS</v>
          </cell>
          <cell r="H1356" t="str">
            <v>Penata Muda</v>
          </cell>
          <cell r="T1356" t="str">
            <v>D4 Rekam Medik</v>
          </cell>
          <cell r="U1356">
            <v>2018</v>
          </cell>
        </row>
        <row r="1357">
          <cell r="G1357" t="str">
            <v>PNS</v>
          </cell>
          <cell r="H1357" t="str">
            <v>Penata Muda</v>
          </cell>
          <cell r="T1357" t="str">
            <v>D4 Rekam Medik</v>
          </cell>
          <cell r="U1357">
            <v>2019</v>
          </cell>
        </row>
        <row r="1358">
          <cell r="G1358" t="str">
            <v>PNS</v>
          </cell>
          <cell r="H1358" t="str">
            <v>Penata Muda</v>
          </cell>
          <cell r="T1358" t="str">
            <v>D3 Rekam Medik</v>
          </cell>
          <cell r="U1358">
            <v>2009</v>
          </cell>
        </row>
        <row r="1359">
          <cell r="G1359" t="str">
            <v>PPPK</v>
          </cell>
          <cell r="T1359" t="str">
            <v>D3 Rekam Medik</v>
          </cell>
        </row>
        <row r="1360">
          <cell r="G1360" t="str">
            <v>PPPK</v>
          </cell>
          <cell r="T1360" t="str">
            <v>D3 Rekam Medik</v>
          </cell>
        </row>
        <row r="1361">
          <cell r="G1361" t="str">
            <v>PPPK</v>
          </cell>
          <cell r="T1361" t="str">
            <v>D3 MARM</v>
          </cell>
        </row>
        <row r="1362">
          <cell r="G1362" t="str">
            <v>BLU TETAP</v>
          </cell>
          <cell r="T1362" t="str">
            <v>D3 Rekam Medik</v>
          </cell>
        </row>
        <row r="1363">
          <cell r="G1363" t="str">
            <v>PPPK</v>
          </cell>
          <cell r="T1363" t="str">
            <v>D3 Rekam Medik</v>
          </cell>
        </row>
        <row r="1364">
          <cell r="G1364" t="str">
            <v>PPPK</v>
          </cell>
          <cell r="T1364" t="str">
            <v>D3 Rekam Medik</v>
          </cell>
        </row>
        <row r="1365">
          <cell r="G1365" t="str">
            <v>PPPK</v>
          </cell>
          <cell r="T1365" t="str">
            <v>D3 Rekam Medik</v>
          </cell>
        </row>
        <row r="1366">
          <cell r="G1366" t="str">
            <v>PPPK</v>
          </cell>
          <cell r="T1366" t="str">
            <v>D3 Rekam Medik</v>
          </cell>
        </row>
        <row r="1367">
          <cell r="G1367" t="str">
            <v>PPPK</v>
          </cell>
          <cell r="T1367" t="str">
            <v>D3 Rekam Medik</v>
          </cell>
        </row>
        <row r="1368">
          <cell r="G1368" t="str">
            <v>PPPK</v>
          </cell>
          <cell r="T1368" t="str">
            <v>D3 Rekam Medik</v>
          </cell>
        </row>
        <row r="1369">
          <cell r="G1369" t="str">
            <v>PPPK</v>
          </cell>
          <cell r="T1369" t="str">
            <v>D3 Rekam Medik</v>
          </cell>
        </row>
        <row r="1370">
          <cell r="G1370" t="str">
            <v>PPPK</v>
          </cell>
          <cell r="T1370" t="str">
            <v>D3 Rekam Medik</v>
          </cell>
        </row>
        <row r="1371">
          <cell r="G1371" t="str">
            <v>PPPK</v>
          </cell>
          <cell r="T1371" t="str">
            <v>D3 Rekam Medik</v>
          </cell>
        </row>
        <row r="1372">
          <cell r="G1372" t="str">
            <v>PPPK</v>
          </cell>
          <cell r="T1372" t="str">
            <v>D3 Rekam Medik</v>
          </cell>
        </row>
        <row r="1373">
          <cell r="G1373" t="str">
            <v>BLU TETAP</v>
          </cell>
          <cell r="T1373" t="str">
            <v>D3 Akuntansi</v>
          </cell>
        </row>
        <row r="1374">
          <cell r="G1374" t="str">
            <v>PNS</v>
          </cell>
          <cell r="H1374" t="str">
            <v>Penata</v>
          </cell>
          <cell r="T1374" t="str">
            <v>D3 Akuntansi</v>
          </cell>
        </row>
        <row r="1375">
          <cell r="G1375" t="str">
            <v>BLU TETAP</v>
          </cell>
          <cell r="T1375" t="str">
            <v>D3 Akuntansi</v>
          </cell>
        </row>
        <row r="1376">
          <cell r="G1376" t="str">
            <v>BLU TETAP</v>
          </cell>
          <cell r="T1376" t="str">
            <v>D3 Kebidanan</v>
          </cell>
        </row>
        <row r="1377">
          <cell r="G1377" t="str">
            <v>PPPK</v>
          </cell>
          <cell r="T1377" t="str">
            <v>D3 Rekam Medik</v>
          </cell>
        </row>
        <row r="1378">
          <cell r="G1378" t="str">
            <v>BLU TETAP</v>
          </cell>
          <cell r="T1378" t="str">
            <v>D3 MARS</v>
          </cell>
        </row>
        <row r="1381">
          <cell r="G1381" t="str">
            <v>Status</v>
          </cell>
          <cell r="H1381" t="str">
            <v>Pangkat</v>
          </cell>
          <cell r="T1381" t="str">
            <v>Pendidikan</v>
          </cell>
          <cell r="U1381" t="str">
            <v>Th Lulus Pendidikan</v>
          </cell>
        </row>
        <row r="1382">
          <cell r="G1382" t="str">
            <v>PPPK</v>
          </cell>
          <cell r="T1382" t="str">
            <v>S1 Teknik Informatika</v>
          </cell>
        </row>
        <row r="1383">
          <cell r="G1383" t="str">
            <v>PNS</v>
          </cell>
          <cell r="H1383" t="str">
            <v>Penata Tk.I</v>
          </cell>
          <cell r="T1383" t="str">
            <v>S1 Teknik Informatika</v>
          </cell>
        </row>
        <row r="1384">
          <cell r="G1384" t="str">
            <v>PPPK</v>
          </cell>
          <cell r="T1384" t="str">
            <v>D3 Komputer</v>
          </cell>
        </row>
        <row r="1385">
          <cell r="G1385" t="str">
            <v>PPPK</v>
          </cell>
          <cell r="T1385" t="str">
            <v>S1 Teknik Informatika</v>
          </cell>
        </row>
        <row r="1386">
          <cell r="G1386" t="str">
            <v>PPPK</v>
          </cell>
          <cell r="T1386" t="str">
            <v>S1 Teknik Informatika</v>
          </cell>
        </row>
        <row r="1387">
          <cell r="G1387" t="str">
            <v>PPPK</v>
          </cell>
          <cell r="T1387" t="str">
            <v>S1 Teknik Informatika</v>
          </cell>
        </row>
        <row r="1388">
          <cell r="G1388" t="str">
            <v>PPPK</v>
          </cell>
          <cell r="T1388" t="str">
            <v>D3 Komputer</v>
          </cell>
        </row>
        <row r="1389">
          <cell r="G1389" t="str">
            <v>PNS</v>
          </cell>
          <cell r="H1389" t="str">
            <v>Pengatur</v>
          </cell>
          <cell r="T1389" t="str">
            <v>D3 Komputer</v>
          </cell>
        </row>
        <row r="1390">
          <cell r="G1390" t="str">
            <v>PPPK</v>
          </cell>
          <cell r="T1390" t="str">
            <v>S1 Sistem Informasi</v>
          </cell>
        </row>
        <row r="1391">
          <cell r="G1391" t="str">
            <v>KONTRAK</v>
          </cell>
          <cell r="T1391" t="str">
            <v>S1 Teknik Informatika</v>
          </cell>
        </row>
        <row r="1392">
          <cell r="G1392" t="str">
            <v>KONTRAK</v>
          </cell>
          <cell r="T1392" t="str">
            <v>S1 Teknik Informatika</v>
          </cell>
        </row>
        <row r="1393">
          <cell r="G1393" t="str">
            <v>KONTRAK</v>
          </cell>
          <cell r="T1393" t="str">
            <v>S1 Teknik Informatika</v>
          </cell>
        </row>
        <row r="1394">
          <cell r="G1394" t="str">
            <v>PNS</v>
          </cell>
          <cell r="H1394" t="str">
            <v>Pengatur</v>
          </cell>
          <cell r="T1394" t="str">
            <v>D3 Komputer</v>
          </cell>
        </row>
        <row r="1395">
          <cell r="G1395" t="str">
            <v>PNS</v>
          </cell>
          <cell r="H1395" t="str">
            <v>Penata Muda</v>
          </cell>
          <cell r="T1395" t="str">
            <v>S1 Teknik Informatika</v>
          </cell>
        </row>
        <row r="1396">
          <cell r="G1396" t="str">
            <v>PNS</v>
          </cell>
          <cell r="H1396" t="str">
            <v>Penata Muda</v>
          </cell>
          <cell r="T1396" t="str">
            <v>S1 Teknik Informatika</v>
          </cell>
        </row>
        <row r="1397">
          <cell r="G1397" t="str">
            <v>PNS</v>
          </cell>
          <cell r="H1397" t="str">
            <v>Penata Muda</v>
          </cell>
          <cell r="T1397" t="str">
            <v>S1 Teknik Informatika</v>
          </cell>
        </row>
        <row r="1398">
          <cell r="G1398" t="str">
            <v>PPPK</v>
          </cell>
          <cell r="T1398" t="str">
            <v>D3 Komputer</v>
          </cell>
        </row>
        <row r="1399">
          <cell r="G1399" t="str">
            <v>PPPK</v>
          </cell>
          <cell r="T1399" t="str">
            <v>D3 Komputer</v>
          </cell>
        </row>
        <row r="1400">
          <cell r="G1400" t="str">
            <v>PPPK</v>
          </cell>
          <cell r="T1400" t="str">
            <v>S1 Sistem Informasi</v>
          </cell>
        </row>
        <row r="1401">
          <cell r="G1401" t="str">
            <v>PPPK</v>
          </cell>
          <cell r="T1401" t="str">
            <v>S1 Teknik Informatika</v>
          </cell>
        </row>
        <row r="1402">
          <cell r="G1402" t="str">
            <v>PPPK</v>
          </cell>
          <cell r="T1402" t="str">
            <v>S1 Teknik Informatika</v>
          </cell>
        </row>
        <row r="1405">
          <cell r="G1405" t="str">
            <v>Status</v>
          </cell>
          <cell r="H1405" t="str">
            <v>Pangkat</v>
          </cell>
          <cell r="T1405" t="str">
            <v>Pendidikan</v>
          </cell>
          <cell r="U1405" t="str">
            <v>Th Lulus Pendidikan</v>
          </cell>
        </row>
        <row r="1406">
          <cell r="G1406" t="str">
            <v>PNS</v>
          </cell>
          <cell r="H1406" t="str">
            <v>Pembina Tk.I</v>
          </cell>
          <cell r="T1406" t="str">
            <v>Ners</v>
          </cell>
        </row>
        <row r="1407">
          <cell r="G1407" t="str">
            <v>PNS</v>
          </cell>
          <cell r="H1407" t="str">
            <v>Penata Tk.I</v>
          </cell>
          <cell r="T1407" t="str">
            <v>S1 Teknik Elektro</v>
          </cell>
          <cell r="U1407">
            <v>2021</v>
          </cell>
        </row>
        <row r="1408">
          <cell r="G1408" t="str">
            <v>PNS</v>
          </cell>
          <cell r="H1408" t="str">
            <v>Penata Muda Tk.I</v>
          </cell>
          <cell r="T1408" t="str">
            <v>STM</v>
          </cell>
        </row>
        <row r="1409">
          <cell r="G1409" t="str">
            <v>PNS</v>
          </cell>
          <cell r="H1409" t="str">
            <v>Penata Tk.I</v>
          </cell>
          <cell r="T1409" t="str">
            <v>ATEM</v>
          </cell>
        </row>
        <row r="1410">
          <cell r="G1410" t="str">
            <v>PNS</v>
          </cell>
          <cell r="H1410" t="str">
            <v>Penata Muda</v>
          </cell>
          <cell r="T1410" t="str">
            <v>STM</v>
          </cell>
        </row>
        <row r="1411">
          <cell r="G1411" t="str">
            <v>PNS</v>
          </cell>
          <cell r="H1411" t="str">
            <v>Pengatur Tk.I</v>
          </cell>
          <cell r="T1411" t="str">
            <v>STM</v>
          </cell>
        </row>
        <row r="1412">
          <cell r="G1412" t="str">
            <v>PNS</v>
          </cell>
          <cell r="H1412" t="str">
            <v>Penata Tk.I</v>
          </cell>
          <cell r="T1412" t="str">
            <v>ATEM</v>
          </cell>
        </row>
        <row r="1413">
          <cell r="G1413" t="str">
            <v>PNS</v>
          </cell>
          <cell r="H1413" t="str">
            <v>Penata Tk.I</v>
          </cell>
          <cell r="T1413" t="str">
            <v>ATEM</v>
          </cell>
        </row>
        <row r="1414">
          <cell r="G1414" t="str">
            <v>PNS</v>
          </cell>
          <cell r="H1414" t="str">
            <v>Penata Muda Tk.I</v>
          </cell>
          <cell r="T1414" t="str">
            <v>D3 Teknik Listrik</v>
          </cell>
        </row>
        <row r="1415">
          <cell r="G1415" t="str">
            <v>PNS</v>
          </cell>
          <cell r="H1415" t="str">
            <v>Penata Muda</v>
          </cell>
          <cell r="T1415" t="str">
            <v>D3 Teknik Elektromedik</v>
          </cell>
          <cell r="U1415">
            <v>2016</v>
          </cell>
        </row>
        <row r="1416">
          <cell r="G1416" t="str">
            <v>PNS</v>
          </cell>
          <cell r="H1416" t="str">
            <v xml:space="preserve">Pengatur </v>
          </cell>
          <cell r="T1416" t="str">
            <v>D3 Teknik Elektromedik</v>
          </cell>
          <cell r="U1416">
            <v>2020</v>
          </cell>
        </row>
        <row r="1417">
          <cell r="G1417" t="str">
            <v>PNS</v>
          </cell>
          <cell r="H1417" t="str">
            <v xml:space="preserve">Pengatur </v>
          </cell>
          <cell r="T1417" t="str">
            <v>D3 Teknik Elektromedik</v>
          </cell>
          <cell r="U1417">
            <v>2019</v>
          </cell>
        </row>
        <row r="1418">
          <cell r="G1418" t="str">
            <v>PPPK</v>
          </cell>
          <cell r="T1418" t="str">
            <v>D4 Teknik Elektromedik</v>
          </cell>
        </row>
        <row r="1419">
          <cell r="G1419" t="str">
            <v>PPPK</v>
          </cell>
          <cell r="T1419" t="str">
            <v>D3 Teknik Elektromedik</v>
          </cell>
        </row>
        <row r="1420">
          <cell r="G1420" t="str">
            <v>BLU TETAP</v>
          </cell>
          <cell r="T1420" t="str">
            <v>S1 Teknik Mesin</v>
          </cell>
        </row>
        <row r="1421">
          <cell r="G1421" t="str">
            <v>BLU TETAP</v>
          </cell>
          <cell r="T1421" t="str">
            <v>S1 Teknik Elektro</v>
          </cell>
        </row>
        <row r="1422">
          <cell r="G1422" t="str">
            <v>BLU TETAP</v>
          </cell>
          <cell r="T1422" t="str">
            <v>S1 Teknik Elektro</v>
          </cell>
        </row>
        <row r="1423">
          <cell r="G1423" t="str">
            <v>BLU TETAP</v>
          </cell>
          <cell r="T1423" t="str">
            <v>S1 Teknik Elektro</v>
          </cell>
        </row>
        <row r="1424">
          <cell r="G1424" t="str">
            <v>BLU TETAP</v>
          </cell>
          <cell r="T1424" t="str">
            <v>D3 Teknik Sipil</v>
          </cell>
        </row>
        <row r="1425">
          <cell r="G1425" t="str">
            <v>BLU TETAP</v>
          </cell>
          <cell r="T1425" t="str">
            <v>D3 Teknik Mesin</v>
          </cell>
        </row>
        <row r="1426">
          <cell r="G1426" t="str">
            <v>BLU TETAP</v>
          </cell>
          <cell r="T1426" t="str">
            <v>S1 Teknik Elektro</v>
          </cell>
        </row>
        <row r="1427">
          <cell r="G1427" t="str">
            <v>BLU TETAP</v>
          </cell>
          <cell r="T1427" t="str">
            <v>S1 Teknik Sipil</v>
          </cell>
        </row>
        <row r="1428">
          <cell r="G1428" t="str">
            <v>BLU TETAP</v>
          </cell>
          <cell r="T1428" t="str">
            <v>S1 Teknik Arsitektur</v>
          </cell>
        </row>
        <row r="1429">
          <cell r="G1429" t="str">
            <v>KONTRAK</v>
          </cell>
          <cell r="T1429" t="str">
            <v>D3 Teknik Elektronika</v>
          </cell>
        </row>
        <row r="1430">
          <cell r="G1430" t="str">
            <v>KONTRAK</v>
          </cell>
          <cell r="T1430" t="str">
            <v>D3 Teknik Mesin</v>
          </cell>
        </row>
        <row r="1433">
          <cell r="G1433" t="str">
            <v>Status</v>
          </cell>
          <cell r="H1433" t="str">
            <v>Pangkat</v>
          </cell>
          <cell r="T1433" t="str">
            <v>Pendidikan</v>
          </cell>
          <cell r="U1433" t="str">
            <v>Th Lulus Pendidikan</v>
          </cell>
        </row>
        <row r="1434">
          <cell r="G1434" t="str">
            <v>PNS</v>
          </cell>
          <cell r="H1434" t="str">
            <v>Pembina Tk.I</v>
          </cell>
          <cell r="T1434" t="str">
            <v>D4 Kesehatan Lingkungan</v>
          </cell>
        </row>
        <row r="1435">
          <cell r="G1435" t="str">
            <v>PNS</v>
          </cell>
          <cell r="H1435" t="str">
            <v>Pembina Tk.I</v>
          </cell>
          <cell r="T1435" t="str">
            <v>S1 SKM Kesling</v>
          </cell>
        </row>
        <row r="1436">
          <cell r="G1436" t="str">
            <v>PNS</v>
          </cell>
          <cell r="H1436" t="str">
            <v>Penata Tk.I</v>
          </cell>
          <cell r="T1436" t="str">
            <v>D3 Sanitasi Penilik Kesehatan</v>
          </cell>
        </row>
        <row r="1437">
          <cell r="G1437" t="str">
            <v>PNS</v>
          </cell>
          <cell r="H1437" t="str">
            <v>Penata Tk.I</v>
          </cell>
          <cell r="T1437" t="str">
            <v>D3 Sanitasi</v>
          </cell>
        </row>
        <row r="1438">
          <cell r="G1438" t="str">
            <v>PNS</v>
          </cell>
          <cell r="H1438" t="str">
            <v>Penata</v>
          </cell>
          <cell r="T1438" t="str">
            <v>S1 Komputer</v>
          </cell>
        </row>
        <row r="1439">
          <cell r="G1439" t="str">
            <v>PPPK</v>
          </cell>
          <cell r="T1439" t="str">
            <v>D3 Kesehatan Lingkungan</v>
          </cell>
        </row>
        <row r="1440">
          <cell r="G1440" t="str">
            <v>PPPK</v>
          </cell>
          <cell r="T1440" t="str">
            <v>D3 Kesehatan Lingkungan</v>
          </cell>
        </row>
        <row r="1441">
          <cell r="G1441" t="str">
            <v>BLU TETAP</v>
          </cell>
          <cell r="T1441" t="str">
            <v>S1 Teknik Elektro</v>
          </cell>
        </row>
        <row r="1442">
          <cell r="G1442" t="str">
            <v>BLU TETAP</v>
          </cell>
          <cell r="T1442" t="str">
            <v>S1 Kesehatan Masyarakat</v>
          </cell>
        </row>
        <row r="1443">
          <cell r="G1443" t="str">
            <v>PPPK</v>
          </cell>
          <cell r="T1443" t="str">
            <v>D4 Keselamatan Kesehatan Kerja</v>
          </cell>
        </row>
        <row r="1444">
          <cell r="G1444" t="str">
            <v>KONTRAK</v>
          </cell>
          <cell r="T1444" t="str">
            <v>D3 Teknik Mesin</v>
          </cell>
        </row>
        <row r="1445">
          <cell r="G1445" t="str">
            <v>KONTRAK</v>
          </cell>
          <cell r="T1445" t="str">
            <v>D3 Teknik Elektronika</v>
          </cell>
        </row>
        <row r="1448">
          <cell r="G1448" t="str">
            <v>Status</v>
          </cell>
          <cell r="H1448" t="str">
            <v>Pangkat</v>
          </cell>
          <cell r="T1448" t="str">
            <v>Pendidikan</v>
          </cell>
          <cell r="U1448" t="str">
            <v>Th Lulus Pendidikan</v>
          </cell>
        </row>
        <row r="1449">
          <cell r="G1449" t="str">
            <v>PNS</v>
          </cell>
          <cell r="H1449" t="str">
            <v>Pembina Tk.I</v>
          </cell>
          <cell r="T1449" t="str">
            <v>S2 Magister Manajemen</v>
          </cell>
        </row>
        <row r="1450">
          <cell r="G1450" t="str">
            <v>PNS</v>
          </cell>
          <cell r="H1450" t="str">
            <v>Penata Muda</v>
          </cell>
          <cell r="T1450" t="str">
            <v>SMEA</v>
          </cell>
        </row>
        <row r="1451">
          <cell r="G1451" t="str">
            <v>PNS</v>
          </cell>
          <cell r="H1451" t="str">
            <v>Penata Muda</v>
          </cell>
          <cell r="T1451" t="str">
            <v>SMA</v>
          </cell>
        </row>
        <row r="1452">
          <cell r="G1452" t="str">
            <v>PNS</v>
          </cell>
          <cell r="H1452" t="str">
            <v>Penata Muda Tk.I</v>
          </cell>
          <cell r="T1452" t="str">
            <v>SMA</v>
          </cell>
        </row>
        <row r="1453">
          <cell r="G1453" t="str">
            <v>PPPK</v>
          </cell>
          <cell r="T1453" t="str">
            <v>D3 Farmasi</v>
          </cell>
          <cell r="U1453">
            <v>2020</v>
          </cell>
        </row>
        <row r="1454">
          <cell r="G1454" t="str">
            <v>PPPK</v>
          </cell>
          <cell r="T1454" t="str">
            <v>D3 Komputer</v>
          </cell>
        </row>
        <row r="1455">
          <cell r="G1455" t="str">
            <v>KONTRAK</v>
          </cell>
          <cell r="T1455" t="str">
            <v>D3 Sistem Informasi</v>
          </cell>
        </row>
        <row r="1456">
          <cell r="G1456" t="str">
            <v>KONTRAK</v>
          </cell>
          <cell r="T1456" t="str">
            <v>D3 Administrasi Publik</v>
          </cell>
        </row>
        <row r="1461">
          <cell r="G1461" t="str">
            <v>Status</v>
          </cell>
          <cell r="H1461" t="str">
            <v>Pangkat</v>
          </cell>
          <cell r="T1461" t="str">
            <v>Pendidikan</v>
          </cell>
          <cell r="U1461" t="str">
            <v>Th Lulus Pendidikan</v>
          </cell>
        </row>
        <row r="1462">
          <cell r="G1462" t="str">
            <v>PNS</v>
          </cell>
          <cell r="H1462" t="str">
            <v>Penata Tk.I</v>
          </cell>
          <cell r="T1462" t="str">
            <v>S1 Ekonomi Manajemen</v>
          </cell>
        </row>
        <row r="1463">
          <cell r="G1463" t="str">
            <v>PNS</v>
          </cell>
          <cell r="H1463" t="str">
            <v>Penata</v>
          </cell>
          <cell r="T1463" t="str">
            <v>S1 Teknik Informatika</v>
          </cell>
        </row>
        <row r="1464">
          <cell r="G1464" t="str">
            <v>BLU TETAP</v>
          </cell>
          <cell r="T1464" t="str">
            <v>S1 Hukum</v>
          </cell>
        </row>
        <row r="1465">
          <cell r="G1465" t="str">
            <v>BLU TETAP</v>
          </cell>
          <cell r="T1465" t="str">
            <v>D3 Akuntansi</v>
          </cell>
        </row>
        <row r="1466">
          <cell r="G1466" t="str">
            <v>PNS</v>
          </cell>
          <cell r="H1466" t="str">
            <v>Penata</v>
          </cell>
          <cell r="T1466" t="str">
            <v>D3 Rekam Medik</v>
          </cell>
        </row>
        <row r="1467">
          <cell r="G1467" t="str">
            <v>PNS</v>
          </cell>
          <cell r="H1467" t="str">
            <v>Penata</v>
          </cell>
          <cell r="T1467" t="str">
            <v>S1 Hukum</v>
          </cell>
        </row>
        <row r="1468">
          <cell r="G1468" t="str">
            <v>PNS</v>
          </cell>
          <cell r="H1468" t="str">
            <v>Penata Muda Tk.I</v>
          </cell>
          <cell r="T1468" t="str">
            <v>D3 Teknik Komputer</v>
          </cell>
        </row>
        <row r="1469">
          <cell r="G1469" t="str">
            <v>PPPK</v>
          </cell>
          <cell r="T1469" t="str">
            <v>D3 Komputer</v>
          </cell>
        </row>
        <row r="1470">
          <cell r="G1470" t="str">
            <v>PPPK</v>
          </cell>
          <cell r="T1470" t="str">
            <v>S1 Komputer</v>
          </cell>
        </row>
        <row r="1471">
          <cell r="G1471" t="str">
            <v>PNS</v>
          </cell>
          <cell r="H1471" t="str">
            <v>Penata</v>
          </cell>
          <cell r="T1471" t="str">
            <v>AKPER</v>
          </cell>
        </row>
        <row r="1472">
          <cell r="G1472" t="str">
            <v>KONTRAK</v>
          </cell>
          <cell r="T1472" t="str">
            <v>D3 Sistem Informasi</v>
          </cell>
        </row>
        <row r="1473">
          <cell r="G1473" t="str">
            <v>PNS</v>
          </cell>
          <cell r="H1473" t="str">
            <v>Pembina Tk.I</v>
          </cell>
          <cell r="T1473" t="str">
            <v>Ners</v>
          </cell>
        </row>
        <row r="1474">
          <cell r="G1474" t="str">
            <v>PNS</v>
          </cell>
          <cell r="H1474" t="str">
            <v>Penata Tk.I</v>
          </cell>
          <cell r="T1474" t="str">
            <v>S1 Teknik Informatika</v>
          </cell>
        </row>
        <row r="1475">
          <cell r="G1475" t="str">
            <v>BLU TETAP</v>
          </cell>
          <cell r="T1475" t="str">
            <v>D3 Manajemen Perusahaan</v>
          </cell>
        </row>
        <row r="1476">
          <cell r="G1476" t="str">
            <v>PPPK</v>
          </cell>
          <cell r="T1476" t="str">
            <v>D3 Komputer</v>
          </cell>
        </row>
        <row r="1477">
          <cell r="G1477" t="str">
            <v>CPNS</v>
          </cell>
          <cell r="H1477" t="str">
            <v>Penata Muda</v>
          </cell>
          <cell r="T1477" t="str">
            <v>S1 Hukum</v>
          </cell>
        </row>
        <row r="1478">
          <cell r="G1478" t="str">
            <v>CPNS</v>
          </cell>
          <cell r="H1478" t="str">
            <v>Penata Muda</v>
          </cell>
          <cell r="T1478" t="str">
            <v>S1 Teknik Informatika</v>
          </cell>
        </row>
        <row r="1479">
          <cell r="G1479" t="str">
            <v>CPNS</v>
          </cell>
          <cell r="H1479" t="str">
            <v>Penata Muda</v>
          </cell>
          <cell r="T1479" t="str">
            <v>S1 Administrasi Negara</v>
          </cell>
        </row>
        <row r="1480">
          <cell r="G1480" t="str">
            <v>CPNS</v>
          </cell>
          <cell r="H1480" t="str">
            <v>Pengatur</v>
          </cell>
          <cell r="T1480" t="str">
            <v>D3 Teknik Informatika</v>
          </cell>
        </row>
        <row r="1483">
          <cell r="G1483" t="str">
            <v>Status</v>
          </cell>
          <cell r="H1483" t="str">
            <v>Pangkat</v>
          </cell>
          <cell r="T1483" t="str">
            <v>Pendidikan</v>
          </cell>
          <cell r="U1483" t="str">
            <v>Th Lulus Pendidikan</v>
          </cell>
        </row>
        <row r="1484">
          <cell r="G1484" t="str">
            <v>PNS</v>
          </cell>
          <cell r="H1484" t="str">
            <v>Penata Tk.I</v>
          </cell>
          <cell r="T1484" t="str">
            <v>Ners</v>
          </cell>
        </row>
        <row r="1485">
          <cell r="G1485" t="str">
            <v>PPPK</v>
          </cell>
          <cell r="T1485" t="str">
            <v>S1 Manajemen Pendidikan</v>
          </cell>
        </row>
        <row r="1486">
          <cell r="G1486" t="str">
            <v>BLU TETAP</v>
          </cell>
          <cell r="T1486" t="str">
            <v>D3 MARS</v>
          </cell>
        </row>
        <row r="1487">
          <cell r="G1487" t="str">
            <v>PNS</v>
          </cell>
          <cell r="H1487" t="str">
            <v>Penata Muda Tk.I</v>
          </cell>
          <cell r="T1487" t="str">
            <v>Ners</v>
          </cell>
        </row>
        <row r="1488">
          <cell r="G1488" t="str">
            <v>PNS</v>
          </cell>
          <cell r="H1488" t="str">
            <v>Penata Muda Tk.I</v>
          </cell>
          <cell r="T1488" t="str">
            <v>S1 Akuntansi</v>
          </cell>
        </row>
        <row r="1489">
          <cell r="G1489" t="str">
            <v>KONTRAK</v>
          </cell>
          <cell r="T1489" t="str">
            <v>S1 Manajemen</v>
          </cell>
        </row>
        <row r="1490">
          <cell r="G1490" t="str">
            <v>KONTRAK</v>
          </cell>
          <cell r="T1490" t="str">
            <v>D3 Sistem Informasi</v>
          </cell>
        </row>
        <row r="1491">
          <cell r="G1491" t="str">
            <v>PNS</v>
          </cell>
          <cell r="H1491" t="str">
            <v>Pengatur</v>
          </cell>
          <cell r="T1491" t="str">
            <v>SMA</v>
          </cell>
        </row>
        <row r="1492">
          <cell r="G1492" t="str">
            <v>PNS</v>
          </cell>
          <cell r="H1492" t="str">
            <v>Penata Tk.I</v>
          </cell>
          <cell r="T1492" t="str">
            <v>S1 Ekonomi Manajemen</v>
          </cell>
        </row>
        <row r="1493">
          <cell r="G1493" t="str">
            <v>BLU TETAP</v>
          </cell>
          <cell r="T1493" t="str">
            <v>D3 Manajemen Informatika</v>
          </cell>
        </row>
        <row r="1494">
          <cell r="G1494" t="str">
            <v>KONTRAK</v>
          </cell>
          <cell r="T1494" t="str">
            <v>D3 Sistem Informasi</v>
          </cell>
        </row>
        <row r="1495">
          <cell r="G1495" t="str">
            <v>KONTRAK</v>
          </cell>
          <cell r="T1495" t="str">
            <v>D3 Administrasi Publik</v>
          </cell>
        </row>
        <row r="1496">
          <cell r="G1496" t="str">
            <v>KONTRAK</v>
          </cell>
          <cell r="T1496" t="str">
            <v>S1 Manajemen</v>
          </cell>
        </row>
        <row r="1497">
          <cell r="G1497" t="str">
            <v>PPPK</v>
          </cell>
          <cell r="T1497" t="str">
            <v>D3 Arsiparis</v>
          </cell>
        </row>
        <row r="1498">
          <cell r="G1498" t="str">
            <v>CPNS</v>
          </cell>
          <cell r="H1498" t="str">
            <v>Penata Muda</v>
          </cell>
          <cell r="T1498" t="str">
            <v>S1 Ilmu Perpustakaan</v>
          </cell>
        </row>
        <row r="1501">
          <cell r="G1501" t="str">
            <v>Status</v>
          </cell>
          <cell r="H1501" t="str">
            <v>Pangkat</v>
          </cell>
          <cell r="T1501" t="str">
            <v>Pendidikan</v>
          </cell>
          <cell r="U1501" t="str">
            <v>Th Lulus Pendidikan</v>
          </cell>
        </row>
        <row r="1502">
          <cell r="G1502" t="str">
            <v>PNS</v>
          </cell>
          <cell r="H1502" t="str">
            <v>Penata</v>
          </cell>
          <cell r="T1502" t="str">
            <v>D3 Manajemen Informatika</v>
          </cell>
        </row>
        <row r="1503">
          <cell r="G1503" t="str">
            <v>PPPK</v>
          </cell>
          <cell r="T1503" t="str">
            <v>D3 Komputer</v>
          </cell>
        </row>
        <row r="1504">
          <cell r="G1504" t="str">
            <v>BLU TETAP</v>
          </cell>
          <cell r="T1504" t="str">
            <v>D3 Kebidanan</v>
          </cell>
        </row>
        <row r="1505">
          <cell r="G1505" t="str">
            <v>KONTRAK</v>
          </cell>
          <cell r="T1505" t="str">
            <v>D3 Manajemen Administrasi</v>
          </cell>
        </row>
        <row r="1506">
          <cell r="G1506" t="str">
            <v>KONTRAK</v>
          </cell>
          <cell r="T1506" t="str">
            <v>D3 Sistem Informasi</v>
          </cell>
        </row>
        <row r="1512">
          <cell r="AD1512" t="str">
            <v>Klaten, September 2025</v>
          </cell>
        </row>
        <row r="1513">
          <cell r="AD1513" t="str">
            <v>Manajer Organisasi dan SDM</v>
          </cell>
        </row>
        <row r="1515">
          <cell r="C1515" t="str">
            <v>September 2025</v>
          </cell>
        </row>
        <row r="1517">
          <cell r="AD1517" t="str">
            <v>Ropingah Apriliana, S.Kep.Ns</v>
          </cell>
        </row>
        <row r="1518">
          <cell r="AD1518" t="str">
            <v>NIP 197404091998032003</v>
          </cell>
        </row>
      </sheetData>
      <sheetData sheetId="1"/>
      <sheetData sheetId="2">
        <row r="8">
          <cell r="C8" t="str">
            <v>dr. Umum</v>
          </cell>
          <cell r="J8">
            <v>29</v>
          </cell>
        </row>
        <row r="10">
          <cell r="C10" t="str">
            <v>dr. Gigi</v>
          </cell>
          <cell r="J10">
            <v>3</v>
          </cell>
        </row>
        <row r="12">
          <cell r="C12" t="str">
            <v>dr. Sp. Anak</v>
          </cell>
          <cell r="J12">
            <v>3</v>
          </cell>
        </row>
        <row r="13">
          <cell r="C13" t="str">
            <v>dr. Sp. Anestesi</v>
          </cell>
          <cell r="J13">
            <v>4</v>
          </cell>
        </row>
        <row r="14">
          <cell r="C14" t="str">
            <v>dr. Sp. Bedah</v>
          </cell>
          <cell r="J14">
            <v>3</v>
          </cell>
        </row>
        <row r="15">
          <cell r="C15" t="str">
            <v>dr. Sp. Bedah Plastik</v>
          </cell>
          <cell r="J15">
            <v>2</v>
          </cell>
        </row>
        <row r="16">
          <cell r="C16" t="str">
            <v>dr. Sp. Bedah Ortopedi</v>
          </cell>
          <cell r="J16">
            <v>1</v>
          </cell>
        </row>
        <row r="17">
          <cell r="C17" t="str">
            <v>dr. Sp. Bedah Urologi</v>
          </cell>
          <cell r="J17">
            <v>1</v>
          </cell>
        </row>
        <row r="18">
          <cell r="C18" t="str">
            <v>dr. Sp. Bedah Saraf</v>
          </cell>
          <cell r="J18">
            <v>1</v>
          </cell>
        </row>
        <row r="19">
          <cell r="C19" t="str">
            <v>dr. Sp. BTKV</v>
          </cell>
          <cell r="J19">
            <v>1</v>
          </cell>
        </row>
        <row r="20">
          <cell r="C20" t="str">
            <v>dr. Sp. JP</v>
          </cell>
          <cell r="J20">
            <v>2</v>
          </cell>
        </row>
        <row r="21">
          <cell r="C21" t="str">
            <v>dr. Sp. Kedokteran Jiwa</v>
          </cell>
          <cell r="J21">
            <v>1</v>
          </cell>
        </row>
        <row r="22">
          <cell r="C22" t="str">
            <v>dr. Sp. Kulit dan Kelamin</v>
          </cell>
          <cell r="J22">
            <v>2</v>
          </cell>
        </row>
        <row r="23">
          <cell r="C23" t="str">
            <v>dr. Sp. Mata</v>
          </cell>
          <cell r="J23">
            <v>5</v>
          </cell>
        </row>
        <row r="24">
          <cell r="C24" t="str">
            <v>dr. Sp. Obsgin</v>
          </cell>
          <cell r="J24">
            <v>3</v>
          </cell>
        </row>
        <row r="25">
          <cell r="C25" t="str">
            <v>dr. Sp. Paru</v>
          </cell>
          <cell r="J25">
            <v>0</v>
          </cell>
        </row>
        <row r="26">
          <cell r="C26" t="str">
            <v>dr. Sp. Patologi Klinik</v>
          </cell>
          <cell r="J26">
            <v>3</v>
          </cell>
        </row>
        <row r="27">
          <cell r="C27" t="str">
            <v>dr. Sp. Patologi Anatomi</v>
          </cell>
          <cell r="J27">
            <v>2</v>
          </cell>
        </row>
        <row r="28">
          <cell r="C28" t="str">
            <v>dr. Sp. Penyakit Dalam</v>
          </cell>
          <cell r="J28">
            <v>6</v>
          </cell>
        </row>
        <row r="29">
          <cell r="C29" t="str">
            <v>dr. Sp. Radiologi</v>
          </cell>
          <cell r="J29">
            <v>4</v>
          </cell>
        </row>
        <row r="30">
          <cell r="C30" t="str">
            <v>dr. Sp. Saraf</v>
          </cell>
          <cell r="J30">
            <v>5</v>
          </cell>
        </row>
        <row r="31">
          <cell r="C31" t="str">
            <v>dr. Sp. KFR</v>
          </cell>
          <cell r="J31">
            <v>2</v>
          </cell>
        </row>
        <row r="32">
          <cell r="C32" t="str">
            <v>dr. Sp. THT</v>
          </cell>
          <cell r="J32">
            <v>3</v>
          </cell>
        </row>
        <row r="33">
          <cell r="C33" t="str">
            <v>dr. Sp. Mikrobiologi Klinik</v>
          </cell>
          <cell r="J33">
            <v>2</v>
          </cell>
        </row>
        <row r="34">
          <cell r="C34" t="str">
            <v>dr. Sp. Forensik</v>
          </cell>
          <cell r="J34">
            <v>1</v>
          </cell>
        </row>
        <row r="38">
          <cell r="C38" t="str">
            <v>drg. Sp. Pedodontik</v>
          </cell>
          <cell r="J38">
            <v>0</v>
          </cell>
        </row>
        <row r="39">
          <cell r="C39" t="str">
            <v>drg. Sp. KG</v>
          </cell>
          <cell r="J39">
            <v>1</v>
          </cell>
        </row>
        <row r="40">
          <cell r="C40" t="str">
            <v>drg. Sp. Periodonsia</v>
          </cell>
          <cell r="J40">
            <v>0</v>
          </cell>
        </row>
        <row r="41">
          <cell r="C41" t="str">
            <v>drg. Sp. Prostodonti</v>
          </cell>
          <cell r="J41">
            <v>1</v>
          </cell>
        </row>
        <row r="49">
          <cell r="C49" t="str">
            <v>dr. Sp. Penyakit Dalam (Konsultan) Hematologi Onkologi Medik</v>
          </cell>
          <cell r="J49">
            <v>1</v>
          </cell>
        </row>
        <row r="50">
          <cell r="C50" t="str">
            <v>dr. Sp. Penyakit Dalam (Konsultan) Ginjal Hipertensi</v>
          </cell>
          <cell r="J50">
            <v>2</v>
          </cell>
        </row>
        <row r="51">
          <cell r="C51" t="str">
            <v>dr. Sp. Bedah Degestif (Konsultan)</v>
          </cell>
          <cell r="J51">
            <v>1</v>
          </cell>
        </row>
        <row r="52">
          <cell r="C52" t="str">
            <v>dr. Sp. Obsgin (Konsultan) Sub Spesialis Fertilitas dan Endokrinologi Reproduksi</v>
          </cell>
          <cell r="J52">
            <v>1</v>
          </cell>
        </row>
        <row r="53">
          <cell r="C53" t="str">
            <v>dr. Sp. Obsgin (Konsultan) Sub Spesialis Onkologi Ginekologi</v>
          </cell>
          <cell r="J53">
            <v>1</v>
          </cell>
        </row>
        <row r="54">
          <cell r="C54" t="str">
            <v>dr. Sp. Bedah Ortopedi (Konsultan) Sub Spesialis Hand and Microsurgery</v>
          </cell>
          <cell r="J54">
            <v>1</v>
          </cell>
        </row>
        <row r="55">
          <cell r="C55" t="str">
            <v>dr. Sp. Bedah Ortopedi (Konsultan) Sub Spesialis Hip and Knee</v>
          </cell>
          <cell r="J55">
            <v>1</v>
          </cell>
        </row>
        <row r="56">
          <cell r="C56" t="str">
            <v>dr. Sp. Bedah Ortopedi (Konsultan) Sub Spesialis Spine</v>
          </cell>
          <cell r="J56">
            <v>1</v>
          </cell>
        </row>
        <row r="57">
          <cell r="C57" t="str">
            <v>dr. Sp. Bedah Ortopedi (Konsultan) Subspesialis Bahu dan Siku</v>
          </cell>
          <cell r="J57">
            <v>1</v>
          </cell>
        </row>
        <row r="58">
          <cell r="C58" t="str">
            <v>dr. Sp. Bedah Anak (Konsultan)</v>
          </cell>
          <cell r="J58">
            <v>1</v>
          </cell>
        </row>
        <row r="59">
          <cell r="C59" t="str">
            <v>dr. Sp. Bedah Onkologi (Konsultan)</v>
          </cell>
          <cell r="J59">
            <v>1</v>
          </cell>
        </row>
        <row r="84">
          <cell r="C84" t="str">
            <v>M. Kep</v>
          </cell>
          <cell r="J84">
            <v>5</v>
          </cell>
        </row>
        <row r="85">
          <cell r="C85" t="str">
            <v>S1 Keperawatan</v>
          </cell>
          <cell r="J85">
            <v>1</v>
          </cell>
        </row>
        <row r="86">
          <cell r="C86" t="str">
            <v>S1 Keperawatan + Ners</v>
          </cell>
          <cell r="J86">
            <v>331</v>
          </cell>
        </row>
        <row r="87">
          <cell r="C87" t="str">
            <v>D4 Keperawatan</v>
          </cell>
          <cell r="J87">
            <v>9</v>
          </cell>
        </row>
        <row r="88">
          <cell r="C88" t="str">
            <v>D3 Keperawatan</v>
          </cell>
          <cell r="J88">
            <v>160</v>
          </cell>
        </row>
        <row r="89">
          <cell r="C89" t="str">
            <v>AKPER</v>
          </cell>
          <cell r="J89">
            <v>56</v>
          </cell>
        </row>
        <row r="90">
          <cell r="C90" t="str">
            <v>SPRG</v>
          </cell>
          <cell r="J90">
            <v>0</v>
          </cell>
        </row>
        <row r="95">
          <cell r="C95" t="str">
            <v>D4 Kebidanan</v>
          </cell>
          <cell r="J95">
            <v>12</v>
          </cell>
        </row>
        <row r="96">
          <cell r="C96" t="str">
            <v>D3 Kebidanan</v>
          </cell>
          <cell r="J96">
            <v>31</v>
          </cell>
        </row>
        <row r="97">
          <cell r="C97" t="str">
            <v>AKBID</v>
          </cell>
          <cell r="J97">
            <v>1</v>
          </cell>
        </row>
        <row r="101">
          <cell r="C101" t="str">
            <v>S2 Farmasi Klinis</v>
          </cell>
          <cell r="J101">
            <v>4</v>
          </cell>
        </row>
        <row r="102">
          <cell r="C102" t="str">
            <v>S1 Farmasi</v>
          </cell>
          <cell r="J102">
            <v>0</v>
          </cell>
        </row>
        <row r="103">
          <cell r="C103" t="str">
            <v>D3 Farmasi</v>
          </cell>
          <cell r="J103">
            <v>54</v>
          </cell>
        </row>
        <row r="104">
          <cell r="C104" t="str">
            <v>Apoteker</v>
          </cell>
          <cell r="J104">
            <v>20</v>
          </cell>
        </row>
        <row r="105">
          <cell r="C105" t="str">
            <v>D3 Analisa Farmasi &amp; Makanan</v>
          </cell>
          <cell r="J105">
            <v>1</v>
          </cell>
        </row>
        <row r="106">
          <cell r="C106" t="str">
            <v>Apoteker Klinis Komunitas</v>
          </cell>
          <cell r="J106">
            <v>5</v>
          </cell>
        </row>
        <row r="107">
          <cell r="C107" t="str">
            <v>D1 Manaj. Apotek &amp; Farmasi</v>
          </cell>
          <cell r="J107">
            <v>0</v>
          </cell>
        </row>
        <row r="108">
          <cell r="C108" t="str">
            <v>SMF</v>
          </cell>
          <cell r="J108">
            <v>2</v>
          </cell>
        </row>
        <row r="111">
          <cell r="C111" t="str">
            <v>S2 Ilmu Kesehatan Masyarakat</v>
          </cell>
          <cell r="J111">
            <v>5</v>
          </cell>
        </row>
        <row r="112">
          <cell r="C112" t="str">
            <v>S1 SKM Adm &amp; Kebijakan</v>
          </cell>
          <cell r="J112">
            <v>1</v>
          </cell>
        </row>
        <row r="113">
          <cell r="C113" t="str">
            <v>S1 SKM</v>
          </cell>
          <cell r="J113">
            <v>4</v>
          </cell>
        </row>
        <row r="114">
          <cell r="C114" t="str">
            <v>S1 SKM Kesling</v>
          </cell>
          <cell r="J114">
            <v>1</v>
          </cell>
        </row>
        <row r="115">
          <cell r="C115" t="str">
            <v>S1 SKM Penilik Kesmas</v>
          </cell>
          <cell r="J115">
            <v>1</v>
          </cell>
        </row>
        <row r="116">
          <cell r="C116" t="str">
            <v>S1 SKM Sanitasi</v>
          </cell>
          <cell r="J116">
            <v>1</v>
          </cell>
        </row>
        <row r="117">
          <cell r="C117" t="str">
            <v>S1 Kesehatan Masyarakat</v>
          </cell>
          <cell r="J117">
            <v>3</v>
          </cell>
        </row>
        <row r="118">
          <cell r="C118" t="str">
            <v>D4 Kesehatan Lingkungan</v>
          </cell>
          <cell r="J118">
            <v>1</v>
          </cell>
        </row>
        <row r="119">
          <cell r="C119" t="str">
            <v>D3 Kesehatan Lingkungan</v>
          </cell>
          <cell r="J119">
            <v>2</v>
          </cell>
        </row>
        <row r="120">
          <cell r="C120" t="str">
            <v>D3 Sanitasi</v>
          </cell>
          <cell r="J120">
            <v>1</v>
          </cell>
        </row>
        <row r="121">
          <cell r="C121" t="str">
            <v>D3 Sanitasi Penilik Kesehatan</v>
          </cell>
          <cell r="J121">
            <v>1</v>
          </cell>
        </row>
        <row r="124">
          <cell r="C124" t="str">
            <v>S2 Gizi</v>
          </cell>
          <cell r="J124">
            <v>1</v>
          </cell>
        </row>
        <row r="125">
          <cell r="C125" t="str">
            <v>S1 Gizi</v>
          </cell>
          <cell r="J125">
            <v>8</v>
          </cell>
        </row>
        <row r="126">
          <cell r="C126" t="str">
            <v>S1 SKM Gizi</v>
          </cell>
          <cell r="J126">
            <v>0</v>
          </cell>
        </row>
        <row r="127">
          <cell r="C127" t="str">
            <v>D4 Gizi</v>
          </cell>
          <cell r="J127">
            <v>3</v>
          </cell>
        </row>
        <row r="128">
          <cell r="C128" t="str">
            <v>D3 Gizi</v>
          </cell>
          <cell r="J128">
            <v>7</v>
          </cell>
        </row>
        <row r="133">
          <cell r="C133" t="str">
            <v>S1 Fisioterapi</v>
          </cell>
          <cell r="J133">
            <v>1</v>
          </cell>
        </row>
        <row r="134">
          <cell r="C134" t="str">
            <v>S1 Psikologi</v>
          </cell>
          <cell r="J134">
            <v>0</v>
          </cell>
        </row>
        <row r="135">
          <cell r="C135" t="str">
            <v>D4 Fisioterapi</v>
          </cell>
          <cell r="J135">
            <v>5</v>
          </cell>
        </row>
        <row r="136">
          <cell r="C136" t="str">
            <v>D4 Okupasi Terapi</v>
          </cell>
          <cell r="J136">
            <v>1</v>
          </cell>
        </row>
        <row r="137">
          <cell r="C137" t="str">
            <v>D4 Orthotik Prostetik</v>
          </cell>
          <cell r="J137">
            <v>1</v>
          </cell>
        </row>
        <row r="138">
          <cell r="C138" t="str">
            <v>D3 AKFIS</v>
          </cell>
          <cell r="J138">
            <v>1</v>
          </cell>
        </row>
        <row r="139">
          <cell r="C139" t="str">
            <v>D3 Fisioterapi</v>
          </cell>
          <cell r="J139">
            <v>5</v>
          </cell>
        </row>
        <row r="140">
          <cell r="C140" t="str">
            <v>D3 Okupasi Terapi</v>
          </cell>
          <cell r="J140">
            <v>3</v>
          </cell>
        </row>
        <row r="141">
          <cell r="C141" t="str">
            <v>D3 Terapi Wicara</v>
          </cell>
          <cell r="J141">
            <v>4</v>
          </cell>
        </row>
        <row r="142">
          <cell r="C142" t="str">
            <v>D3 Orthotik Prostetik</v>
          </cell>
          <cell r="J142">
            <v>1</v>
          </cell>
        </row>
        <row r="148">
          <cell r="C148" t="str">
            <v>D4 TRO</v>
          </cell>
          <cell r="J148">
            <v>0</v>
          </cell>
        </row>
        <row r="149">
          <cell r="C149" t="str">
            <v>D4 Teknik Radiologi</v>
          </cell>
          <cell r="J149">
            <v>5</v>
          </cell>
        </row>
        <row r="150">
          <cell r="C150" t="str">
            <v>D4 Teknik Radiodiagnostik dan Radioterapi</v>
          </cell>
          <cell r="J150">
            <v>1</v>
          </cell>
        </row>
        <row r="151">
          <cell r="C151" t="str">
            <v>D4 Analis Kesehatan</v>
          </cell>
          <cell r="J151">
            <v>7</v>
          </cell>
        </row>
        <row r="152">
          <cell r="C152" t="str">
            <v>D4 Rekam Medik</v>
          </cell>
          <cell r="J152">
            <v>6</v>
          </cell>
        </row>
        <row r="153">
          <cell r="C153" t="str">
            <v>D4 Keperawatan Anestesiologi</v>
          </cell>
          <cell r="J153">
            <v>8</v>
          </cell>
        </row>
        <row r="154">
          <cell r="C154" t="str">
            <v>D4 Radiodiagnostik dan Radioterapi</v>
          </cell>
          <cell r="J154">
            <v>1</v>
          </cell>
        </row>
        <row r="155">
          <cell r="C155" t="str">
            <v>D4 Teknologi Laboratorium Medis</v>
          </cell>
          <cell r="J155">
            <v>7</v>
          </cell>
        </row>
        <row r="156">
          <cell r="C156" t="str">
            <v>Sarjana Terapan Teknologi Radiologi Pencitraan</v>
          </cell>
          <cell r="J156">
            <v>4</v>
          </cell>
        </row>
        <row r="157">
          <cell r="C157" t="str">
            <v>D3 Analis Kesehatan</v>
          </cell>
          <cell r="J157">
            <v>21</v>
          </cell>
        </row>
        <row r="158">
          <cell r="C158" t="str">
            <v>D3 Kesehatan Gigi</v>
          </cell>
          <cell r="J158">
            <v>3</v>
          </cell>
        </row>
        <row r="159">
          <cell r="C159" t="str">
            <v>D3 Refraksi Optisi</v>
          </cell>
          <cell r="J159">
            <v>0</v>
          </cell>
        </row>
        <row r="160">
          <cell r="C160" t="str">
            <v>D3 MARM</v>
          </cell>
          <cell r="J160">
            <v>1</v>
          </cell>
        </row>
        <row r="161">
          <cell r="C161" t="str">
            <v>D3 Radiodiagnostik</v>
          </cell>
          <cell r="J161">
            <v>10</v>
          </cell>
        </row>
        <row r="162">
          <cell r="C162" t="str">
            <v>D3 Rekam Medik</v>
          </cell>
          <cell r="J162">
            <v>28</v>
          </cell>
        </row>
        <row r="163">
          <cell r="C163" t="str">
            <v>D3 Teknik Radiologi</v>
          </cell>
          <cell r="J163">
            <v>0</v>
          </cell>
        </row>
        <row r="164">
          <cell r="C164" t="str">
            <v>ATEM</v>
          </cell>
          <cell r="J164">
            <v>3</v>
          </cell>
        </row>
        <row r="165">
          <cell r="C165" t="str">
            <v>AKG</v>
          </cell>
          <cell r="J165">
            <v>1</v>
          </cell>
        </row>
        <row r="166">
          <cell r="C166" t="str">
            <v>ATG</v>
          </cell>
          <cell r="J166">
            <v>1</v>
          </cell>
        </row>
        <row r="167">
          <cell r="C167" t="str">
            <v>ATRO</v>
          </cell>
          <cell r="J167">
            <v>0</v>
          </cell>
        </row>
        <row r="168">
          <cell r="C168" t="str">
            <v>Akademi Teknik Rontgen</v>
          </cell>
          <cell r="J168">
            <v>2</v>
          </cell>
        </row>
        <row r="169">
          <cell r="C169" t="str">
            <v>D1 Teknologi Transfusi Darah</v>
          </cell>
          <cell r="J169">
            <v>0</v>
          </cell>
        </row>
        <row r="170">
          <cell r="C170" t="str">
            <v>D3Teknologi Transfusi Darah</v>
          </cell>
          <cell r="J170">
            <v>3</v>
          </cell>
        </row>
        <row r="171">
          <cell r="C171" t="str">
            <v>D3 Teknologi Bank Darah</v>
          </cell>
          <cell r="J171">
            <v>4</v>
          </cell>
        </row>
        <row r="172">
          <cell r="C172" t="str">
            <v>D3 Teknik Radiodiagnostik Dan Radioterapi</v>
          </cell>
          <cell r="J172">
            <v>2</v>
          </cell>
        </row>
        <row r="173">
          <cell r="C173" t="str">
            <v>D3 Teknologi Laboratorium Medis</v>
          </cell>
          <cell r="J173">
            <v>1</v>
          </cell>
        </row>
        <row r="174">
          <cell r="C174" t="str">
            <v>SPTG</v>
          </cell>
          <cell r="J174">
            <v>1</v>
          </cell>
        </row>
        <row r="178">
          <cell r="C178" t="str">
            <v>MMR</v>
          </cell>
          <cell r="J178">
            <v>0</v>
          </cell>
        </row>
        <row r="179">
          <cell r="C179" t="str">
            <v>S2 Magister Kesehatan</v>
          </cell>
          <cell r="J179">
            <v>1</v>
          </cell>
        </row>
        <row r="180">
          <cell r="C180" t="str">
            <v>S2 Magister Manajemen</v>
          </cell>
          <cell r="J180">
            <v>6</v>
          </cell>
        </row>
        <row r="181">
          <cell r="C181" t="str">
            <v>S2 Ekonomi Pembangunan</v>
          </cell>
          <cell r="J181">
            <v>1</v>
          </cell>
        </row>
        <row r="182">
          <cell r="C182" t="str">
            <v>S2 Hukum</v>
          </cell>
          <cell r="J182">
            <v>2</v>
          </cell>
        </row>
        <row r="183">
          <cell r="C183" t="str">
            <v>S2 Ilmu Manajemen</v>
          </cell>
          <cell r="J183">
            <v>0</v>
          </cell>
        </row>
        <row r="184">
          <cell r="C184" t="str">
            <v>S1 Agama Islam</v>
          </cell>
          <cell r="J184">
            <v>1</v>
          </cell>
        </row>
        <row r="185">
          <cell r="C185" t="str">
            <v>S1 Teknik Sipil</v>
          </cell>
          <cell r="J185">
            <v>1</v>
          </cell>
        </row>
        <row r="186">
          <cell r="C186" t="str">
            <v>S1 Akuntansi</v>
          </cell>
          <cell r="J186">
            <v>26</v>
          </cell>
        </row>
        <row r="187">
          <cell r="C187" t="str">
            <v>S1 Hukum</v>
          </cell>
          <cell r="J187">
            <v>6</v>
          </cell>
        </row>
        <row r="188">
          <cell r="C188" t="str">
            <v>S1 Ilmu Hukum</v>
          </cell>
          <cell r="J188">
            <v>0</v>
          </cell>
        </row>
        <row r="189">
          <cell r="C189" t="str">
            <v>S1 Kom Masyarakat</v>
          </cell>
          <cell r="J189">
            <v>1</v>
          </cell>
        </row>
        <row r="190">
          <cell r="C190" t="str">
            <v>S1 Sistem Informasi</v>
          </cell>
          <cell r="J190">
            <v>6</v>
          </cell>
        </row>
        <row r="191">
          <cell r="C191" t="str">
            <v>S1 Sos</v>
          </cell>
          <cell r="J191">
            <v>1</v>
          </cell>
        </row>
        <row r="192">
          <cell r="C192" t="str">
            <v>S1 Teknik Elektro</v>
          </cell>
          <cell r="J192">
            <v>6</v>
          </cell>
        </row>
        <row r="193">
          <cell r="C193" t="str">
            <v>S1 Teknik Informatika</v>
          </cell>
          <cell r="J193">
            <v>17</v>
          </cell>
        </row>
        <row r="194">
          <cell r="C194" t="str">
            <v>S1 Sistem Informatika</v>
          </cell>
          <cell r="J194">
            <v>0</v>
          </cell>
        </row>
        <row r="195">
          <cell r="C195" t="str">
            <v>S1 Informatika</v>
          </cell>
          <cell r="J195">
            <v>0</v>
          </cell>
        </row>
        <row r="196">
          <cell r="C196" t="str">
            <v>S1 Pendidikan Informatika</v>
          </cell>
          <cell r="J196">
            <v>0</v>
          </cell>
        </row>
        <row r="197">
          <cell r="C197" t="str">
            <v>S1 Teknik Mesin</v>
          </cell>
          <cell r="J197">
            <v>1</v>
          </cell>
        </row>
        <row r="198">
          <cell r="C198" t="str">
            <v>S1 Teknik Arsitektur</v>
          </cell>
          <cell r="J198">
            <v>1</v>
          </cell>
        </row>
        <row r="199">
          <cell r="C199" t="str">
            <v>S1 Komputer</v>
          </cell>
          <cell r="J199">
            <v>2</v>
          </cell>
        </row>
        <row r="200">
          <cell r="C200" t="str">
            <v>S1 Administrasi Negara</v>
          </cell>
          <cell r="J200">
            <v>1</v>
          </cell>
        </row>
        <row r="201">
          <cell r="C201" t="str">
            <v>S1 Ekonomi Akuntansi</v>
          </cell>
          <cell r="J201">
            <v>18</v>
          </cell>
        </row>
        <row r="202">
          <cell r="C202" t="str">
            <v>S1 Ekonomi Manajemen</v>
          </cell>
          <cell r="J202">
            <v>10</v>
          </cell>
        </row>
        <row r="203">
          <cell r="C203" t="str">
            <v>S1 Manajemen Pendidikan</v>
          </cell>
          <cell r="J203">
            <v>1</v>
          </cell>
        </row>
        <row r="204">
          <cell r="C204" t="str">
            <v>S1 Manajemen</v>
          </cell>
          <cell r="J204">
            <v>9</v>
          </cell>
        </row>
        <row r="205">
          <cell r="C205" t="str">
            <v>S1 Ilmu Komunikasi</v>
          </cell>
          <cell r="J205">
            <v>1</v>
          </cell>
        </row>
        <row r="206">
          <cell r="C206" t="str">
            <v>S1 Hospitality</v>
          </cell>
          <cell r="J206">
            <v>1</v>
          </cell>
        </row>
        <row r="207">
          <cell r="C207" t="str">
            <v>S1 Administrasi Publik</v>
          </cell>
          <cell r="J207">
            <v>3</v>
          </cell>
        </row>
        <row r="208">
          <cell r="C208" t="str">
            <v>S1 Kesejahteraan Sosial</v>
          </cell>
          <cell r="J208">
            <v>1</v>
          </cell>
        </row>
        <row r="209">
          <cell r="C209" t="str">
            <v>S1 Ilmu Perpustakaan</v>
          </cell>
          <cell r="J209">
            <v>1</v>
          </cell>
        </row>
        <row r="210">
          <cell r="C210" t="str">
            <v>D4 Keselamatan Kesehatan Kerja</v>
          </cell>
          <cell r="J210">
            <v>1</v>
          </cell>
        </row>
        <row r="211">
          <cell r="C211" t="str">
            <v>D4 Teknik Elektromedik</v>
          </cell>
          <cell r="J211">
            <v>2</v>
          </cell>
        </row>
        <row r="212">
          <cell r="C212" t="str">
            <v>D4 Kearsipan</v>
          </cell>
          <cell r="J212">
            <v>1</v>
          </cell>
        </row>
        <row r="213">
          <cell r="C213" t="str">
            <v>D4 Akuntansi</v>
          </cell>
          <cell r="J213">
            <v>1</v>
          </cell>
        </row>
        <row r="214">
          <cell r="C214" t="str">
            <v>D3 Teknik Elektromedik</v>
          </cell>
          <cell r="J214">
            <v>4</v>
          </cell>
        </row>
        <row r="215">
          <cell r="C215" t="str">
            <v>D3 Elektronika</v>
          </cell>
          <cell r="J215">
            <v>2</v>
          </cell>
        </row>
        <row r="216">
          <cell r="C216" t="str">
            <v>D3 Arsiparis</v>
          </cell>
          <cell r="J216">
            <v>1</v>
          </cell>
        </row>
        <row r="217">
          <cell r="C217" t="str">
            <v>D3 Akuntansi</v>
          </cell>
          <cell r="J217">
            <v>19</v>
          </cell>
        </row>
        <row r="218">
          <cell r="C218" t="str">
            <v>D3 Hubungan Masyarakat</v>
          </cell>
          <cell r="J218">
            <v>4</v>
          </cell>
        </row>
        <row r="219">
          <cell r="C219" t="str">
            <v>D3 Manaj. Informatika Perbankan</v>
          </cell>
          <cell r="J219">
            <v>2</v>
          </cell>
        </row>
        <row r="220">
          <cell r="C220" t="str">
            <v>D3 Manajemen Informatika</v>
          </cell>
          <cell r="J220">
            <v>5</v>
          </cell>
        </row>
        <row r="221">
          <cell r="C221" t="str">
            <v>D3 Manajemen Perusahaan</v>
          </cell>
          <cell r="J221">
            <v>1</v>
          </cell>
        </row>
        <row r="222">
          <cell r="C222" t="str">
            <v>D3 Manajemen Administrasi</v>
          </cell>
          <cell r="J222">
            <v>1</v>
          </cell>
        </row>
        <row r="223">
          <cell r="C223" t="str">
            <v>D3 MARS</v>
          </cell>
          <cell r="J223">
            <v>3</v>
          </cell>
        </row>
        <row r="224">
          <cell r="C224" t="str">
            <v>D3 Perpustakaan</v>
          </cell>
          <cell r="J224">
            <v>2</v>
          </cell>
        </row>
        <row r="225">
          <cell r="C225" t="str">
            <v>D3 Sekretaris</v>
          </cell>
          <cell r="J225">
            <v>2</v>
          </cell>
        </row>
        <row r="226">
          <cell r="C226" t="str">
            <v>D3 Teknik Informatika</v>
          </cell>
          <cell r="J226">
            <v>3</v>
          </cell>
        </row>
        <row r="227">
          <cell r="C227" t="str">
            <v>D3 Teknik Komputer</v>
          </cell>
          <cell r="J227">
            <v>2</v>
          </cell>
        </row>
        <row r="228">
          <cell r="C228" t="str">
            <v>D3 Komputer</v>
          </cell>
          <cell r="J228">
            <v>13</v>
          </cell>
        </row>
        <row r="229">
          <cell r="C229" t="str">
            <v>D3 Sistem Informasi</v>
          </cell>
          <cell r="J229">
            <v>9</v>
          </cell>
        </row>
        <row r="230">
          <cell r="C230" t="str">
            <v>D3 Teknik Listrik</v>
          </cell>
          <cell r="J230">
            <v>1</v>
          </cell>
        </row>
        <row r="231">
          <cell r="C231" t="str">
            <v>D3 Teknik Mesin</v>
          </cell>
          <cell r="J231">
            <v>3</v>
          </cell>
        </row>
        <row r="232">
          <cell r="C232" t="str">
            <v>D3 Teknik Sipil</v>
          </cell>
          <cell r="J232">
            <v>2</v>
          </cell>
        </row>
        <row r="233">
          <cell r="C233" t="str">
            <v>D3 Perpajakan</v>
          </cell>
          <cell r="J233">
            <v>1</v>
          </cell>
        </row>
        <row r="234">
          <cell r="C234" t="str">
            <v>D3 Teknik Boga</v>
          </cell>
          <cell r="J234">
            <v>1</v>
          </cell>
        </row>
        <row r="235">
          <cell r="C235" t="str">
            <v>D3 Seni Kuliner</v>
          </cell>
          <cell r="J235">
            <v>11</v>
          </cell>
        </row>
        <row r="236">
          <cell r="C236" t="str">
            <v>D3 Administrasi Publik</v>
          </cell>
          <cell r="J236">
            <v>11</v>
          </cell>
        </row>
        <row r="237">
          <cell r="C237" t="str">
            <v>D3 Administrasi Negara</v>
          </cell>
          <cell r="J237">
            <v>0</v>
          </cell>
        </row>
        <row r="238">
          <cell r="C238" t="str">
            <v>D3 Publik Relations (Hubungan Masyarakat)</v>
          </cell>
          <cell r="J238">
            <v>0</v>
          </cell>
        </row>
        <row r="239">
          <cell r="C239" t="str">
            <v>D3 Desain Teknologi Sepatu/ Produk Kulit</v>
          </cell>
          <cell r="J239">
            <v>1</v>
          </cell>
        </row>
        <row r="240">
          <cell r="C240" t="str">
            <v>SMU</v>
          </cell>
          <cell r="J240">
            <v>0</v>
          </cell>
        </row>
        <row r="241">
          <cell r="C241" t="str">
            <v>SLTA</v>
          </cell>
          <cell r="J241">
            <v>0</v>
          </cell>
        </row>
        <row r="242">
          <cell r="C242" t="str">
            <v>SMA</v>
          </cell>
          <cell r="J242">
            <v>24</v>
          </cell>
        </row>
        <row r="243">
          <cell r="C243" t="str">
            <v>SMEA</v>
          </cell>
          <cell r="J243">
            <v>7</v>
          </cell>
        </row>
        <row r="244">
          <cell r="C244" t="str">
            <v>SMK</v>
          </cell>
          <cell r="J244">
            <v>1</v>
          </cell>
        </row>
        <row r="245">
          <cell r="C245" t="str">
            <v>SMKK</v>
          </cell>
          <cell r="J245">
            <v>1</v>
          </cell>
        </row>
        <row r="246">
          <cell r="C246" t="str">
            <v>STM</v>
          </cell>
          <cell r="J246">
            <v>4</v>
          </cell>
        </row>
        <row r="247">
          <cell r="C247" t="str">
            <v>SPG</v>
          </cell>
          <cell r="J247">
            <v>0</v>
          </cell>
        </row>
        <row r="248">
          <cell r="C248" t="str">
            <v>Paket C</v>
          </cell>
          <cell r="J248">
            <v>4</v>
          </cell>
        </row>
        <row r="249">
          <cell r="C249" t="str">
            <v>ST</v>
          </cell>
          <cell r="J249">
            <v>0</v>
          </cell>
        </row>
        <row r="250">
          <cell r="C250" t="str">
            <v>SMP</v>
          </cell>
          <cell r="J250">
            <v>0</v>
          </cell>
        </row>
        <row r="251">
          <cell r="C251" t="str">
            <v>SD</v>
          </cell>
          <cell r="J25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9483-ED47-4323-80CF-5BF380E21BF2}">
  <sheetPr filterMode="1"/>
  <dimension ref="A1:AP1400"/>
  <sheetViews>
    <sheetView tabSelected="1" zoomScale="85" zoomScaleNormal="85" workbookViewId="0">
      <pane xSplit="3" ySplit="1" topLeftCell="D1374" activePane="bottomRight" state="frozen"/>
      <selection pane="topRight" activeCell="D1" sqref="D1"/>
      <selection pane="bottomLeft" activeCell="A2" sqref="A2"/>
      <selection pane="bottomRight" activeCell="AE1268" sqref="A1:AP1400"/>
    </sheetView>
  </sheetViews>
  <sheetFormatPr defaultRowHeight="14.45" customHeight="1" x14ac:dyDescent="0.25"/>
  <cols>
    <col min="1" max="1" width="4.140625" style="6" customWidth="1"/>
    <col min="2" max="2" width="6" style="7" customWidth="1"/>
    <col min="3" max="3" width="29.7109375" style="8" customWidth="1"/>
    <col min="4" max="4" width="16.28515625" style="9" customWidth="1"/>
    <col min="5" max="5" width="6.28515625" style="6" hidden="1" customWidth="1"/>
    <col min="6" max="6" width="0" style="6" hidden="1" customWidth="1"/>
    <col min="7" max="7" width="12.85546875" style="8" customWidth="1"/>
    <col min="8" max="8" width="5.5703125" style="6" customWidth="1"/>
    <col min="9" max="9" width="7.140625" style="6" hidden="1" customWidth="1"/>
    <col min="10" max="10" width="40.140625" style="6" customWidth="1"/>
    <col min="11" max="11" width="13.140625" style="10" hidden="1" customWidth="1"/>
    <col min="12" max="18" width="13.140625" style="6" hidden="1" customWidth="1"/>
    <col min="19" max="19" width="13.140625" style="8" hidden="1" customWidth="1"/>
    <col min="20" max="20" width="10.140625" style="8" hidden="1" customWidth="1"/>
    <col min="21" max="21" width="11.140625" style="8" hidden="1" customWidth="1"/>
    <col min="22" max="22" width="12" style="8" hidden="1" customWidth="1"/>
    <col min="23" max="23" width="8.7109375" style="6" hidden="1" customWidth="1"/>
    <col min="24" max="24" width="8" style="6" hidden="1" customWidth="1"/>
    <col min="25" max="25" width="10" style="6" hidden="1" customWidth="1"/>
    <col min="26" max="26" width="17.5703125" style="11" hidden="1" customWidth="1"/>
    <col min="27" max="27" width="10" style="11" hidden="1" customWidth="1"/>
    <col min="28" max="28" width="9" style="11" hidden="1" customWidth="1"/>
    <col min="29" max="29" width="19" style="8" hidden="1" customWidth="1"/>
    <col min="30" max="30" width="11.85546875" style="8" hidden="1" customWidth="1"/>
    <col min="31" max="31" width="22.85546875" style="8" customWidth="1"/>
    <col min="32" max="32" width="19.85546875" style="12" customWidth="1"/>
    <col min="33" max="33" width="38.7109375" style="6" customWidth="1"/>
    <col min="34" max="34" width="9.85546875" style="6" hidden="1" customWidth="1"/>
    <col min="35" max="35" width="6" style="6" hidden="1" customWidth="1"/>
    <col min="36" max="36" width="14.42578125" style="6" hidden="1" customWidth="1"/>
    <col min="37" max="37" width="40.28515625" style="8" hidden="1" customWidth="1"/>
    <col min="38" max="38" width="26.140625" style="5" hidden="1" customWidth="1"/>
    <col min="39" max="39" width="0.140625" style="13" customWidth="1"/>
    <col min="40" max="16384" width="9.140625" style="14"/>
  </cols>
  <sheetData>
    <row r="1" spans="1:42" s="5" customFormat="1" ht="62.2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2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30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42" ht="14.45" customHeight="1" x14ac:dyDescent="0.25">
      <c r="A2" s="17">
        <v>1</v>
      </c>
      <c r="B2" s="18"/>
      <c r="C2" s="19" t="s">
        <v>38</v>
      </c>
      <c r="D2" s="20" t="s">
        <v>39</v>
      </c>
      <c r="E2" s="21" t="s">
        <v>40</v>
      </c>
      <c r="F2" s="22" t="s">
        <v>41</v>
      </c>
      <c r="G2" s="23" t="s">
        <v>42</v>
      </c>
      <c r="H2" s="22" t="s">
        <v>43</v>
      </c>
      <c r="I2" s="22" t="s">
        <v>44</v>
      </c>
      <c r="J2" s="22" t="s">
        <v>45</v>
      </c>
      <c r="K2" s="24">
        <v>45505</v>
      </c>
      <c r="L2" s="25" t="s">
        <v>46</v>
      </c>
      <c r="M2" s="26">
        <v>42339</v>
      </c>
      <c r="N2" s="26">
        <v>44166</v>
      </c>
      <c r="O2" s="27" t="s">
        <v>47</v>
      </c>
      <c r="P2" s="28" t="s">
        <v>48</v>
      </c>
      <c r="Q2" s="26">
        <v>43327</v>
      </c>
      <c r="R2" s="29">
        <v>44166</v>
      </c>
      <c r="S2" s="23" t="s">
        <v>49</v>
      </c>
      <c r="T2" s="23"/>
      <c r="U2" s="23"/>
      <c r="V2" s="23"/>
      <c r="W2" s="30">
        <v>40148</v>
      </c>
      <c r="X2" s="30">
        <v>40299</v>
      </c>
      <c r="Y2" s="30">
        <v>41792</v>
      </c>
      <c r="Z2" s="31" t="str">
        <f ca="1">DATEDIF(W2,TODAY(),"y")&amp;" Tahun "&amp;DATEDIF(W2,TODAY(),"ym")&amp;" Bulan "&amp;DATEDIF(W2,TODAY(),"md")&amp;" Hari"</f>
        <v>15 Tahun 10 Bulan 30 Hari</v>
      </c>
      <c r="AA2" s="31" t="s">
        <v>50</v>
      </c>
      <c r="AB2" s="32">
        <v>29393</v>
      </c>
      <c r="AC2" s="31" t="s">
        <v>51</v>
      </c>
      <c r="AD2" s="22" t="str">
        <f ca="1">DATEDIF(AB2,TODAY(),"y")&amp;" Tahun "&amp;DATEDIF(AB2,TODAY(),"ym")&amp;" Bulan "</f>
        <v xml:space="preserve">45 Tahun 4 Bulan </v>
      </c>
      <c r="AE2" s="33" t="s">
        <v>5679</v>
      </c>
      <c r="AF2" s="34" t="s">
        <v>52</v>
      </c>
      <c r="AG2" s="35" t="s">
        <v>53</v>
      </c>
      <c r="AH2" s="22"/>
      <c r="AI2" s="22"/>
      <c r="AJ2" s="22"/>
      <c r="AK2" s="33"/>
      <c r="AL2" s="36"/>
    </row>
    <row r="3" spans="1:42" ht="14.45" customHeight="1" x14ac:dyDescent="0.25">
      <c r="A3" s="17">
        <v>2</v>
      </c>
      <c r="B3" s="18"/>
      <c r="C3" s="19" t="s">
        <v>54</v>
      </c>
      <c r="D3" s="20" t="s">
        <v>55</v>
      </c>
      <c r="E3" s="21" t="s">
        <v>56</v>
      </c>
      <c r="F3" s="22" t="s">
        <v>41</v>
      </c>
      <c r="G3" s="23" t="s">
        <v>42</v>
      </c>
      <c r="H3" s="22" t="s">
        <v>43</v>
      </c>
      <c r="I3" s="22" t="s">
        <v>44</v>
      </c>
      <c r="J3" s="22" t="s">
        <v>45</v>
      </c>
      <c r="K3" s="24">
        <v>45931</v>
      </c>
      <c r="L3" s="25"/>
      <c r="M3" s="26"/>
      <c r="N3" s="26"/>
      <c r="O3" s="27"/>
      <c r="P3" s="28"/>
      <c r="Q3" s="26"/>
      <c r="R3" s="29"/>
      <c r="S3" s="23" t="s">
        <v>59</v>
      </c>
      <c r="T3" s="23"/>
      <c r="U3" s="23"/>
      <c r="V3" s="23"/>
      <c r="W3" s="30">
        <v>39783</v>
      </c>
      <c r="X3" s="30">
        <v>45800</v>
      </c>
      <c r="Y3" s="30">
        <v>45810</v>
      </c>
      <c r="Z3" s="31" t="str">
        <f ca="1">DATEDIF(W3,TODAY(),"y")&amp;" Tahun "&amp;DATEDIF(W3,TODAY(),"ym")&amp;" Bulan "&amp;DATEDIF(W3,TODAY(),"md")&amp;" Hari"</f>
        <v>16 Tahun 10 Bulan 30 Hari</v>
      </c>
      <c r="AA3" s="31" t="s">
        <v>60</v>
      </c>
      <c r="AB3" s="32">
        <v>27068</v>
      </c>
      <c r="AC3" s="31" t="s">
        <v>61</v>
      </c>
      <c r="AD3" s="22" t="str">
        <f ca="1">DATEDIF(AB3,TODAY(),"y")&amp;" Tahun "&amp;DATEDIF(AB3,TODAY(),"ym")&amp;" Bulan "</f>
        <v xml:space="preserve">51 Tahun 8 Bulan </v>
      </c>
      <c r="AE3" s="33" t="s">
        <v>62</v>
      </c>
      <c r="AF3" s="34" t="s">
        <v>63</v>
      </c>
      <c r="AG3" s="35" t="s">
        <v>53</v>
      </c>
      <c r="AH3" s="22"/>
      <c r="AI3" s="22"/>
      <c r="AJ3" s="60"/>
      <c r="AK3" s="61"/>
      <c r="AL3" s="22"/>
    </row>
    <row r="4" spans="1:42" ht="14.45" customHeight="1" x14ac:dyDescent="0.25">
      <c r="A4" s="17">
        <v>3</v>
      </c>
      <c r="B4" s="18"/>
      <c r="C4" s="19" t="s">
        <v>64</v>
      </c>
      <c r="D4" s="20" t="s">
        <v>65</v>
      </c>
      <c r="E4" s="21" t="s">
        <v>40</v>
      </c>
      <c r="F4" s="22" t="s">
        <v>66</v>
      </c>
      <c r="G4" s="33" t="s">
        <v>3872</v>
      </c>
      <c r="H4" s="35" t="s">
        <v>3872</v>
      </c>
      <c r="I4" s="35" t="s">
        <v>67</v>
      </c>
      <c r="J4" s="35" t="s">
        <v>68</v>
      </c>
      <c r="K4" s="24"/>
      <c r="L4" s="22"/>
      <c r="M4" s="22"/>
      <c r="N4" s="22"/>
      <c r="O4" s="22"/>
      <c r="P4" s="22"/>
      <c r="Q4" s="22"/>
      <c r="R4" s="22"/>
      <c r="S4" s="23" t="s">
        <v>69</v>
      </c>
      <c r="T4" s="23"/>
      <c r="U4" s="23"/>
      <c r="V4" s="23"/>
      <c r="W4" s="37"/>
      <c r="X4" s="37">
        <v>45063</v>
      </c>
      <c r="Y4" s="37">
        <v>45063</v>
      </c>
      <c r="Z4" s="31" t="str">
        <f ca="1">DATEDIF(X4,TODAY(),"y")&amp;" Tahun "&amp;DATEDIF(X4,TODAY(),"ym")&amp;" Bulan "&amp;DATEDIF(X4,TODAY(),"md")&amp;" Hari"</f>
        <v>2 Tahun 5 Bulan 14 Hari</v>
      </c>
      <c r="AA4" s="38" t="s">
        <v>70</v>
      </c>
      <c r="AB4" s="39">
        <v>29080</v>
      </c>
      <c r="AC4" s="39" t="s">
        <v>71</v>
      </c>
      <c r="AD4" s="22" t="str">
        <f ca="1">DATEDIF(AB4,TODAY(),"y")&amp;" Tahun "&amp;DATEDIF(AB4,TODAY(),"ym")&amp;" Bulan "</f>
        <v xml:space="preserve">46 Tahun 2 Bulan </v>
      </c>
      <c r="AE4" s="40" t="s">
        <v>68</v>
      </c>
      <c r="AF4" s="41"/>
      <c r="AG4" s="35" t="s">
        <v>53</v>
      </c>
      <c r="AH4" s="65"/>
      <c r="AI4" s="65"/>
      <c r="AJ4" s="65"/>
      <c r="AK4" s="38" t="s">
        <v>112</v>
      </c>
      <c r="AL4" s="38"/>
      <c r="AM4" s="47"/>
    </row>
    <row r="5" spans="1:42" ht="14.45" customHeight="1" x14ac:dyDescent="0.25">
      <c r="A5" s="17">
        <v>4</v>
      </c>
      <c r="B5" s="18"/>
      <c r="C5" s="19" t="s">
        <v>72</v>
      </c>
      <c r="D5" s="20" t="s">
        <v>73</v>
      </c>
      <c r="E5" s="21" t="s">
        <v>40</v>
      </c>
      <c r="F5" s="22" t="s">
        <v>41</v>
      </c>
      <c r="G5" s="33" t="s">
        <v>42</v>
      </c>
      <c r="H5" s="22" t="s">
        <v>43</v>
      </c>
      <c r="I5" s="22" t="s">
        <v>44</v>
      </c>
      <c r="J5" s="22" t="s">
        <v>74</v>
      </c>
      <c r="K5" s="24">
        <v>44188</v>
      </c>
      <c r="L5" s="23"/>
      <c r="M5" s="23"/>
      <c r="N5" s="29"/>
      <c r="O5" s="23"/>
      <c r="P5" s="23"/>
      <c r="Q5" s="22"/>
      <c r="R5" s="43"/>
      <c r="S5" s="23" t="s">
        <v>75</v>
      </c>
      <c r="T5" s="23"/>
      <c r="U5" s="23"/>
      <c r="V5" s="23"/>
      <c r="W5" s="30">
        <v>34394</v>
      </c>
      <c r="X5" s="30">
        <v>34578</v>
      </c>
      <c r="Y5" s="30">
        <v>43966</v>
      </c>
      <c r="Z5" s="31" t="str">
        <f ca="1">DATEDIF(W5,TODAY(),"y")&amp;" Tahun "&amp;DATEDIF(W5,TODAY(),"ym")&amp;" Bulan "&amp;DATEDIF(W5,TODAY(),"md")&amp;" Hari"</f>
        <v>31 Tahun 7 Bulan 30 Hari</v>
      </c>
      <c r="AA5" s="31" t="s">
        <v>76</v>
      </c>
      <c r="AB5" s="32">
        <v>27010</v>
      </c>
      <c r="AC5" s="32" t="s">
        <v>77</v>
      </c>
      <c r="AD5" s="22" t="str">
        <f ca="1">DATEDIF(AB5,TODAY(),"y")&amp;" Tahun "&amp;DATEDIF(AB5,TODAY(),"ym")&amp;" Bulan "</f>
        <v xml:space="preserve">51 Tahun 10 Bulan </v>
      </c>
      <c r="AE5" s="34" t="s">
        <v>78</v>
      </c>
      <c r="AF5" s="44" t="s">
        <v>79</v>
      </c>
      <c r="AG5" s="35" t="s">
        <v>53</v>
      </c>
      <c r="AH5" s="22"/>
      <c r="AI5" s="22"/>
      <c r="AJ5" s="22"/>
      <c r="AK5" s="33"/>
      <c r="AL5" s="36"/>
    </row>
    <row r="6" spans="1:42" ht="14.45" customHeight="1" x14ac:dyDescent="0.25">
      <c r="A6" s="17">
        <v>5</v>
      </c>
      <c r="B6" s="18"/>
      <c r="C6" s="50" t="s">
        <v>80</v>
      </c>
      <c r="D6" s="20" t="s">
        <v>81</v>
      </c>
      <c r="E6" s="52" t="s">
        <v>56</v>
      </c>
      <c r="F6" s="22" t="s">
        <v>41</v>
      </c>
      <c r="G6" s="23" t="s">
        <v>57</v>
      </c>
      <c r="H6" s="22" t="s">
        <v>58</v>
      </c>
      <c r="I6" s="22" t="s">
        <v>44</v>
      </c>
      <c r="J6" s="22" t="s">
        <v>82</v>
      </c>
      <c r="K6" s="24">
        <v>45017</v>
      </c>
      <c r="L6" s="53" t="s">
        <v>83</v>
      </c>
      <c r="M6" s="26">
        <v>43145</v>
      </c>
      <c r="N6" s="26">
        <v>45079</v>
      </c>
      <c r="O6" s="54" t="s">
        <v>84</v>
      </c>
      <c r="P6" s="53" t="s">
        <v>85</v>
      </c>
      <c r="Q6" s="26">
        <v>43096</v>
      </c>
      <c r="R6" s="26">
        <v>43253</v>
      </c>
      <c r="S6" s="23" t="s">
        <v>84</v>
      </c>
      <c r="T6" s="23"/>
      <c r="U6" s="23"/>
      <c r="V6" s="23"/>
      <c r="W6" s="30">
        <v>34029</v>
      </c>
      <c r="X6" s="30">
        <v>34029</v>
      </c>
      <c r="Y6" s="30">
        <v>43966</v>
      </c>
      <c r="Z6" s="55" t="str">
        <f ca="1">DATEDIF(W6,TODAY(),"y")&amp;" Tahun "&amp;DATEDIF(W6,TODAY(),"ym")&amp;" Bulan "&amp;DATEDIF(W6,TODAY(),"md")&amp;" Hari"</f>
        <v>32 Tahun 7 Bulan 30 Hari</v>
      </c>
      <c r="AA6" s="55" t="s">
        <v>86</v>
      </c>
      <c r="AB6" s="56">
        <v>25721</v>
      </c>
      <c r="AC6" s="32" t="s">
        <v>87</v>
      </c>
      <c r="AD6" s="57" t="str">
        <f t="shared" ref="AD6:AD42" ca="1" si="0">DATEDIF(AB6,TODAY(),"y")&amp;" Tahun "&amp;DATEDIF(AB6,TODAY(),"ym")&amp;" Bulan "</f>
        <v xml:space="preserve">55 Tahun 4 Bulan </v>
      </c>
      <c r="AE6" s="23" t="s">
        <v>88</v>
      </c>
      <c r="AF6" s="34"/>
      <c r="AG6" s="58" t="s">
        <v>89</v>
      </c>
      <c r="AH6" s="22"/>
      <c r="AI6" s="22"/>
      <c r="AJ6" s="22"/>
      <c r="AK6" s="33"/>
      <c r="AL6" s="36"/>
    </row>
    <row r="7" spans="1:42" ht="14.45" customHeight="1" x14ac:dyDescent="0.25">
      <c r="A7" s="17">
        <v>6</v>
      </c>
      <c r="B7" s="18"/>
      <c r="C7" s="50" t="s">
        <v>90</v>
      </c>
      <c r="D7" s="20" t="s">
        <v>91</v>
      </c>
      <c r="E7" s="52" t="s">
        <v>56</v>
      </c>
      <c r="F7" s="22" t="s">
        <v>41</v>
      </c>
      <c r="G7" s="59" t="s">
        <v>42</v>
      </c>
      <c r="H7" s="58" t="s">
        <v>43</v>
      </c>
      <c r="I7" s="58" t="s">
        <v>44</v>
      </c>
      <c r="J7" s="58" t="s">
        <v>92</v>
      </c>
      <c r="K7" s="24">
        <v>45200</v>
      </c>
      <c r="L7" s="25" t="s">
        <v>93</v>
      </c>
      <c r="M7" s="26">
        <v>42783</v>
      </c>
      <c r="N7" s="26">
        <v>44693</v>
      </c>
      <c r="O7" s="27" t="s">
        <v>94</v>
      </c>
      <c r="P7" s="28" t="s">
        <v>95</v>
      </c>
      <c r="Q7" s="29">
        <v>42828</v>
      </c>
      <c r="R7" s="26">
        <v>44693</v>
      </c>
      <c r="S7" s="59" t="s">
        <v>96</v>
      </c>
      <c r="T7" s="23"/>
      <c r="U7" s="23"/>
      <c r="V7" s="23"/>
      <c r="W7" s="30">
        <v>39783</v>
      </c>
      <c r="X7" s="30">
        <v>39846</v>
      </c>
      <c r="Y7" s="30">
        <v>41791</v>
      </c>
      <c r="Z7" s="55" t="str">
        <f ca="1">DATEDIF(W7,TODAY(),"y")&amp;" Tahun "&amp;DATEDIF(W7,TODAY(),"ym")&amp;" Bulan "&amp;DATEDIF(W7,TODAY(),"md")&amp;" Hari"</f>
        <v>16 Tahun 10 Bulan 30 Hari</v>
      </c>
      <c r="AA7" s="55" t="s">
        <v>97</v>
      </c>
      <c r="AB7" s="56">
        <v>30448</v>
      </c>
      <c r="AC7" s="32" t="s">
        <v>98</v>
      </c>
      <c r="AD7" s="57" t="str">
        <f t="shared" ca="1" si="0"/>
        <v xml:space="preserve">42 Tahun 5 Bulan </v>
      </c>
      <c r="AE7" s="33" t="s">
        <v>99</v>
      </c>
      <c r="AF7" s="34"/>
      <c r="AG7" s="58" t="s">
        <v>89</v>
      </c>
      <c r="AH7" s="22"/>
      <c r="AI7" s="22"/>
      <c r="AJ7" s="22"/>
      <c r="AK7" s="33"/>
      <c r="AL7" s="36"/>
    </row>
    <row r="8" spans="1:42" ht="14.45" customHeight="1" x14ac:dyDescent="0.25">
      <c r="A8" s="17">
        <v>7</v>
      </c>
      <c r="B8" s="18"/>
      <c r="C8" s="50" t="s">
        <v>100</v>
      </c>
      <c r="D8" s="62" t="s">
        <v>101</v>
      </c>
      <c r="E8" s="35" t="s">
        <v>40</v>
      </c>
      <c r="F8" s="35" t="s">
        <v>41</v>
      </c>
      <c r="G8" s="23" t="s">
        <v>102</v>
      </c>
      <c r="H8" s="22" t="s">
        <v>103</v>
      </c>
      <c r="I8" s="22" t="s">
        <v>44</v>
      </c>
      <c r="J8" s="22" t="s">
        <v>104</v>
      </c>
      <c r="K8" s="24">
        <v>45505</v>
      </c>
      <c r="L8" s="25" t="s">
        <v>105</v>
      </c>
      <c r="M8" s="26">
        <v>42187</v>
      </c>
      <c r="N8" s="26">
        <v>43648</v>
      </c>
      <c r="O8" s="27" t="s">
        <v>106</v>
      </c>
      <c r="P8" s="28" t="s">
        <v>107</v>
      </c>
      <c r="Q8" s="29">
        <v>42432</v>
      </c>
      <c r="R8" s="26">
        <v>44014</v>
      </c>
      <c r="S8" s="38" t="s">
        <v>108</v>
      </c>
      <c r="T8" s="38"/>
      <c r="U8" s="38"/>
      <c r="V8" s="38"/>
      <c r="W8" s="30">
        <v>44166</v>
      </c>
      <c r="X8" s="30">
        <v>42917</v>
      </c>
      <c r="Y8" s="30">
        <v>42917</v>
      </c>
      <c r="Z8" s="55" t="str">
        <f ca="1">DATEDIF(X8,TODAY(),"y")&amp;" Tahun "&amp;DATEDIF(X8,TODAY(),"ym")&amp;" Bulan "&amp;DATEDIF(X8,TODAY(),"md")&amp;" Hari"</f>
        <v>8 Tahun 3 Bulan 30 Hari</v>
      </c>
      <c r="AA8" s="63" t="s">
        <v>97</v>
      </c>
      <c r="AB8" s="39">
        <v>30759</v>
      </c>
      <c r="AC8" s="31" t="s">
        <v>109</v>
      </c>
      <c r="AD8" s="22" t="str">
        <f t="shared" ca="1" si="0"/>
        <v xml:space="preserve">41 Tahun 7 Bulan </v>
      </c>
      <c r="AE8" s="38" t="s">
        <v>110</v>
      </c>
      <c r="AF8" s="64" t="s">
        <v>111</v>
      </c>
      <c r="AG8" s="58" t="s">
        <v>89</v>
      </c>
      <c r="AH8" s="22"/>
      <c r="AI8" s="22"/>
      <c r="AJ8" s="22"/>
      <c r="AK8" s="33"/>
      <c r="AL8" s="36"/>
    </row>
    <row r="9" spans="1:42" ht="14.45" customHeight="1" x14ac:dyDescent="0.25">
      <c r="A9" s="17">
        <v>8</v>
      </c>
      <c r="B9" s="18"/>
      <c r="C9" s="50" t="s">
        <v>113</v>
      </c>
      <c r="D9" s="20" t="s">
        <v>114</v>
      </c>
      <c r="E9" s="21" t="s">
        <v>56</v>
      </c>
      <c r="F9" s="22" t="s">
        <v>41</v>
      </c>
      <c r="G9" s="23" t="s">
        <v>115</v>
      </c>
      <c r="H9" s="22" t="s">
        <v>116</v>
      </c>
      <c r="I9" s="22" t="s">
        <v>44</v>
      </c>
      <c r="J9" s="22" t="s">
        <v>45</v>
      </c>
      <c r="K9" s="24">
        <v>45505</v>
      </c>
      <c r="L9" s="25" t="s">
        <v>117</v>
      </c>
      <c r="M9" s="26">
        <v>41222</v>
      </c>
      <c r="N9" s="26">
        <v>43048</v>
      </c>
      <c r="O9" s="27" t="s">
        <v>118</v>
      </c>
      <c r="P9" s="28" t="s">
        <v>119</v>
      </c>
      <c r="Q9" s="29">
        <v>41427</v>
      </c>
      <c r="R9" s="26">
        <v>43048</v>
      </c>
      <c r="S9" s="33" t="s">
        <v>120</v>
      </c>
      <c r="T9" s="33"/>
      <c r="U9" s="33"/>
      <c r="V9" s="33"/>
      <c r="W9" s="30">
        <v>37956</v>
      </c>
      <c r="X9" s="30">
        <v>37653</v>
      </c>
      <c r="Y9" s="30">
        <v>41791</v>
      </c>
      <c r="Z9" s="31" t="str">
        <f t="shared" ref="Z9:Z15" ca="1" si="1">DATEDIF(W9,TODAY(),"y")&amp;" Tahun "&amp;DATEDIF(W9,TODAY(),"ym")&amp;" Bulan "&amp;DATEDIF(W9,TODAY(),"md")&amp;" Hari"</f>
        <v>21 Tahun 10 Bulan 30 Hari</v>
      </c>
      <c r="AA9" s="31" t="s">
        <v>50</v>
      </c>
      <c r="AB9" s="32">
        <v>27210</v>
      </c>
      <c r="AC9" s="31" t="s">
        <v>121</v>
      </c>
      <c r="AD9" s="22" t="str">
        <f t="shared" ca="1" si="0"/>
        <v xml:space="preserve">51 Tahun 4 Bulan </v>
      </c>
      <c r="AE9" s="33" t="s">
        <v>122</v>
      </c>
      <c r="AF9" s="34" t="s">
        <v>123</v>
      </c>
      <c r="AG9" s="58" t="s">
        <v>89</v>
      </c>
      <c r="AH9" s="22"/>
      <c r="AI9" s="22"/>
      <c r="AJ9" s="22"/>
      <c r="AK9" s="33"/>
      <c r="AL9" s="36"/>
    </row>
    <row r="10" spans="1:42" ht="14.45" customHeight="1" x14ac:dyDescent="0.25">
      <c r="A10" s="17">
        <v>9</v>
      </c>
      <c r="B10" s="18"/>
      <c r="C10" s="50" t="s">
        <v>124</v>
      </c>
      <c r="D10" s="20" t="s">
        <v>125</v>
      </c>
      <c r="E10" s="52" t="s">
        <v>56</v>
      </c>
      <c r="F10" s="22" t="s">
        <v>41</v>
      </c>
      <c r="G10" s="23" t="s">
        <v>57</v>
      </c>
      <c r="H10" s="22" t="s">
        <v>58</v>
      </c>
      <c r="I10" s="22" t="s">
        <v>44</v>
      </c>
      <c r="J10" s="22" t="s">
        <v>126</v>
      </c>
      <c r="K10" s="24">
        <v>44835</v>
      </c>
      <c r="L10" s="53" t="s">
        <v>127</v>
      </c>
      <c r="M10" s="26">
        <v>42926</v>
      </c>
      <c r="N10" s="26">
        <v>44660</v>
      </c>
      <c r="O10" s="27" t="s">
        <v>84</v>
      </c>
      <c r="P10" s="25"/>
      <c r="Q10" s="22"/>
      <c r="R10" s="43"/>
      <c r="S10" s="23" t="s">
        <v>84</v>
      </c>
      <c r="T10" s="23"/>
      <c r="U10" s="23"/>
      <c r="V10" s="23"/>
      <c r="W10" s="30">
        <v>35855</v>
      </c>
      <c r="X10" s="30">
        <v>35855</v>
      </c>
      <c r="Y10" s="30">
        <v>43966</v>
      </c>
      <c r="Z10" s="55" t="str">
        <f t="shared" ca="1" si="1"/>
        <v>27 Tahun 7 Bulan 30 Hari</v>
      </c>
      <c r="AA10" s="55" t="s">
        <v>128</v>
      </c>
      <c r="AB10" s="56">
        <v>27128</v>
      </c>
      <c r="AC10" s="32" t="s">
        <v>129</v>
      </c>
      <c r="AD10" s="57" t="str">
        <f t="shared" ca="1" si="0"/>
        <v xml:space="preserve">51 Tahun 6 Bulan </v>
      </c>
      <c r="AE10" s="23" t="s">
        <v>130</v>
      </c>
      <c r="AF10" s="34"/>
      <c r="AG10" s="58" t="s">
        <v>89</v>
      </c>
      <c r="AH10" s="22"/>
      <c r="AI10" s="22"/>
      <c r="AJ10" s="22"/>
      <c r="AK10" s="33"/>
      <c r="AL10" s="22"/>
    </row>
    <row r="11" spans="1:42" ht="14.45" customHeight="1" x14ac:dyDescent="0.25">
      <c r="A11" s="17">
        <v>10</v>
      </c>
      <c r="B11" s="18"/>
      <c r="C11" s="19" t="s">
        <v>131</v>
      </c>
      <c r="D11" s="20" t="s">
        <v>132</v>
      </c>
      <c r="E11" s="21" t="s">
        <v>56</v>
      </c>
      <c r="F11" s="22" t="s">
        <v>41</v>
      </c>
      <c r="G11" s="33" t="s">
        <v>42</v>
      </c>
      <c r="H11" s="22" t="s">
        <v>43</v>
      </c>
      <c r="I11" s="22" t="s">
        <v>44</v>
      </c>
      <c r="J11" s="22" t="s">
        <v>126</v>
      </c>
      <c r="K11" s="24">
        <v>44835</v>
      </c>
      <c r="L11" s="23"/>
      <c r="M11" s="23"/>
      <c r="N11" s="29"/>
      <c r="O11" s="23"/>
      <c r="P11" s="23"/>
      <c r="Q11" s="22"/>
      <c r="R11" s="43"/>
      <c r="S11" s="23" t="s">
        <v>69</v>
      </c>
      <c r="T11" s="23"/>
      <c r="U11" s="23"/>
      <c r="V11" s="23"/>
      <c r="W11" s="30">
        <v>37591</v>
      </c>
      <c r="X11" s="30">
        <v>37591</v>
      </c>
      <c r="Y11" s="30">
        <v>43966</v>
      </c>
      <c r="Z11" s="31" t="str">
        <f t="shared" ca="1" si="1"/>
        <v>22 Tahun 10 Bulan 30 Hari</v>
      </c>
      <c r="AA11" s="31" t="s">
        <v>76</v>
      </c>
      <c r="AB11" s="32">
        <v>27109</v>
      </c>
      <c r="AC11" s="31" t="s">
        <v>133</v>
      </c>
      <c r="AD11" s="22" t="str">
        <f t="shared" ca="1" si="0"/>
        <v xml:space="preserve">51 Tahun 7 Bulan </v>
      </c>
      <c r="AE11" s="23" t="s">
        <v>134</v>
      </c>
      <c r="AF11" s="34"/>
      <c r="AG11" s="58" t="s">
        <v>89</v>
      </c>
      <c r="AH11" s="22"/>
      <c r="AI11" s="22"/>
      <c r="AJ11" s="22"/>
      <c r="AK11" s="33"/>
      <c r="AL11" s="36"/>
    </row>
    <row r="12" spans="1:42" ht="15" x14ac:dyDescent="0.25">
      <c r="A12" s="17">
        <v>1</v>
      </c>
      <c r="B12" s="18"/>
      <c r="C12" s="19" t="s">
        <v>135</v>
      </c>
      <c r="D12" s="20" t="s">
        <v>136</v>
      </c>
      <c r="E12" s="21" t="s">
        <v>56</v>
      </c>
      <c r="F12" s="22" t="s">
        <v>41</v>
      </c>
      <c r="G12" s="23" t="s">
        <v>137</v>
      </c>
      <c r="H12" s="22" t="s">
        <v>138</v>
      </c>
      <c r="I12" s="22" t="s">
        <v>44</v>
      </c>
      <c r="J12" s="22" t="s">
        <v>139</v>
      </c>
      <c r="K12" s="24">
        <v>44188</v>
      </c>
      <c r="L12" s="23"/>
      <c r="M12" s="26"/>
      <c r="N12" s="26"/>
      <c r="O12" s="23"/>
      <c r="P12" s="23"/>
      <c r="Q12" s="22"/>
      <c r="R12" s="43"/>
      <c r="S12" s="23" t="s">
        <v>140</v>
      </c>
      <c r="T12" s="23"/>
      <c r="U12" s="23"/>
      <c r="V12" s="23"/>
      <c r="W12" s="30">
        <v>40148</v>
      </c>
      <c r="X12" s="30">
        <v>40238</v>
      </c>
      <c r="Y12" s="30">
        <v>43966</v>
      </c>
      <c r="Z12" s="31" t="str">
        <f t="shared" ca="1" si="1"/>
        <v>15 Tahun 10 Bulan 30 Hari</v>
      </c>
      <c r="AA12" s="31" t="s">
        <v>141</v>
      </c>
      <c r="AB12" s="32">
        <v>31866</v>
      </c>
      <c r="AC12" s="31" t="s">
        <v>142</v>
      </c>
      <c r="AD12" s="22" t="str">
        <f t="shared" ca="1" si="0"/>
        <v xml:space="preserve">38 Tahun 7 Bulan </v>
      </c>
      <c r="AE12" s="23" t="s">
        <v>143</v>
      </c>
      <c r="AF12" s="34"/>
      <c r="AG12" s="58" t="s">
        <v>89</v>
      </c>
      <c r="AH12" s="22"/>
      <c r="AI12" s="22"/>
      <c r="AJ12" s="22"/>
      <c r="AK12" s="33"/>
      <c r="AL12" s="36"/>
    </row>
    <row r="13" spans="1:42" ht="15" x14ac:dyDescent="0.25">
      <c r="A13" s="17">
        <v>2</v>
      </c>
      <c r="B13" s="18"/>
      <c r="C13" s="50" t="s">
        <v>144</v>
      </c>
      <c r="D13" s="20" t="s">
        <v>145</v>
      </c>
      <c r="E13" s="21" t="s">
        <v>56</v>
      </c>
      <c r="F13" s="22" t="s">
        <v>41</v>
      </c>
      <c r="G13" s="23" t="s">
        <v>137</v>
      </c>
      <c r="H13" s="22" t="s">
        <v>138</v>
      </c>
      <c r="I13" s="22" t="s">
        <v>44</v>
      </c>
      <c r="J13" s="22" t="s">
        <v>146</v>
      </c>
      <c r="K13" s="24">
        <v>44292</v>
      </c>
      <c r="L13" s="53" t="s">
        <v>147</v>
      </c>
      <c r="M13" s="26">
        <v>43145</v>
      </c>
      <c r="N13" s="26">
        <v>45190</v>
      </c>
      <c r="O13" s="27" t="s">
        <v>148</v>
      </c>
      <c r="P13" s="28" t="s">
        <v>149</v>
      </c>
      <c r="Q13" s="29">
        <v>41719</v>
      </c>
      <c r="R13" s="26">
        <v>42999</v>
      </c>
      <c r="S13" s="23" t="s">
        <v>150</v>
      </c>
      <c r="T13" s="23"/>
      <c r="U13" s="23"/>
      <c r="V13" s="23"/>
      <c r="W13" s="30">
        <v>35490</v>
      </c>
      <c r="X13" s="30">
        <v>35490</v>
      </c>
      <c r="Y13" s="30">
        <v>42067</v>
      </c>
      <c r="Z13" s="31" t="str">
        <f t="shared" ca="1" si="1"/>
        <v>28 Tahun 7 Bulan 30 Hari</v>
      </c>
      <c r="AA13" s="31" t="s">
        <v>76</v>
      </c>
      <c r="AB13" s="32">
        <v>26563</v>
      </c>
      <c r="AC13" s="31" t="s">
        <v>151</v>
      </c>
      <c r="AD13" s="22" t="str">
        <f t="shared" ca="1" si="0"/>
        <v xml:space="preserve">53 Tahun 1 Bulan </v>
      </c>
      <c r="AE13" s="23" t="s">
        <v>152</v>
      </c>
      <c r="AF13" s="34"/>
      <c r="AG13" s="58" t="s">
        <v>89</v>
      </c>
      <c r="AH13" s="22"/>
      <c r="AI13" s="22"/>
      <c r="AJ13" s="22"/>
      <c r="AK13" s="33"/>
      <c r="AL13" s="36"/>
      <c r="AO13" s="198"/>
      <c r="AP13" s="288"/>
    </row>
    <row r="14" spans="1:42" ht="14.45" customHeight="1" x14ac:dyDescent="0.25">
      <c r="A14" s="17">
        <v>3</v>
      </c>
      <c r="B14" s="18"/>
      <c r="C14" s="50" t="s">
        <v>153</v>
      </c>
      <c r="D14" s="20" t="s">
        <v>154</v>
      </c>
      <c r="E14" s="22" t="s">
        <v>56</v>
      </c>
      <c r="F14" s="22" t="s">
        <v>41</v>
      </c>
      <c r="G14" s="23" t="s">
        <v>102</v>
      </c>
      <c r="H14" s="22" t="s">
        <v>103</v>
      </c>
      <c r="I14" s="22" t="s">
        <v>155</v>
      </c>
      <c r="J14" s="22" t="s">
        <v>156</v>
      </c>
      <c r="K14" s="24">
        <v>45017</v>
      </c>
      <c r="L14" s="22"/>
      <c r="M14" s="22"/>
      <c r="N14" s="22"/>
      <c r="O14" s="22"/>
      <c r="P14" s="22"/>
      <c r="Q14" s="22"/>
      <c r="R14" s="22"/>
      <c r="S14" s="23" t="s">
        <v>140</v>
      </c>
      <c r="T14" s="23"/>
      <c r="U14" s="23"/>
      <c r="V14" s="23"/>
      <c r="W14" s="30">
        <v>42095</v>
      </c>
      <c r="X14" s="30">
        <v>42095</v>
      </c>
      <c r="Y14" s="30">
        <v>42125</v>
      </c>
      <c r="Z14" s="31" t="str">
        <f t="shared" ca="1" si="1"/>
        <v>10 Tahun 6 Bulan 30 Hari</v>
      </c>
      <c r="AA14" s="32" t="s">
        <v>76</v>
      </c>
      <c r="AB14" s="32">
        <v>32517</v>
      </c>
      <c r="AC14" s="31" t="s">
        <v>157</v>
      </c>
      <c r="AD14" s="22" t="str">
        <f t="shared" ca="1" si="0"/>
        <v xml:space="preserve">36 Tahun 9 Bulan </v>
      </c>
      <c r="AE14" s="33" t="s">
        <v>158</v>
      </c>
      <c r="AF14" s="34"/>
      <c r="AG14" s="58" t="s">
        <v>89</v>
      </c>
      <c r="AH14" s="22"/>
      <c r="AI14" s="22"/>
      <c r="AJ14" s="22"/>
      <c r="AK14" s="33"/>
      <c r="AL14" s="36"/>
    </row>
    <row r="15" spans="1:42" ht="15" x14ac:dyDescent="0.25">
      <c r="A15" s="17">
        <v>4</v>
      </c>
      <c r="B15" s="18"/>
      <c r="C15" s="50" t="s">
        <v>159</v>
      </c>
      <c r="D15" s="20" t="s">
        <v>160</v>
      </c>
      <c r="E15" s="21" t="s">
        <v>40</v>
      </c>
      <c r="F15" s="22" t="s">
        <v>41</v>
      </c>
      <c r="G15" s="23" t="s">
        <v>137</v>
      </c>
      <c r="H15" s="22" t="s">
        <v>138</v>
      </c>
      <c r="I15" s="22" t="s">
        <v>44</v>
      </c>
      <c r="J15" s="22" t="s">
        <v>161</v>
      </c>
      <c r="K15" s="24">
        <v>44188</v>
      </c>
      <c r="L15" s="53" t="s">
        <v>162</v>
      </c>
      <c r="M15" s="26">
        <v>43117</v>
      </c>
      <c r="N15" s="26">
        <v>45197</v>
      </c>
      <c r="O15" s="27" t="s">
        <v>84</v>
      </c>
      <c r="P15" s="53" t="s">
        <v>163</v>
      </c>
      <c r="Q15" s="26">
        <v>43242</v>
      </c>
      <c r="R15" s="26">
        <v>45197</v>
      </c>
      <c r="S15" s="23" t="s">
        <v>84</v>
      </c>
      <c r="T15" s="23"/>
      <c r="U15" s="23"/>
      <c r="V15" s="23"/>
      <c r="W15" s="30">
        <v>36586</v>
      </c>
      <c r="X15" s="30">
        <v>36586</v>
      </c>
      <c r="Y15" s="30">
        <v>43966</v>
      </c>
      <c r="Z15" s="31" t="str">
        <f t="shared" ca="1" si="1"/>
        <v>25 Tahun 7 Bulan 30 Hari</v>
      </c>
      <c r="AA15" s="31" t="s">
        <v>164</v>
      </c>
      <c r="AB15" s="32">
        <v>29126</v>
      </c>
      <c r="AC15" s="31" t="s">
        <v>165</v>
      </c>
      <c r="AD15" s="22" t="str">
        <f t="shared" ca="1" si="0"/>
        <v xml:space="preserve">46 Tahun 1 Bulan </v>
      </c>
      <c r="AE15" s="23" t="s">
        <v>166</v>
      </c>
      <c r="AF15" s="34"/>
      <c r="AG15" s="58" t="s">
        <v>89</v>
      </c>
      <c r="AH15" s="22"/>
      <c r="AI15" s="22"/>
      <c r="AJ15" s="22"/>
      <c r="AK15" s="33"/>
      <c r="AL15" s="36"/>
    </row>
    <row r="16" spans="1:42" ht="15" x14ac:dyDescent="0.25">
      <c r="A16" s="17">
        <v>1</v>
      </c>
      <c r="B16" s="18"/>
      <c r="C16" s="19" t="s">
        <v>167</v>
      </c>
      <c r="D16" s="20" t="s">
        <v>168</v>
      </c>
      <c r="E16" s="21" t="s">
        <v>40</v>
      </c>
      <c r="F16" s="22" t="s">
        <v>41</v>
      </c>
      <c r="G16" s="33" t="s">
        <v>42</v>
      </c>
      <c r="H16" s="60" t="s">
        <v>43</v>
      </c>
      <c r="I16" s="22" t="s">
        <v>44</v>
      </c>
      <c r="J16" s="22" t="s">
        <v>169</v>
      </c>
      <c r="K16" s="24">
        <v>44188</v>
      </c>
      <c r="L16" s="23"/>
      <c r="M16" s="26"/>
      <c r="N16" s="26"/>
      <c r="O16" s="23"/>
      <c r="P16" s="23"/>
      <c r="Q16" s="22"/>
      <c r="R16" s="43"/>
      <c r="S16" s="23" t="s">
        <v>170</v>
      </c>
      <c r="T16" s="23"/>
      <c r="U16" s="23"/>
      <c r="V16" s="23"/>
      <c r="W16" s="30">
        <v>32933</v>
      </c>
      <c r="X16" s="30">
        <v>34608</v>
      </c>
      <c r="Y16" s="30">
        <v>43966</v>
      </c>
      <c r="Z16" s="31" t="str">
        <f ca="1">DATEDIF(W16,TODAY(),"y")&amp;" Tahun "&amp;DATEDIF(W16,TODAY(),"ym")&amp;" Bulan "&amp;DATEDIF(W16,TODAY(),"md")&amp;" Hari"</f>
        <v>35 Tahun 7 Bulan 30 Hari</v>
      </c>
      <c r="AA16" s="31" t="s">
        <v>171</v>
      </c>
      <c r="AB16" s="32">
        <v>24215</v>
      </c>
      <c r="AC16" s="31" t="s">
        <v>172</v>
      </c>
      <c r="AD16" s="22" t="str">
        <f t="shared" ca="1" si="0"/>
        <v xml:space="preserve">59 Tahun 6 Bulan </v>
      </c>
      <c r="AE16" s="23" t="s">
        <v>173</v>
      </c>
      <c r="AF16" s="34"/>
      <c r="AG16" s="58" t="s">
        <v>174</v>
      </c>
      <c r="AH16" s="22"/>
      <c r="AI16" s="22"/>
      <c r="AJ16" s="22"/>
      <c r="AK16" s="33"/>
      <c r="AL16" s="36"/>
    </row>
    <row r="17" spans="1:39" ht="14.45" customHeight="1" x14ac:dyDescent="0.25">
      <c r="A17" s="17">
        <v>2</v>
      </c>
      <c r="B17" s="18"/>
      <c r="C17" s="50" t="s">
        <v>175</v>
      </c>
      <c r="D17" s="20" t="s">
        <v>176</v>
      </c>
      <c r="E17" s="21" t="s">
        <v>40</v>
      </c>
      <c r="F17" s="22" t="s">
        <v>41</v>
      </c>
      <c r="G17" s="23" t="s">
        <v>57</v>
      </c>
      <c r="H17" s="22" t="s">
        <v>58</v>
      </c>
      <c r="I17" s="22" t="s">
        <v>44</v>
      </c>
      <c r="J17" s="22" t="s">
        <v>177</v>
      </c>
      <c r="K17" s="24">
        <v>43922</v>
      </c>
      <c r="L17" s="22"/>
      <c r="M17" s="22"/>
      <c r="N17" s="26"/>
      <c r="O17" s="22"/>
      <c r="P17" s="22"/>
      <c r="Q17" s="22"/>
      <c r="R17" s="43"/>
      <c r="S17" s="23" t="s">
        <v>178</v>
      </c>
      <c r="T17" s="23"/>
      <c r="U17" s="23"/>
      <c r="V17" s="23"/>
      <c r="W17" s="30">
        <v>33298</v>
      </c>
      <c r="X17" s="30">
        <v>39815</v>
      </c>
      <c r="Y17" s="22"/>
      <c r="Z17" s="31" t="str">
        <f ca="1">DATEDIF(W17,TODAY(),"y")&amp;" Tahun "&amp;DATEDIF(W17,TODAY(),"ym")&amp;" Bulan "&amp;DATEDIF(W17,TODAY(),"md")&amp;" Hari"</f>
        <v>34 Tahun 7 Bulan 30 Hari</v>
      </c>
      <c r="AA17" s="31" t="s">
        <v>179</v>
      </c>
      <c r="AB17" s="32">
        <v>24057</v>
      </c>
      <c r="AC17" s="31" t="s">
        <v>180</v>
      </c>
      <c r="AD17" s="22" t="str">
        <f t="shared" ca="1" si="0"/>
        <v xml:space="preserve">59 Tahun 11 Bulan </v>
      </c>
      <c r="AE17" s="33" t="s">
        <v>181</v>
      </c>
      <c r="AF17" s="34"/>
      <c r="AG17" s="58" t="s">
        <v>174</v>
      </c>
      <c r="AH17" s="22"/>
      <c r="AI17" s="22"/>
      <c r="AJ17" s="22"/>
      <c r="AK17" s="33"/>
      <c r="AL17" s="36"/>
    </row>
    <row r="18" spans="1:39" ht="14.45" customHeight="1" x14ac:dyDescent="0.25">
      <c r="A18" s="17">
        <v>3</v>
      </c>
      <c r="B18" s="18"/>
      <c r="C18" s="19" t="s">
        <v>182</v>
      </c>
      <c r="D18" s="20" t="s">
        <v>183</v>
      </c>
      <c r="E18" s="21" t="s">
        <v>40</v>
      </c>
      <c r="F18" s="22" t="s">
        <v>41</v>
      </c>
      <c r="G18" s="23" t="s">
        <v>42</v>
      </c>
      <c r="H18" s="22" t="s">
        <v>43</v>
      </c>
      <c r="I18" s="22" t="s">
        <v>44</v>
      </c>
      <c r="J18" s="22" t="s">
        <v>184</v>
      </c>
      <c r="K18" s="24">
        <v>45689</v>
      </c>
      <c r="L18" s="22"/>
      <c r="M18" s="26"/>
      <c r="N18" s="26"/>
      <c r="O18" s="22"/>
      <c r="P18" s="22"/>
      <c r="Q18" s="22"/>
      <c r="R18" s="43"/>
      <c r="S18" s="23" t="s">
        <v>170</v>
      </c>
      <c r="T18" s="23"/>
      <c r="U18" s="23"/>
      <c r="V18" s="23"/>
      <c r="W18" s="30">
        <v>33664</v>
      </c>
      <c r="X18" s="30">
        <v>33848</v>
      </c>
      <c r="Y18" s="30">
        <v>40913</v>
      </c>
      <c r="Z18" s="31" t="str">
        <f ca="1">DATEDIF(W18,TODAY(),"y")&amp;" Tahun "&amp;DATEDIF(W18,TODAY(),"ym")&amp;" Bulan "&amp;DATEDIF(W18,TODAY(),"md")&amp;" Hari"</f>
        <v>33 Tahun 7 Bulan 30 Hari</v>
      </c>
      <c r="AA18" s="31" t="s">
        <v>185</v>
      </c>
      <c r="AB18" s="32">
        <v>26126</v>
      </c>
      <c r="AC18" s="32" t="s">
        <v>186</v>
      </c>
      <c r="AD18" s="57" t="str">
        <f t="shared" ca="1" si="0"/>
        <v xml:space="preserve">54 Tahun 3 Bulan </v>
      </c>
      <c r="AE18" s="33" t="s">
        <v>181</v>
      </c>
      <c r="AF18" s="34"/>
      <c r="AG18" s="58" t="s">
        <v>174</v>
      </c>
      <c r="AH18" s="22"/>
      <c r="AI18" s="22"/>
      <c r="AJ18" s="22"/>
      <c r="AK18" s="33"/>
      <c r="AL18" s="36"/>
    </row>
    <row r="19" spans="1:39" ht="14.45" customHeight="1" x14ac:dyDescent="0.25">
      <c r="A19" s="17">
        <v>4</v>
      </c>
      <c r="B19" s="18"/>
      <c r="C19" s="50" t="s">
        <v>187</v>
      </c>
      <c r="D19" s="20" t="s">
        <v>188</v>
      </c>
      <c r="E19" s="21" t="s">
        <v>56</v>
      </c>
      <c r="F19" s="22" t="s">
        <v>41</v>
      </c>
      <c r="G19" s="23" t="s">
        <v>102</v>
      </c>
      <c r="H19" s="22" t="s">
        <v>103</v>
      </c>
      <c r="I19" s="22" t="s">
        <v>44</v>
      </c>
      <c r="J19" s="22" t="s">
        <v>189</v>
      </c>
      <c r="K19" s="24">
        <v>44470</v>
      </c>
      <c r="L19" s="22"/>
      <c r="M19" s="26"/>
      <c r="N19" s="26"/>
      <c r="O19" s="22"/>
      <c r="P19" s="22"/>
      <c r="Q19" s="23"/>
      <c r="R19" s="26"/>
      <c r="S19" s="23" t="s">
        <v>140</v>
      </c>
      <c r="T19" s="23"/>
      <c r="U19" s="23"/>
      <c r="V19" s="23"/>
      <c r="W19" s="30">
        <v>40513</v>
      </c>
      <c r="X19" s="30">
        <v>40638</v>
      </c>
      <c r="Y19" s="30">
        <v>41671</v>
      </c>
      <c r="Z19" s="31" t="str">
        <f ca="1">DATEDIF(W19,TODAY(),"y")&amp;" Tahun "&amp;DATEDIF(W19,TODAY(),"ym")&amp;" Bulan "&amp;DATEDIF(W19,TODAY(),"md")&amp;" Hari"</f>
        <v>14 Tahun 10 Bulan 30 Hari</v>
      </c>
      <c r="AA19" s="31" t="s">
        <v>76</v>
      </c>
      <c r="AB19" s="32">
        <v>32023</v>
      </c>
      <c r="AC19" s="31" t="s">
        <v>190</v>
      </c>
      <c r="AD19" s="22" t="str">
        <f t="shared" ca="1" si="0"/>
        <v xml:space="preserve">38 Tahun 1 Bulan </v>
      </c>
      <c r="AE19" s="33" t="s">
        <v>181</v>
      </c>
      <c r="AF19" s="34"/>
      <c r="AG19" s="58" t="s">
        <v>174</v>
      </c>
      <c r="AH19" s="22"/>
      <c r="AI19" s="22"/>
      <c r="AJ19" s="22"/>
      <c r="AK19" s="33"/>
      <c r="AL19" s="36"/>
    </row>
    <row r="20" spans="1:39" ht="14.45" customHeight="1" x14ac:dyDescent="0.25">
      <c r="A20" s="17">
        <v>5</v>
      </c>
      <c r="B20" s="18"/>
      <c r="C20" s="50" t="s">
        <v>5681</v>
      </c>
      <c r="D20" s="20" t="s">
        <v>191</v>
      </c>
      <c r="E20" s="21" t="s">
        <v>56</v>
      </c>
      <c r="F20" s="22" t="s">
        <v>192</v>
      </c>
      <c r="G20" s="23" t="s">
        <v>193</v>
      </c>
      <c r="H20" s="22" t="s">
        <v>194</v>
      </c>
      <c r="I20" s="22" t="s">
        <v>155</v>
      </c>
      <c r="J20" s="22" t="s">
        <v>189</v>
      </c>
      <c r="K20" s="24" t="s">
        <v>195</v>
      </c>
      <c r="L20" s="22"/>
      <c r="M20" s="22"/>
      <c r="N20" s="22"/>
      <c r="O20" s="22"/>
      <c r="P20" s="22"/>
      <c r="Q20" s="22"/>
      <c r="R20" s="22"/>
      <c r="S20" s="23" t="s">
        <v>196</v>
      </c>
      <c r="T20" s="23"/>
      <c r="U20" s="23"/>
      <c r="V20" s="23"/>
      <c r="W20" s="69">
        <v>45809</v>
      </c>
      <c r="X20" s="69">
        <v>45810</v>
      </c>
      <c r="Y20" s="69">
        <v>45810</v>
      </c>
      <c r="Z20" s="31" t="str">
        <f ca="1">DATEDIF(X20,TODAY(),"y")&amp;" Tahun "&amp;DATEDIF(X20,TODAY(),"ym")&amp;" Bulan "&amp;DATEDIF(X20,TODAY(),"md")&amp;" Hari"</f>
        <v>0 Tahun 4 Bulan 29 Hari</v>
      </c>
      <c r="AA20" s="23" t="s">
        <v>197</v>
      </c>
      <c r="AB20" s="32">
        <v>37299</v>
      </c>
      <c r="AC20" s="32" t="s">
        <v>198</v>
      </c>
      <c r="AD20" s="22" t="str">
        <f t="shared" ca="1" si="0"/>
        <v xml:space="preserve">23 Tahun 8 Bulan </v>
      </c>
      <c r="AE20" s="23" t="s">
        <v>199</v>
      </c>
      <c r="AF20" s="34"/>
      <c r="AG20" s="58" t="s">
        <v>174</v>
      </c>
      <c r="AH20" s="22"/>
      <c r="AI20" s="22"/>
      <c r="AJ20" s="22"/>
      <c r="AK20" s="33" t="s">
        <v>200</v>
      </c>
      <c r="AL20" s="36"/>
    </row>
    <row r="21" spans="1:39" ht="14.45" customHeight="1" x14ac:dyDescent="0.25">
      <c r="A21" s="17">
        <v>6</v>
      </c>
      <c r="B21" s="18"/>
      <c r="C21" s="50" t="s">
        <v>5682</v>
      </c>
      <c r="D21" s="20" t="s">
        <v>201</v>
      </c>
      <c r="E21" s="21" t="s">
        <v>56</v>
      </c>
      <c r="F21" s="22" t="s">
        <v>192</v>
      </c>
      <c r="G21" s="23" t="s">
        <v>193</v>
      </c>
      <c r="H21" s="22" t="s">
        <v>194</v>
      </c>
      <c r="I21" s="22" t="s">
        <v>155</v>
      </c>
      <c r="J21" s="22" t="s">
        <v>189</v>
      </c>
      <c r="K21" s="24" t="s">
        <v>195</v>
      </c>
      <c r="L21" s="22"/>
      <c r="M21" s="22"/>
      <c r="N21" s="22"/>
      <c r="O21" s="22"/>
      <c r="P21" s="22"/>
      <c r="Q21" s="22"/>
      <c r="R21" s="22"/>
      <c r="S21" s="23" t="s">
        <v>202</v>
      </c>
      <c r="T21" s="23"/>
      <c r="U21" s="23"/>
      <c r="V21" s="23"/>
      <c r="W21" s="69">
        <v>45809</v>
      </c>
      <c r="X21" s="69">
        <v>45810</v>
      </c>
      <c r="Y21" s="69">
        <v>45810</v>
      </c>
      <c r="Z21" s="31" t="str">
        <f ca="1">DATEDIF(X21,TODAY(),"y")&amp;" Tahun "&amp;DATEDIF(X21,TODAY(),"ym")&amp;" Bulan "&amp;DATEDIF(X21,TODAY(),"md")&amp;" Hari"</f>
        <v>0 Tahun 4 Bulan 29 Hari</v>
      </c>
      <c r="AA21" s="23" t="s">
        <v>203</v>
      </c>
      <c r="AB21" s="32">
        <v>36188</v>
      </c>
      <c r="AC21" s="32" t="s">
        <v>204</v>
      </c>
      <c r="AD21" s="22" t="str">
        <f t="shared" ca="1" si="0"/>
        <v xml:space="preserve">26 Tahun 9 Bulan </v>
      </c>
      <c r="AE21" s="23" t="s">
        <v>199</v>
      </c>
      <c r="AF21" s="34"/>
      <c r="AG21" s="58" t="s">
        <v>174</v>
      </c>
      <c r="AH21" s="22"/>
      <c r="AI21" s="22"/>
      <c r="AJ21" s="22"/>
      <c r="AK21" s="33" t="s">
        <v>200</v>
      </c>
      <c r="AL21" s="36"/>
    </row>
    <row r="22" spans="1:39" ht="14.45" customHeight="1" x14ac:dyDescent="0.25">
      <c r="A22" s="17">
        <v>7</v>
      </c>
      <c r="B22" s="18"/>
      <c r="C22" s="50" t="s">
        <v>5683</v>
      </c>
      <c r="D22" s="20" t="s">
        <v>205</v>
      </c>
      <c r="E22" s="21" t="s">
        <v>56</v>
      </c>
      <c r="F22" s="22" t="s">
        <v>192</v>
      </c>
      <c r="G22" s="23" t="s">
        <v>193</v>
      </c>
      <c r="H22" s="22" t="s">
        <v>194</v>
      </c>
      <c r="I22" s="22" t="s">
        <v>155</v>
      </c>
      <c r="J22" s="22" t="s">
        <v>189</v>
      </c>
      <c r="K22" s="24" t="s">
        <v>195</v>
      </c>
      <c r="L22" s="22"/>
      <c r="M22" s="22"/>
      <c r="N22" s="22"/>
      <c r="O22" s="22"/>
      <c r="P22" s="22"/>
      <c r="Q22" s="22"/>
      <c r="R22" s="22"/>
      <c r="S22" s="23" t="s">
        <v>202</v>
      </c>
      <c r="T22" s="23"/>
      <c r="U22" s="23"/>
      <c r="V22" s="23"/>
      <c r="W22" s="69">
        <v>45809</v>
      </c>
      <c r="X22" s="69">
        <v>45810</v>
      </c>
      <c r="Y22" s="69">
        <v>45810</v>
      </c>
      <c r="Z22" s="31" t="str">
        <f ca="1">DATEDIF(X22,TODAY(),"y")&amp;" Tahun "&amp;DATEDIF(X22,TODAY(),"ym")&amp;" Bulan "&amp;DATEDIF(X22,TODAY(),"md")&amp;" Hari"</f>
        <v>0 Tahun 4 Bulan 29 Hari</v>
      </c>
      <c r="AA22" s="23" t="s">
        <v>206</v>
      </c>
      <c r="AB22" s="32">
        <v>35368</v>
      </c>
      <c r="AC22" s="32" t="s">
        <v>207</v>
      </c>
      <c r="AD22" s="22" t="str">
        <f t="shared" ca="1" si="0"/>
        <v xml:space="preserve">29 Tahun 0 Bulan </v>
      </c>
      <c r="AE22" s="23" t="s">
        <v>199</v>
      </c>
      <c r="AF22" s="34"/>
      <c r="AG22" s="58" t="s">
        <v>174</v>
      </c>
      <c r="AH22" s="22"/>
      <c r="AI22" s="22"/>
      <c r="AJ22" s="22"/>
      <c r="AK22" s="33" t="s">
        <v>200</v>
      </c>
      <c r="AL22" s="36"/>
    </row>
    <row r="23" spans="1:39" ht="14.45" customHeight="1" x14ac:dyDescent="0.25">
      <c r="A23" s="17">
        <v>1</v>
      </c>
      <c r="B23" s="72"/>
      <c r="C23" s="50" t="s">
        <v>208</v>
      </c>
      <c r="D23" s="20" t="s">
        <v>209</v>
      </c>
      <c r="E23" s="21" t="s">
        <v>40</v>
      </c>
      <c r="F23" s="22" t="s">
        <v>41</v>
      </c>
      <c r="G23" s="23" t="s">
        <v>57</v>
      </c>
      <c r="H23" s="22" t="s">
        <v>58</v>
      </c>
      <c r="I23" s="22" t="s">
        <v>44</v>
      </c>
      <c r="J23" s="22" t="s">
        <v>210</v>
      </c>
      <c r="K23" s="24">
        <v>45505</v>
      </c>
      <c r="L23" s="73" t="s">
        <v>211</v>
      </c>
      <c r="M23" s="26">
        <v>41429</v>
      </c>
      <c r="N23" s="26">
        <v>43205</v>
      </c>
      <c r="O23" s="54" t="s">
        <v>148</v>
      </c>
      <c r="P23" s="73"/>
      <c r="Q23" s="74"/>
      <c r="R23" s="43"/>
      <c r="S23" s="23" t="s">
        <v>170</v>
      </c>
      <c r="T23" s="23">
        <v>2019</v>
      </c>
      <c r="U23" s="23"/>
      <c r="V23" s="23"/>
      <c r="W23" s="30">
        <v>34394</v>
      </c>
      <c r="X23" s="30">
        <v>34578</v>
      </c>
      <c r="Y23" s="30">
        <v>43966</v>
      </c>
      <c r="Z23" s="31" t="str">
        <f ca="1">DATEDIF(W23,TODAY(),"y")&amp;" Tahun "&amp;DATEDIF(W23,TODAY(),"ym")&amp;" Bulan "&amp;DATEDIF(W23,TODAY(),"md")&amp;" Hari"</f>
        <v>31 Tahun 7 Bulan 30 Hari</v>
      </c>
      <c r="AA23" s="31" t="s">
        <v>76</v>
      </c>
      <c r="AB23" s="32">
        <v>26769</v>
      </c>
      <c r="AC23" s="31" t="s">
        <v>212</v>
      </c>
      <c r="AD23" s="22" t="str">
        <f t="shared" ca="1" si="0"/>
        <v xml:space="preserve">52 Tahun 6 Bulan </v>
      </c>
      <c r="AE23" s="23" t="s">
        <v>213</v>
      </c>
      <c r="AF23" s="34"/>
      <c r="AG23" s="22" t="s">
        <v>214</v>
      </c>
      <c r="AH23" s="22"/>
      <c r="AI23" s="22"/>
      <c r="AJ23" s="22"/>
      <c r="AK23" s="33"/>
      <c r="AL23" s="36"/>
    </row>
    <row r="24" spans="1:39" ht="14.45" customHeight="1" x14ac:dyDescent="0.25">
      <c r="A24" s="17">
        <v>2</v>
      </c>
      <c r="B24" s="18"/>
      <c r="C24" s="50" t="s">
        <v>215</v>
      </c>
      <c r="D24" s="20" t="s">
        <v>216</v>
      </c>
      <c r="E24" s="52" t="s">
        <v>56</v>
      </c>
      <c r="F24" s="58" t="s">
        <v>41</v>
      </c>
      <c r="G24" s="23" t="s">
        <v>137</v>
      </c>
      <c r="H24" s="22" t="s">
        <v>138</v>
      </c>
      <c r="I24" s="22" t="s">
        <v>44</v>
      </c>
      <c r="J24" s="22" t="s">
        <v>217</v>
      </c>
      <c r="K24" s="24">
        <v>45505</v>
      </c>
      <c r="L24" s="53" t="s">
        <v>218</v>
      </c>
      <c r="M24" s="26">
        <v>42807</v>
      </c>
      <c r="N24" s="26">
        <v>44752</v>
      </c>
      <c r="O24" s="40" t="s">
        <v>219</v>
      </c>
      <c r="P24" s="28" t="s">
        <v>220</v>
      </c>
      <c r="Q24" s="29">
        <v>43103</v>
      </c>
      <c r="R24" s="26">
        <v>44752</v>
      </c>
      <c r="S24" s="33" t="s">
        <v>221</v>
      </c>
      <c r="T24" s="33"/>
      <c r="U24" s="33"/>
      <c r="V24" s="33"/>
      <c r="W24" s="30">
        <v>39783</v>
      </c>
      <c r="X24" s="30">
        <v>41099</v>
      </c>
      <c r="Y24" s="30">
        <v>41671</v>
      </c>
      <c r="Z24" s="55" t="str">
        <f ca="1">DATEDIF(W24,TODAY(),"y")&amp;" Tahun "&amp;DATEDIF(W24,TODAY(),"ym")&amp;" Bulan "&amp;DATEDIF(W24,TODAY(),"md")&amp;" Hari"</f>
        <v>16 Tahun 10 Bulan 30 Hari</v>
      </c>
      <c r="AA24" s="66" t="s">
        <v>76</v>
      </c>
      <c r="AB24" s="75">
        <v>31603</v>
      </c>
      <c r="AC24" s="31" t="s">
        <v>222</v>
      </c>
      <c r="AD24" s="57" t="str">
        <f t="shared" ca="1" si="0"/>
        <v xml:space="preserve">39 Tahun 3 Bulan </v>
      </c>
      <c r="AE24" s="34" t="s">
        <v>223</v>
      </c>
      <c r="AF24" s="71"/>
      <c r="AG24" s="58" t="s">
        <v>214</v>
      </c>
      <c r="AH24" s="58"/>
      <c r="AI24" s="58"/>
      <c r="AJ24" s="58"/>
      <c r="AK24" s="33" t="s">
        <v>224</v>
      </c>
      <c r="AL24" s="36"/>
    </row>
    <row r="25" spans="1:39" ht="14.45" customHeight="1" x14ac:dyDescent="0.25">
      <c r="A25" s="17">
        <v>3</v>
      </c>
      <c r="B25" s="76"/>
      <c r="C25" s="50" t="s">
        <v>225</v>
      </c>
      <c r="D25" s="20" t="s">
        <v>226</v>
      </c>
      <c r="E25" s="52" t="s">
        <v>56</v>
      </c>
      <c r="F25" s="22" t="s">
        <v>41</v>
      </c>
      <c r="G25" s="23" t="s">
        <v>227</v>
      </c>
      <c r="H25" s="22" t="s">
        <v>228</v>
      </c>
      <c r="I25" s="22" t="s">
        <v>44</v>
      </c>
      <c r="J25" s="22" t="s">
        <v>229</v>
      </c>
      <c r="K25" s="24">
        <v>44155</v>
      </c>
      <c r="L25" s="22"/>
      <c r="M25" s="26"/>
      <c r="N25" s="26"/>
      <c r="O25" s="22"/>
      <c r="P25" s="22"/>
      <c r="Q25" s="22"/>
      <c r="R25" s="22"/>
      <c r="S25" s="23" t="s">
        <v>230</v>
      </c>
      <c r="T25" s="23"/>
      <c r="U25" s="23"/>
      <c r="V25" s="23"/>
      <c r="W25" s="30">
        <v>38353</v>
      </c>
      <c r="X25" s="30">
        <v>38353</v>
      </c>
      <c r="Y25" s="30">
        <v>39114</v>
      </c>
      <c r="Z25" s="55" t="str">
        <f ca="1">DATEDIF(W25,TODAY(),"y")&amp;" Tahun "&amp;DATEDIF(W25,TODAY(),"ym")&amp;" Bulan "&amp;DATEDIF(W25,TODAY(),"md")&amp;" Hari"</f>
        <v>20 Tahun 9 Bulan 30 Hari</v>
      </c>
      <c r="AA25" s="55" t="s">
        <v>97</v>
      </c>
      <c r="AB25" s="56">
        <v>30396</v>
      </c>
      <c r="AC25" s="31" t="s">
        <v>231</v>
      </c>
      <c r="AD25" s="57" t="str">
        <f t="shared" ca="1" si="0"/>
        <v xml:space="preserve">42 Tahun 7 Bulan </v>
      </c>
      <c r="AE25" s="34" t="s">
        <v>223</v>
      </c>
      <c r="AF25" s="34"/>
      <c r="AG25" s="58" t="s">
        <v>214</v>
      </c>
      <c r="AH25" s="22"/>
      <c r="AI25" s="22"/>
      <c r="AJ25" s="22"/>
      <c r="AK25" s="33"/>
      <c r="AL25" s="36"/>
    </row>
    <row r="26" spans="1:39" ht="14.45" customHeight="1" x14ac:dyDescent="0.25">
      <c r="A26" s="17">
        <v>4</v>
      </c>
      <c r="B26" s="18"/>
      <c r="C26" s="50" t="s">
        <v>232</v>
      </c>
      <c r="D26" s="20" t="s">
        <v>233</v>
      </c>
      <c r="E26" s="52" t="s">
        <v>40</v>
      </c>
      <c r="F26" s="58" t="s">
        <v>41</v>
      </c>
      <c r="G26" s="15" t="s">
        <v>193</v>
      </c>
      <c r="H26" s="22" t="s">
        <v>194</v>
      </c>
      <c r="I26" s="22" t="s">
        <v>155</v>
      </c>
      <c r="J26" s="22" t="s">
        <v>156</v>
      </c>
      <c r="K26" s="24">
        <v>45689</v>
      </c>
      <c r="L26" s="22"/>
      <c r="M26" s="22"/>
      <c r="N26" s="22"/>
      <c r="O26" s="22"/>
      <c r="P26" s="22"/>
      <c r="Q26" s="22"/>
      <c r="R26" s="22"/>
      <c r="S26" s="23" t="s">
        <v>202</v>
      </c>
      <c r="T26" s="23"/>
      <c r="U26" s="23"/>
      <c r="V26" s="23"/>
      <c r="W26" s="30">
        <v>40148</v>
      </c>
      <c r="X26" s="30">
        <v>37865</v>
      </c>
      <c r="Y26" s="22"/>
      <c r="Z26" s="55" t="str">
        <f ca="1">DATEDIF(W26,TODAY(),"y")&amp;" Tahun "&amp;DATEDIF(W26,TODAY(),"ym")&amp;" Bulan "&amp;DATEDIF(W26,TODAY(),"md")&amp;" Hari"</f>
        <v>15 Tahun 10 Bulan 30 Hari</v>
      </c>
      <c r="AA26" s="55" t="s">
        <v>76</v>
      </c>
      <c r="AB26" s="56">
        <v>31023</v>
      </c>
      <c r="AC26" s="32" t="s">
        <v>234</v>
      </c>
      <c r="AD26" s="57" t="str">
        <f t="shared" ca="1" si="0"/>
        <v xml:space="preserve">40 Tahun 10 Bulan </v>
      </c>
      <c r="AE26" s="34" t="s">
        <v>223</v>
      </c>
      <c r="AF26" s="71"/>
      <c r="AG26" s="58" t="s">
        <v>214</v>
      </c>
      <c r="AH26" s="58"/>
      <c r="AI26" s="58"/>
      <c r="AJ26" s="58"/>
      <c r="AK26" s="33" t="s">
        <v>235</v>
      </c>
      <c r="AL26" s="36"/>
    </row>
    <row r="27" spans="1:39" ht="14.45" customHeight="1" x14ac:dyDescent="0.25">
      <c r="A27" s="17">
        <v>5</v>
      </c>
      <c r="B27" s="76"/>
      <c r="C27" s="50" t="s">
        <v>236</v>
      </c>
      <c r="D27" s="20" t="s">
        <v>237</v>
      </c>
      <c r="E27" s="21" t="s">
        <v>56</v>
      </c>
      <c r="F27" s="22" t="s">
        <v>238</v>
      </c>
      <c r="G27" s="33" t="s">
        <v>3872</v>
      </c>
      <c r="H27" s="22" t="s">
        <v>239</v>
      </c>
      <c r="I27" s="22" t="s">
        <v>44</v>
      </c>
      <c r="J27" s="22" t="s">
        <v>240</v>
      </c>
      <c r="K27" s="30"/>
      <c r="L27" s="22"/>
      <c r="M27" s="22"/>
      <c r="N27" s="22"/>
      <c r="O27" s="22"/>
      <c r="P27" s="22"/>
      <c r="Q27" s="22"/>
      <c r="R27" s="22"/>
      <c r="S27" s="59" t="s">
        <v>140</v>
      </c>
      <c r="T27" s="23"/>
      <c r="U27" s="23"/>
      <c r="V27" s="23"/>
      <c r="W27" s="77">
        <v>45261</v>
      </c>
      <c r="X27" s="30">
        <v>39449</v>
      </c>
      <c r="Y27" s="30">
        <v>43282</v>
      </c>
      <c r="Z27" s="31" t="str">
        <f ca="1">DATEDIF(X27,TODAY(),"y")&amp;" Tahun "&amp;DATEDIF(X27,TODAY(),"ym")&amp;" Bulan "&amp;DATEDIF(X27,TODAY(),"md")&amp;" Hari"</f>
        <v>17 Tahun 9 Bulan 29 Hari</v>
      </c>
      <c r="AA27" s="31" t="s">
        <v>128</v>
      </c>
      <c r="AB27" s="32">
        <v>30303</v>
      </c>
      <c r="AC27" s="31" t="s">
        <v>241</v>
      </c>
      <c r="AD27" s="22" t="str">
        <f t="shared" ca="1" si="0"/>
        <v xml:space="preserve">42 Tahun 10 Bulan </v>
      </c>
      <c r="AE27" s="33" t="s">
        <v>242</v>
      </c>
      <c r="AF27" s="34"/>
      <c r="AG27" s="58" t="s">
        <v>214</v>
      </c>
      <c r="AH27" s="22"/>
      <c r="AI27" s="22"/>
      <c r="AJ27" s="22"/>
      <c r="AK27" s="33" t="s">
        <v>243</v>
      </c>
      <c r="AL27" s="36"/>
    </row>
    <row r="28" spans="1:39" ht="14.45" customHeight="1" x14ac:dyDescent="0.25">
      <c r="A28" s="17">
        <v>6</v>
      </c>
      <c r="B28" s="78"/>
      <c r="C28" s="50" t="s">
        <v>244</v>
      </c>
      <c r="D28" s="20" t="s">
        <v>245</v>
      </c>
      <c r="E28" s="21" t="s">
        <v>56</v>
      </c>
      <c r="F28" s="22" t="s">
        <v>41</v>
      </c>
      <c r="G28" s="23" t="s">
        <v>102</v>
      </c>
      <c r="H28" s="22" t="s">
        <v>103</v>
      </c>
      <c r="I28" s="22" t="s">
        <v>155</v>
      </c>
      <c r="J28" s="22" t="s">
        <v>246</v>
      </c>
      <c r="K28" s="24">
        <v>45748</v>
      </c>
      <c r="L28" s="53"/>
      <c r="M28" s="26"/>
      <c r="N28" s="26"/>
      <c r="O28" s="27"/>
      <c r="P28" s="53"/>
      <c r="Q28" s="26"/>
      <c r="R28" s="29"/>
      <c r="S28" s="23" t="s">
        <v>140</v>
      </c>
      <c r="T28" s="23"/>
      <c r="U28" s="23"/>
      <c r="V28" s="23"/>
      <c r="W28" s="30">
        <v>39783</v>
      </c>
      <c r="X28" s="30">
        <v>37865</v>
      </c>
      <c r="Y28" s="30">
        <v>41730</v>
      </c>
      <c r="Z28" s="31" t="str">
        <f ca="1">DATEDIF(W28,TODAY(),"y")&amp;" Tahun "&amp;DATEDIF(W28,TODAY(),"ym")&amp;" Bulan "&amp;DATEDIF(W28,TODAY(),"md")&amp;" Hari"</f>
        <v>16 Tahun 10 Bulan 30 Hari</v>
      </c>
      <c r="AA28" s="31" t="s">
        <v>76</v>
      </c>
      <c r="AB28" s="32">
        <v>30733</v>
      </c>
      <c r="AC28" s="31" t="s">
        <v>247</v>
      </c>
      <c r="AD28" s="22" t="str">
        <f t="shared" ca="1" si="0"/>
        <v xml:space="preserve">41 Tahun 8 Bulan </v>
      </c>
      <c r="AE28" s="33" t="s">
        <v>248</v>
      </c>
      <c r="AF28" s="34"/>
      <c r="AG28" s="58" t="s">
        <v>214</v>
      </c>
      <c r="AH28" s="22"/>
      <c r="AI28" s="22"/>
      <c r="AJ28" s="22"/>
      <c r="AK28" s="33"/>
      <c r="AL28" s="36"/>
      <c r="AM28" s="14"/>
    </row>
    <row r="29" spans="1:39" ht="14.45" customHeight="1" x14ac:dyDescent="0.25">
      <c r="A29" s="17">
        <v>7</v>
      </c>
      <c r="B29" s="18"/>
      <c r="C29" s="50" t="s">
        <v>5684</v>
      </c>
      <c r="D29" s="20" t="s">
        <v>249</v>
      </c>
      <c r="E29" s="21" t="s">
        <v>40</v>
      </c>
      <c r="F29" s="22" t="s">
        <v>192</v>
      </c>
      <c r="G29" s="23" t="s">
        <v>193</v>
      </c>
      <c r="H29" s="22" t="s">
        <v>194</v>
      </c>
      <c r="I29" s="22" t="s">
        <v>155</v>
      </c>
      <c r="J29" s="22" t="s">
        <v>250</v>
      </c>
      <c r="K29" s="24" t="s">
        <v>195</v>
      </c>
      <c r="L29" s="22"/>
      <c r="M29" s="22"/>
      <c r="N29" s="22"/>
      <c r="O29" s="22"/>
      <c r="P29" s="22"/>
      <c r="Q29" s="22"/>
      <c r="R29" s="22"/>
      <c r="S29" s="23" t="s">
        <v>251</v>
      </c>
      <c r="T29" s="23"/>
      <c r="U29" s="23"/>
      <c r="V29" s="23"/>
      <c r="W29" s="69">
        <v>45809</v>
      </c>
      <c r="X29" s="69">
        <v>45810</v>
      </c>
      <c r="Y29" s="69">
        <v>45810</v>
      </c>
      <c r="Z29" s="31" t="str">
        <f ca="1">DATEDIF(X29,TODAY(),"y")&amp;" Tahun "&amp;DATEDIF(X29,TODAY(),"ym")&amp;" Bulan "&amp;DATEDIF(X29,TODAY(),"md")&amp;" Hari"</f>
        <v>0 Tahun 4 Bulan 29 Hari</v>
      </c>
      <c r="AA29" s="23" t="s">
        <v>252</v>
      </c>
      <c r="AB29" s="32">
        <v>36204</v>
      </c>
      <c r="AC29" s="32" t="s">
        <v>253</v>
      </c>
      <c r="AD29" s="22" t="str">
        <f t="shared" ca="1" si="0"/>
        <v xml:space="preserve">26 Tahun 8 Bulan </v>
      </c>
      <c r="AE29" s="23" t="s">
        <v>254</v>
      </c>
      <c r="AF29" s="34"/>
      <c r="AG29" s="58" t="s">
        <v>214</v>
      </c>
      <c r="AH29" s="22"/>
      <c r="AI29" s="22"/>
      <c r="AJ29" s="22"/>
      <c r="AK29" s="33" t="s">
        <v>200</v>
      </c>
      <c r="AL29" s="36"/>
    </row>
    <row r="30" spans="1:39" ht="14.45" customHeight="1" x14ac:dyDescent="0.25">
      <c r="A30" s="17">
        <v>8</v>
      </c>
      <c r="B30" s="18"/>
      <c r="C30" s="50" t="s">
        <v>5685</v>
      </c>
      <c r="D30" s="20" t="s">
        <v>5686</v>
      </c>
      <c r="E30" s="22" t="s">
        <v>56</v>
      </c>
      <c r="F30" s="22" t="s">
        <v>238</v>
      </c>
      <c r="G30" s="33" t="s">
        <v>3872</v>
      </c>
      <c r="H30" s="22" t="s">
        <v>239</v>
      </c>
      <c r="I30" s="22" t="s">
        <v>155</v>
      </c>
      <c r="J30" s="22" t="s">
        <v>5687</v>
      </c>
      <c r="K30" s="30"/>
      <c r="L30" s="22"/>
      <c r="M30" s="26"/>
      <c r="N30" s="26"/>
      <c r="O30" s="22"/>
      <c r="P30" s="22"/>
      <c r="Q30" s="22"/>
      <c r="R30" s="43"/>
      <c r="S30" s="33" t="s">
        <v>202</v>
      </c>
      <c r="T30" s="33"/>
      <c r="U30" s="33"/>
      <c r="V30" s="33"/>
      <c r="W30" s="77">
        <v>45931</v>
      </c>
      <c r="X30" s="30">
        <v>42095</v>
      </c>
      <c r="Y30" s="30">
        <v>42114</v>
      </c>
      <c r="Z30" s="31" t="str">
        <f ca="1">DATEDIF(X30,TODAY(),"y")&amp;" Tahun "&amp;DATEDIF(X30,TODAY(),"ym")&amp;" Bulan "&amp;DATEDIF(X30,TODAY(),"md")&amp;" Hari"</f>
        <v>10 Tahun 6 Bulan 30 Hari</v>
      </c>
      <c r="AA30" s="31" t="s">
        <v>5688</v>
      </c>
      <c r="AB30" s="32">
        <v>30314</v>
      </c>
      <c r="AC30" s="31" t="s">
        <v>5689</v>
      </c>
      <c r="AD30" s="22" t="str">
        <f t="shared" ca="1" si="0"/>
        <v xml:space="preserve">42 Tahun 10 Bulan </v>
      </c>
      <c r="AE30" s="34" t="s">
        <v>223</v>
      </c>
      <c r="AF30" s="34"/>
      <c r="AG30" s="58" t="s">
        <v>214</v>
      </c>
      <c r="AH30" s="22"/>
      <c r="AI30" s="22"/>
      <c r="AJ30" s="22"/>
      <c r="AK30" s="33"/>
      <c r="AL30" s="36"/>
    </row>
    <row r="31" spans="1:39" ht="14.45" customHeight="1" x14ac:dyDescent="0.25">
      <c r="A31" s="17">
        <v>1</v>
      </c>
      <c r="B31" s="76"/>
      <c r="C31" s="19" t="s">
        <v>256</v>
      </c>
      <c r="D31" s="20" t="s">
        <v>257</v>
      </c>
      <c r="E31" s="21" t="s">
        <v>56</v>
      </c>
      <c r="F31" s="22" t="s">
        <v>41</v>
      </c>
      <c r="G31" s="23" t="s">
        <v>42</v>
      </c>
      <c r="H31" s="22" t="s">
        <v>43</v>
      </c>
      <c r="I31" s="22" t="s">
        <v>44</v>
      </c>
      <c r="J31" s="60" t="s">
        <v>148</v>
      </c>
      <c r="K31" s="24">
        <v>45200</v>
      </c>
      <c r="L31" s="53" t="s">
        <v>258</v>
      </c>
      <c r="M31" s="26">
        <v>43117</v>
      </c>
      <c r="N31" s="26">
        <v>45199</v>
      </c>
      <c r="O31" s="27" t="s">
        <v>84</v>
      </c>
      <c r="P31" s="28" t="s">
        <v>259</v>
      </c>
      <c r="Q31" s="29">
        <v>43103</v>
      </c>
      <c r="R31" s="26">
        <v>43283</v>
      </c>
      <c r="S31" s="23" t="s">
        <v>69</v>
      </c>
      <c r="T31" s="23"/>
      <c r="U31" s="23"/>
      <c r="V31" s="23"/>
      <c r="W31" s="30">
        <v>32933</v>
      </c>
      <c r="X31" s="30">
        <v>33270</v>
      </c>
      <c r="Y31" s="30">
        <v>39484</v>
      </c>
      <c r="Z31" s="31" t="str">
        <f ca="1">DATEDIF(W31,TODAY(),"y")&amp;" Tahun "&amp;DATEDIF(W31,TODAY(),"ym")&amp;" Bulan "&amp;DATEDIF(W31,TODAY(),"md")&amp;" Hari"</f>
        <v>35 Tahun 7 Bulan 30 Hari</v>
      </c>
      <c r="AA31" s="31" t="s">
        <v>260</v>
      </c>
      <c r="AB31" s="32">
        <v>24745</v>
      </c>
      <c r="AC31" s="31" t="s">
        <v>261</v>
      </c>
      <c r="AD31" s="57" t="str">
        <f t="shared" ca="1" si="0"/>
        <v xml:space="preserve">58 Tahun 1 Bulan </v>
      </c>
      <c r="AE31" s="33" t="s">
        <v>262</v>
      </c>
      <c r="AF31" s="34"/>
      <c r="AG31" s="59" t="s">
        <v>255</v>
      </c>
      <c r="AH31" s="22"/>
      <c r="AI31" s="22"/>
      <c r="AJ31" s="22"/>
      <c r="AK31" s="33"/>
      <c r="AL31" s="36"/>
    </row>
    <row r="32" spans="1:39" ht="14.45" customHeight="1" x14ac:dyDescent="0.25">
      <c r="A32" s="17">
        <v>2</v>
      </c>
      <c r="B32" s="18"/>
      <c r="C32" s="50" t="s">
        <v>263</v>
      </c>
      <c r="D32" s="20" t="s">
        <v>264</v>
      </c>
      <c r="E32" s="52" t="s">
        <v>56</v>
      </c>
      <c r="F32" s="22" t="s">
        <v>41</v>
      </c>
      <c r="G32" s="23" t="s">
        <v>115</v>
      </c>
      <c r="H32" s="22" t="s">
        <v>116</v>
      </c>
      <c r="I32" s="22" t="s">
        <v>44</v>
      </c>
      <c r="J32" s="60" t="s">
        <v>148</v>
      </c>
      <c r="K32" s="24">
        <v>45931</v>
      </c>
      <c r="L32" s="53" t="s">
        <v>265</v>
      </c>
      <c r="M32" s="26">
        <v>43130</v>
      </c>
      <c r="N32" s="26">
        <v>44967</v>
      </c>
      <c r="O32" s="27" t="s">
        <v>84</v>
      </c>
      <c r="P32" s="28" t="s">
        <v>266</v>
      </c>
      <c r="Q32" s="29">
        <v>42212</v>
      </c>
      <c r="R32" s="26">
        <v>42396</v>
      </c>
      <c r="S32" s="23" t="s">
        <v>267</v>
      </c>
      <c r="T32" s="23"/>
      <c r="U32" s="23"/>
      <c r="V32" s="23"/>
      <c r="W32" s="30">
        <v>33972</v>
      </c>
      <c r="X32" s="30">
        <v>33978</v>
      </c>
      <c r="Y32" s="30">
        <v>40914</v>
      </c>
      <c r="Z32" s="55" t="str">
        <f ca="1">DATEDIF(W32,TODAY(),"y")&amp;" Tahun "&amp;DATEDIF(W32,TODAY(),"ym")&amp;" Bulan "&amp;DATEDIF(W32,TODAY(),"md")&amp;" Hari"</f>
        <v>32 Tahun 9 Bulan 28 Hari</v>
      </c>
      <c r="AA32" s="31" t="s">
        <v>76</v>
      </c>
      <c r="AB32" s="32">
        <v>25974</v>
      </c>
      <c r="AC32" s="32" t="s">
        <v>268</v>
      </c>
      <c r="AD32" s="57" t="str">
        <f t="shared" ca="1" si="0"/>
        <v xml:space="preserve">54 Tahun 8 Bulan </v>
      </c>
      <c r="AE32" s="33" t="s">
        <v>269</v>
      </c>
      <c r="AF32" s="79" t="s">
        <v>270</v>
      </c>
      <c r="AG32" s="59" t="s">
        <v>255</v>
      </c>
      <c r="AH32" s="22"/>
      <c r="AI32" s="22"/>
      <c r="AJ32" s="60"/>
      <c r="AK32" s="61"/>
      <c r="AL32" s="36"/>
    </row>
    <row r="33" spans="1:39" ht="14.45" customHeight="1" x14ac:dyDescent="0.25">
      <c r="A33" s="17">
        <v>3</v>
      </c>
      <c r="B33" s="80"/>
      <c r="C33" s="50" t="s">
        <v>271</v>
      </c>
      <c r="D33" s="51" t="s">
        <v>272</v>
      </c>
      <c r="E33" s="58" t="s">
        <v>56</v>
      </c>
      <c r="F33" s="58" t="s">
        <v>41</v>
      </c>
      <c r="G33" s="59" t="s">
        <v>137</v>
      </c>
      <c r="H33" s="58" t="s">
        <v>138</v>
      </c>
      <c r="I33" s="58" t="s">
        <v>44</v>
      </c>
      <c r="J33" s="58" t="s">
        <v>92</v>
      </c>
      <c r="K33" s="81">
        <v>44287</v>
      </c>
      <c r="L33" s="25" t="s">
        <v>273</v>
      </c>
      <c r="M33" s="26">
        <v>42402</v>
      </c>
      <c r="N33" s="26">
        <v>44301</v>
      </c>
      <c r="O33" s="27" t="s">
        <v>274</v>
      </c>
      <c r="P33" s="28" t="s">
        <v>275</v>
      </c>
      <c r="Q33" s="29">
        <v>42592</v>
      </c>
      <c r="R33" s="26">
        <v>44301</v>
      </c>
      <c r="S33" s="59" t="s">
        <v>96</v>
      </c>
      <c r="T33" s="59"/>
      <c r="U33" s="59"/>
      <c r="V33" s="59"/>
      <c r="W33" s="82">
        <v>41671</v>
      </c>
      <c r="X33" s="82"/>
      <c r="Y33" s="82"/>
      <c r="Z33" s="55" t="str">
        <f ca="1">DATEDIF(W33,TODAY(),"y")&amp;" Tahun "&amp;DATEDIF(W33,TODAY(),"ym")&amp;" Bulan "&amp;DATEDIF(W33,TODAY(),"md")&amp;" Hari"</f>
        <v>11 Tahun 8 Bulan 30 Hari</v>
      </c>
      <c r="AA33" s="66" t="s">
        <v>76</v>
      </c>
      <c r="AB33" s="83">
        <v>31517</v>
      </c>
      <c r="AC33" s="84" t="s">
        <v>276</v>
      </c>
      <c r="AD33" s="57" t="str">
        <f t="shared" ca="1" si="0"/>
        <v xml:space="preserve">39 Tahun 6 Bulan </v>
      </c>
      <c r="AE33" s="85" t="s">
        <v>277</v>
      </c>
      <c r="AF33" s="86"/>
      <c r="AG33" s="59" t="s">
        <v>255</v>
      </c>
      <c r="AH33" s="58"/>
      <c r="AI33" s="58"/>
      <c r="AJ33" s="87"/>
      <c r="AK33" s="88"/>
      <c r="AL33" s="22"/>
    </row>
    <row r="34" spans="1:39" ht="14.45" customHeight="1" x14ac:dyDescent="0.25">
      <c r="A34" s="17">
        <v>4</v>
      </c>
      <c r="B34" s="18"/>
      <c r="C34" s="50" t="s">
        <v>278</v>
      </c>
      <c r="D34" s="20" t="s">
        <v>279</v>
      </c>
      <c r="E34" s="21" t="s">
        <v>56</v>
      </c>
      <c r="F34" s="22" t="s">
        <v>41</v>
      </c>
      <c r="G34" s="23" t="s">
        <v>137</v>
      </c>
      <c r="H34" s="22" t="s">
        <v>138</v>
      </c>
      <c r="I34" s="22" t="s">
        <v>155</v>
      </c>
      <c r="J34" s="60" t="s">
        <v>280</v>
      </c>
      <c r="K34" s="24">
        <v>43922</v>
      </c>
      <c r="L34" s="22"/>
      <c r="M34" s="22"/>
      <c r="N34" s="22"/>
      <c r="O34" s="22"/>
      <c r="P34" s="22"/>
      <c r="Q34" s="22"/>
      <c r="R34" s="22"/>
      <c r="S34" s="23" t="s">
        <v>140</v>
      </c>
      <c r="T34" s="23"/>
      <c r="U34" s="23"/>
      <c r="V34" s="23"/>
      <c r="W34" s="30">
        <v>39448</v>
      </c>
      <c r="X34" s="30">
        <v>39482</v>
      </c>
      <c r="Y34" s="30">
        <v>43525</v>
      </c>
      <c r="Z34" s="31" t="str">
        <f ca="1">DATEDIF(W34,TODAY(),"y")&amp;" Tahun "&amp;DATEDIF(W34,TODAY(),"ym")&amp;" Bulan "&amp;DATEDIF(W34,TODAY(),"md")&amp;" Hari"</f>
        <v>17 Tahun 9 Bulan 30 Hari</v>
      </c>
      <c r="AA34" s="31" t="s">
        <v>76</v>
      </c>
      <c r="AB34" s="32">
        <v>28912</v>
      </c>
      <c r="AC34" s="31" t="s">
        <v>281</v>
      </c>
      <c r="AD34" s="22" t="str">
        <f t="shared" ca="1" si="0"/>
        <v xml:space="preserve">46 Tahun 8 Bulan </v>
      </c>
      <c r="AE34" s="33" t="s">
        <v>282</v>
      </c>
      <c r="AF34" s="34"/>
      <c r="AG34" s="59" t="s">
        <v>255</v>
      </c>
      <c r="AH34" s="22"/>
      <c r="AI34" s="22"/>
      <c r="AJ34" s="22"/>
      <c r="AK34" s="33"/>
      <c r="AL34" s="36"/>
    </row>
    <row r="35" spans="1:39" ht="14.45" customHeight="1" x14ac:dyDescent="0.25">
      <c r="A35" s="17">
        <v>5</v>
      </c>
      <c r="B35" s="18"/>
      <c r="C35" s="50" t="s">
        <v>283</v>
      </c>
      <c r="D35" s="20" t="s">
        <v>284</v>
      </c>
      <c r="E35" s="21" t="s">
        <v>40</v>
      </c>
      <c r="F35" s="22" t="s">
        <v>41</v>
      </c>
      <c r="G35" s="23" t="s">
        <v>227</v>
      </c>
      <c r="H35" s="22" t="s">
        <v>228</v>
      </c>
      <c r="I35" s="60" t="s">
        <v>155</v>
      </c>
      <c r="J35" s="60" t="s">
        <v>285</v>
      </c>
      <c r="K35" s="24">
        <v>45017</v>
      </c>
      <c r="L35" s="22"/>
      <c r="M35" s="26"/>
      <c r="N35" s="26"/>
      <c r="O35" s="22"/>
      <c r="P35" s="22"/>
      <c r="Q35" s="22"/>
      <c r="R35" s="22"/>
      <c r="S35" s="23" t="s">
        <v>286</v>
      </c>
      <c r="T35" s="23"/>
      <c r="U35" s="23"/>
      <c r="V35" s="23"/>
      <c r="W35" s="30">
        <v>40513</v>
      </c>
      <c r="X35" s="30">
        <v>40638</v>
      </c>
      <c r="Y35" s="30">
        <v>43525</v>
      </c>
      <c r="Z35" s="31" t="str">
        <f ca="1">DATEDIF(W35,TODAY(),"y")&amp;" Tahun "&amp;DATEDIF(W35,TODAY(),"ym")&amp;" Bulan "&amp;DATEDIF(W35,TODAY(),"md")&amp;" Hari"</f>
        <v>14 Tahun 10 Bulan 30 Hari</v>
      </c>
      <c r="AA35" s="31" t="s">
        <v>287</v>
      </c>
      <c r="AB35" s="32">
        <v>30195</v>
      </c>
      <c r="AC35" s="31" t="s">
        <v>288</v>
      </c>
      <c r="AD35" s="22" t="str">
        <f t="shared" ca="1" si="0"/>
        <v xml:space="preserve">43 Tahun 1 Bulan </v>
      </c>
      <c r="AE35" s="33" t="s">
        <v>282</v>
      </c>
      <c r="AF35" s="34"/>
      <c r="AG35" s="59" t="s">
        <v>255</v>
      </c>
      <c r="AH35" s="22"/>
      <c r="AI35" s="22"/>
      <c r="AJ35" s="22"/>
      <c r="AK35" s="33"/>
      <c r="AL35" s="36"/>
    </row>
    <row r="36" spans="1:39" ht="14.45" customHeight="1" x14ac:dyDescent="0.25">
      <c r="A36" s="17">
        <v>6</v>
      </c>
      <c r="B36" s="18"/>
      <c r="C36" s="50" t="s">
        <v>289</v>
      </c>
      <c r="D36" s="20" t="s">
        <v>5690</v>
      </c>
      <c r="E36" s="52" t="s">
        <v>40</v>
      </c>
      <c r="F36" s="22" t="s">
        <v>5691</v>
      </c>
      <c r="G36" s="22" t="s">
        <v>3872</v>
      </c>
      <c r="H36" s="22" t="s">
        <v>5692</v>
      </c>
      <c r="I36" s="22" t="s">
        <v>155</v>
      </c>
      <c r="J36" s="22" t="s">
        <v>5693</v>
      </c>
      <c r="K36" s="30"/>
      <c r="L36" s="22"/>
      <c r="M36" s="26"/>
      <c r="N36" s="26"/>
      <c r="O36" s="22"/>
      <c r="P36" s="22"/>
      <c r="Q36" s="22"/>
      <c r="R36" s="22"/>
      <c r="S36" s="23" t="s">
        <v>290</v>
      </c>
      <c r="T36" s="23"/>
      <c r="U36" s="23"/>
      <c r="V36" s="23"/>
      <c r="W36" s="77">
        <v>45931</v>
      </c>
      <c r="X36" s="30">
        <v>39965</v>
      </c>
      <c r="Y36" s="30">
        <v>39965</v>
      </c>
      <c r="Z36" s="55" t="str">
        <f t="shared" ref="Z36:Z42" ca="1" si="2">DATEDIF(X36,TODAY(),"y")&amp;" Tahun "&amp;DATEDIF(X36,TODAY(),"ym")&amp;" Bulan "&amp;DATEDIF(X36,TODAY(),"md")&amp;" Hari"</f>
        <v>16 Tahun 4 Bulan 30 Hari</v>
      </c>
      <c r="AA36" s="55" t="s">
        <v>76</v>
      </c>
      <c r="AB36" s="56">
        <v>30465</v>
      </c>
      <c r="AC36" s="31" t="s">
        <v>5694</v>
      </c>
      <c r="AD36" s="57" t="str">
        <f t="shared" ca="1" si="0"/>
        <v xml:space="preserve">42 Tahun 5 Bulan </v>
      </c>
      <c r="AE36" s="33" t="s">
        <v>291</v>
      </c>
      <c r="AF36" s="34"/>
      <c r="AG36" s="59" t="s">
        <v>255</v>
      </c>
      <c r="AH36" s="22"/>
      <c r="AI36" s="22"/>
      <c r="AJ36" s="22"/>
      <c r="AK36" s="33"/>
      <c r="AL36" s="36"/>
    </row>
    <row r="37" spans="1:39" ht="14.45" customHeight="1" x14ac:dyDescent="0.25">
      <c r="A37" s="17">
        <v>7</v>
      </c>
      <c r="B37" s="76"/>
      <c r="C37" s="50" t="s">
        <v>292</v>
      </c>
      <c r="D37" s="20" t="s">
        <v>5695</v>
      </c>
      <c r="E37" s="52" t="s">
        <v>56</v>
      </c>
      <c r="F37" s="22" t="s">
        <v>238</v>
      </c>
      <c r="G37" s="23" t="s">
        <v>3872</v>
      </c>
      <c r="H37" s="22" t="s">
        <v>1078</v>
      </c>
      <c r="I37" s="22" t="s">
        <v>44</v>
      </c>
      <c r="J37" s="22" t="s">
        <v>1079</v>
      </c>
      <c r="K37" s="30"/>
      <c r="L37" s="22"/>
      <c r="M37" s="26"/>
      <c r="N37" s="26"/>
      <c r="O37" s="22"/>
      <c r="P37" s="22"/>
      <c r="Q37" s="22"/>
      <c r="R37" s="22"/>
      <c r="S37" s="23" t="s">
        <v>293</v>
      </c>
      <c r="T37" s="23"/>
      <c r="U37" s="23"/>
      <c r="V37" s="23"/>
      <c r="W37" s="77">
        <v>45931</v>
      </c>
      <c r="X37" s="30">
        <v>39965</v>
      </c>
      <c r="Y37" s="30">
        <v>39965</v>
      </c>
      <c r="Z37" s="55" t="str">
        <f t="shared" ca="1" si="2"/>
        <v>16 Tahun 4 Bulan 30 Hari</v>
      </c>
      <c r="AA37" s="55" t="s">
        <v>294</v>
      </c>
      <c r="AB37" s="56">
        <v>30281</v>
      </c>
      <c r="AC37" s="31" t="s">
        <v>5696</v>
      </c>
      <c r="AD37" s="57" t="str">
        <f t="shared" ca="1" si="0"/>
        <v xml:space="preserve">42 Tahun 11 Bulan </v>
      </c>
      <c r="AE37" s="33" t="s">
        <v>282</v>
      </c>
      <c r="AF37" s="71"/>
      <c r="AG37" s="59" t="s">
        <v>255</v>
      </c>
      <c r="AH37" s="58"/>
      <c r="AI37" s="58"/>
      <c r="AJ37" s="58"/>
      <c r="AK37" s="33"/>
      <c r="AL37" s="36"/>
    </row>
    <row r="38" spans="1:39" ht="14.45" customHeight="1" x14ac:dyDescent="0.25">
      <c r="A38" s="17">
        <v>8</v>
      </c>
      <c r="B38" s="18"/>
      <c r="C38" s="50" t="s">
        <v>295</v>
      </c>
      <c r="D38" s="20" t="s">
        <v>5697</v>
      </c>
      <c r="E38" s="52" t="s">
        <v>56</v>
      </c>
      <c r="F38" s="58" t="s">
        <v>238</v>
      </c>
      <c r="G38" s="33" t="s">
        <v>3872</v>
      </c>
      <c r="H38" s="22" t="s">
        <v>1078</v>
      </c>
      <c r="I38" s="22" t="s">
        <v>155</v>
      </c>
      <c r="J38" s="22" t="s">
        <v>5693</v>
      </c>
      <c r="K38" s="30"/>
      <c r="L38" s="22"/>
      <c r="M38" s="22"/>
      <c r="N38" s="22"/>
      <c r="O38" s="22"/>
      <c r="P38" s="22"/>
      <c r="Q38" s="22"/>
      <c r="R38" s="22"/>
      <c r="S38" s="23" t="s">
        <v>296</v>
      </c>
      <c r="T38" s="23"/>
      <c r="U38" s="23"/>
      <c r="V38" s="23"/>
      <c r="W38" s="77">
        <v>45931</v>
      </c>
      <c r="X38" s="30">
        <v>39085</v>
      </c>
      <c r="Y38" s="30">
        <v>39508</v>
      </c>
      <c r="Z38" s="55" t="str">
        <f t="shared" ca="1" si="2"/>
        <v>18 Tahun 9 Bulan 28 Hari</v>
      </c>
      <c r="AA38" s="55" t="s">
        <v>297</v>
      </c>
      <c r="AB38" s="56">
        <v>30978</v>
      </c>
      <c r="AC38" s="31" t="s">
        <v>5698</v>
      </c>
      <c r="AD38" s="57" t="str">
        <f t="shared" ca="1" si="0"/>
        <v xml:space="preserve">41 Tahun 0 Bulan </v>
      </c>
      <c r="AE38" s="33" t="s">
        <v>282</v>
      </c>
      <c r="AF38" s="71"/>
      <c r="AG38" s="59" t="s">
        <v>255</v>
      </c>
      <c r="AH38" s="58"/>
      <c r="AI38" s="58"/>
      <c r="AJ38" s="58"/>
      <c r="AK38" s="33"/>
      <c r="AL38" s="36"/>
    </row>
    <row r="39" spans="1:39" ht="14.45" customHeight="1" x14ac:dyDescent="0.25">
      <c r="A39" s="17">
        <v>9</v>
      </c>
      <c r="B39" s="18"/>
      <c r="C39" s="50" t="s">
        <v>298</v>
      </c>
      <c r="D39" s="20" t="s">
        <v>5699</v>
      </c>
      <c r="E39" s="22" t="s">
        <v>56</v>
      </c>
      <c r="F39" s="22" t="s">
        <v>238</v>
      </c>
      <c r="G39" s="23" t="s">
        <v>3872</v>
      </c>
      <c r="H39" s="22" t="s">
        <v>239</v>
      </c>
      <c r="I39" s="22" t="s">
        <v>44</v>
      </c>
      <c r="J39" s="22" t="s">
        <v>5074</v>
      </c>
      <c r="K39" s="30"/>
      <c r="L39" s="22"/>
      <c r="M39" s="26"/>
      <c r="N39" s="26"/>
      <c r="O39" s="22"/>
      <c r="P39" s="22"/>
      <c r="Q39" s="22"/>
      <c r="R39" s="22"/>
      <c r="S39" s="23" t="s">
        <v>299</v>
      </c>
      <c r="T39" s="23"/>
      <c r="U39" s="23"/>
      <c r="V39" s="23"/>
      <c r="W39" s="77">
        <v>45931</v>
      </c>
      <c r="X39" s="30">
        <v>42370</v>
      </c>
      <c r="Y39" s="30">
        <v>43525</v>
      </c>
      <c r="Z39" s="31" t="str">
        <f t="shared" ca="1" si="2"/>
        <v>9 Tahun 9 Bulan 30 Hari</v>
      </c>
      <c r="AA39" s="31" t="s">
        <v>300</v>
      </c>
      <c r="AB39" s="32">
        <v>33663</v>
      </c>
      <c r="AC39" s="32" t="s">
        <v>5700</v>
      </c>
      <c r="AD39" s="22" t="str">
        <f t="shared" ca="1" si="0"/>
        <v xml:space="preserve">33 Tahun 8 Bulan </v>
      </c>
      <c r="AE39" s="33" t="s">
        <v>282</v>
      </c>
      <c r="AF39" s="34"/>
      <c r="AG39" s="59" t="s">
        <v>255</v>
      </c>
      <c r="AH39" s="22"/>
      <c r="AI39" s="22"/>
      <c r="AJ39" s="22"/>
      <c r="AK39" s="33" t="s">
        <v>301</v>
      </c>
      <c r="AL39" s="22"/>
    </row>
    <row r="40" spans="1:39" ht="14.45" customHeight="1" x14ac:dyDescent="0.25">
      <c r="A40" s="17">
        <v>10</v>
      </c>
      <c r="B40" s="18"/>
      <c r="C40" s="50" t="s">
        <v>302</v>
      </c>
      <c r="D40" s="20" t="s">
        <v>5701</v>
      </c>
      <c r="E40" s="22" t="s">
        <v>56</v>
      </c>
      <c r="F40" s="22" t="s">
        <v>238</v>
      </c>
      <c r="G40" s="8" t="s">
        <v>3872</v>
      </c>
      <c r="H40" s="22" t="s">
        <v>1078</v>
      </c>
      <c r="I40" s="22" t="s">
        <v>155</v>
      </c>
      <c r="J40" s="22" t="s">
        <v>5693</v>
      </c>
      <c r="K40" s="30"/>
      <c r="L40" s="22"/>
      <c r="M40" s="26"/>
      <c r="N40" s="26"/>
      <c r="O40" s="22"/>
      <c r="P40" s="22"/>
      <c r="Q40" s="22"/>
      <c r="R40" s="22"/>
      <c r="S40" s="33" t="s">
        <v>296</v>
      </c>
      <c r="T40" s="33"/>
      <c r="U40" s="33"/>
      <c r="V40" s="33"/>
      <c r="W40" s="77">
        <v>45931</v>
      </c>
      <c r="X40" s="30">
        <v>42370</v>
      </c>
      <c r="Y40" s="30">
        <v>42401</v>
      </c>
      <c r="Z40" s="31" t="str">
        <f t="shared" ca="1" si="2"/>
        <v>9 Tahun 9 Bulan 30 Hari</v>
      </c>
      <c r="AA40" s="31" t="s">
        <v>303</v>
      </c>
      <c r="AB40" s="32">
        <v>31996</v>
      </c>
      <c r="AC40" s="31" t="s">
        <v>5702</v>
      </c>
      <c r="AD40" s="22" t="str">
        <f t="shared" ca="1" si="0"/>
        <v xml:space="preserve">38 Tahun 2 Bulan </v>
      </c>
      <c r="AE40" s="33" t="s">
        <v>282</v>
      </c>
      <c r="AF40" s="34"/>
      <c r="AG40" s="59" t="s">
        <v>255</v>
      </c>
      <c r="AH40" s="22"/>
      <c r="AI40" s="22"/>
      <c r="AJ40" s="22"/>
      <c r="AK40" s="33"/>
      <c r="AL40" s="36"/>
    </row>
    <row r="41" spans="1:39" ht="14.45" customHeight="1" x14ac:dyDescent="0.25">
      <c r="A41" s="17">
        <v>11</v>
      </c>
      <c r="B41" s="18"/>
      <c r="C41" s="50" t="s">
        <v>5703</v>
      </c>
      <c r="D41" s="42" t="s">
        <v>304</v>
      </c>
      <c r="E41" s="58" t="s">
        <v>56</v>
      </c>
      <c r="F41" s="87" t="s">
        <v>238</v>
      </c>
      <c r="G41" s="33" t="s">
        <v>3872</v>
      </c>
      <c r="H41" s="22" t="s">
        <v>305</v>
      </c>
      <c r="I41" s="22" t="s">
        <v>44</v>
      </c>
      <c r="J41" s="22" t="s">
        <v>306</v>
      </c>
      <c r="K41" s="30"/>
      <c r="L41" s="25"/>
      <c r="M41" s="26"/>
      <c r="N41" s="26"/>
      <c r="O41" s="27"/>
      <c r="P41" s="28"/>
      <c r="Q41" s="29"/>
      <c r="R41" s="26"/>
      <c r="S41" s="23" t="s">
        <v>94</v>
      </c>
      <c r="T41" s="33"/>
      <c r="U41" s="33"/>
      <c r="V41" s="33"/>
      <c r="W41" s="30">
        <v>45047</v>
      </c>
      <c r="X41" s="30">
        <v>45048</v>
      </c>
      <c r="Y41" s="30">
        <v>45048</v>
      </c>
      <c r="Z41" s="55" t="str">
        <f t="shared" ca="1" si="2"/>
        <v>2 Tahun 5 Bulan 29 Hari</v>
      </c>
      <c r="AA41" s="31" t="s">
        <v>76</v>
      </c>
      <c r="AB41" s="32">
        <v>31175</v>
      </c>
      <c r="AC41" s="31" t="s">
        <v>307</v>
      </c>
      <c r="AD41" s="57" t="str">
        <f t="shared" ca="1" si="0"/>
        <v xml:space="preserve">40 Tahun 5 Bulan </v>
      </c>
      <c r="AE41" s="33" t="s">
        <v>282</v>
      </c>
      <c r="AF41" s="71"/>
      <c r="AG41" s="59" t="s">
        <v>255</v>
      </c>
      <c r="AH41" s="58"/>
      <c r="AI41" s="58"/>
      <c r="AJ41" s="58"/>
      <c r="AK41" s="33" t="s">
        <v>308</v>
      </c>
      <c r="AL41" s="22"/>
      <c r="AM41" s="14"/>
    </row>
    <row r="42" spans="1:39" ht="14.45" customHeight="1" x14ac:dyDescent="0.25">
      <c r="A42" s="17">
        <v>12</v>
      </c>
      <c r="B42" s="76"/>
      <c r="C42" s="50" t="s">
        <v>309</v>
      </c>
      <c r="D42" s="20" t="s">
        <v>310</v>
      </c>
      <c r="E42" s="52" t="s">
        <v>56</v>
      </c>
      <c r="F42" s="58" t="s">
        <v>238</v>
      </c>
      <c r="G42" s="89" t="s">
        <v>3872</v>
      </c>
      <c r="H42" s="22" t="s">
        <v>239</v>
      </c>
      <c r="I42" s="58" t="s">
        <v>44</v>
      </c>
      <c r="J42" s="22" t="s">
        <v>311</v>
      </c>
      <c r="K42" s="22"/>
      <c r="L42" s="22"/>
      <c r="M42" s="22"/>
      <c r="N42" s="22"/>
      <c r="O42" s="22"/>
      <c r="P42" s="22"/>
      <c r="Q42" s="22"/>
      <c r="R42" s="22"/>
      <c r="S42" s="23" t="s">
        <v>150</v>
      </c>
      <c r="T42" s="23"/>
      <c r="U42" s="23"/>
      <c r="V42" s="23"/>
      <c r="W42" s="77">
        <v>45047</v>
      </c>
      <c r="X42" s="30">
        <v>39449</v>
      </c>
      <c r="Y42" s="30">
        <v>43399</v>
      </c>
      <c r="Z42" s="55" t="str">
        <f t="shared" ca="1" si="2"/>
        <v>17 Tahun 9 Bulan 29 Hari</v>
      </c>
      <c r="AA42" s="55" t="s">
        <v>312</v>
      </c>
      <c r="AB42" s="56">
        <v>30125</v>
      </c>
      <c r="AC42" s="31" t="s">
        <v>313</v>
      </c>
      <c r="AD42" s="57" t="str">
        <f t="shared" ca="1" si="0"/>
        <v xml:space="preserve">43 Tahun 4 Bulan </v>
      </c>
      <c r="AE42" s="33" t="s">
        <v>282</v>
      </c>
      <c r="AF42" s="70"/>
      <c r="AG42" s="59" t="s">
        <v>255</v>
      </c>
      <c r="AH42" s="58"/>
      <c r="AI42" s="58"/>
      <c r="AJ42" s="58"/>
      <c r="AK42" s="33" t="s">
        <v>314</v>
      </c>
      <c r="AL42" s="36"/>
    </row>
    <row r="43" spans="1:39" ht="14.45" customHeight="1" x14ac:dyDescent="0.25">
      <c r="A43" s="17">
        <v>1</v>
      </c>
      <c r="B43" s="18"/>
      <c r="C43" s="50" t="s">
        <v>315</v>
      </c>
      <c r="D43" s="20" t="s">
        <v>316</v>
      </c>
      <c r="E43" s="52" t="s">
        <v>40</v>
      </c>
      <c r="F43" s="58" t="s">
        <v>41</v>
      </c>
      <c r="G43" s="33" t="s">
        <v>42</v>
      </c>
      <c r="H43" s="22" t="s">
        <v>43</v>
      </c>
      <c r="I43" s="22" t="s">
        <v>44</v>
      </c>
      <c r="J43" s="22" t="s">
        <v>148</v>
      </c>
      <c r="K43" s="24">
        <v>45200</v>
      </c>
      <c r="L43" s="25" t="s">
        <v>317</v>
      </c>
      <c r="M43" s="26">
        <v>42926</v>
      </c>
      <c r="N43" s="26">
        <v>44668</v>
      </c>
      <c r="O43" s="27" t="s">
        <v>84</v>
      </c>
      <c r="P43" s="28" t="s">
        <v>318</v>
      </c>
      <c r="Q43" s="29">
        <v>43026</v>
      </c>
      <c r="R43" s="26">
        <v>44668</v>
      </c>
      <c r="S43" s="23" t="s">
        <v>84</v>
      </c>
      <c r="T43" s="23"/>
      <c r="U43" s="23"/>
      <c r="V43" s="23"/>
      <c r="W43" s="30">
        <v>34394</v>
      </c>
      <c r="X43" s="30">
        <v>34394</v>
      </c>
      <c r="Y43" s="22"/>
      <c r="Z43" s="55" t="str">
        <f ca="1">DATEDIF(W43,TODAY(),"y")&amp;" Tahun "&amp;DATEDIF(W43,TODAY(),"ym")&amp;" Bulan "&amp;DATEDIF(W43,TODAY(),"md")&amp;" Hari"</f>
        <v>31 Tahun 7 Bulan 30 Hari</v>
      </c>
      <c r="AA43" s="55" t="s">
        <v>76</v>
      </c>
      <c r="AB43" s="56">
        <v>26771</v>
      </c>
      <c r="AC43" s="31" t="s">
        <v>319</v>
      </c>
      <c r="AD43" s="57" t="str">
        <f ca="1">DATEDIF(AB43,TODAY(),"y")&amp;" Tahun "&amp;DATEDIF(AB43,TODAY(),"ym")&amp;" Bulan "</f>
        <v xml:space="preserve">52 Tahun 6 Bulan </v>
      </c>
      <c r="AE43" s="33" t="s">
        <v>320</v>
      </c>
      <c r="AF43" s="71"/>
      <c r="AG43" s="58" t="s">
        <v>321</v>
      </c>
      <c r="AH43" s="58"/>
      <c r="AI43" s="58"/>
      <c r="AJ43" s="58"/>
      <c r="AK43" s="33"/>
      <c r="AL43" s="36"/>
    </row>
    <row r="44" spans="1:39" ht="14.45" customHeight="1" x14ac:dyDescent="0.25">
      <c r="A44" s="17">
        <v>1</v>
      </c>
      <c r="B44" s="76">
        <v>76</v>
      </c>
      <c r="C44" s="19" t="s">
        <v>322</v>
      </c>
      <c r="D44" s="20" t="s">
        <v>323</v>
      </c>
      <c r="E44" s="52" t="s">
        <v>40</v>
      </c>
      <c r="F44" s="58" t="s">
        <v>41</v>
      </c>
      <c r="G44" s="38" t="s">
        <v>324</v>
      </c>
      <c r="H44" s="35" t="s">
        <v>116</v>
      </c>
      <c r="I44" s="35" t="s">
        <v>44</v>
      </c>
      <c r="J44" s="22" t="s">
        <v>325</v>
      </c>
      <c r="K44" s="24">
        <v>44287</v>
      </c>
      <c r="L44" s="22"/>
      <c r="M44" s="22"/>
      <c r="N44" s="22"/>
      <c r="O44" s="22"/>
      <c r="P44" s="22"/>
      <c r="Q44" s="22"/>
      <c r="R44" s="22"/>
      <c r="S44" s="23" t="s">
        <v>326</v>
      </c>
      <c r="T44" s="23"/>
      <c r="U44" s="23"/>
      <c r="V44" s="23"/>
      <c r="W44" s="37">
        <v>37226</v>
      </c>
      <c r="X44" s="37">
        <v>43282</v>
      </c>
      <c r="Y44" s="37">
        <v>44317</v>
      </c>
      <c r="Z44" s="55" t="str">
        <f ca="1">DATEDIF(W44,TODAY(),"y")&amp;" Tahun "&amp;DATEDIF(W44,TODAY(),"ym")&amp;" Bulan "&amp;DATEDIF(W44,TODAY(),"md")&amp;" Hari"</f>
        <v>23 Tahun 10 Bulan 30 Hari</v>
      </c>
      <c r="AA44" s="55" t="s">
        <v>128</v>
      </c>
      <c r="AB44" s="56">
        <v>25398</v>
      </c>
      <c r="AC44" s="32" t="s">
        <v>327</v>
      </c>
      <c r="AD44" s="57" t="str">
        <f ca="1">DATEDIF(AB44,TODAY(),"y")&amp;" Tahun "&amp;DATEDIF(AB44,TODAY(),"ym")&amp;" Bulan "</f>
        <v xml:space="preserve">56 Tahun 3 Bulan </v>
      </c>
      <c r="AE44" s="38" t="s">
        <v>328</v>
      </c>
      <c r="AF44" s="71" t="s">
        <v>329</v>
      </c>
      <c r="AG44" s="22" t="s">
        <v>330</v>
      </c>
      <c r="AH44" s="22"/>
      <c r="AI44" s="22"/>
      <c r="AJ44" s="22"/>
      <c r="AK44" s="33"/>
      <c r="AL44" s="36"/>
    </row>
    <row r="45" spans="1:39" ht="14.45" customHeight="1" x14ac:dyDescent="0.25">
      <c r="A45" s="17">
        <v>2</v>
      </c>
      <c r="B45" s="18"/>
      <c r="C45" s="19" t="s">
        <v>331</v>
      </c>
      <c r="D45" s="20" t="s">
        <v>332</v>
      </c>
      <c r="E45" s="21" t="s">
        <v>40</v>
      </c>
      <c r="F45" s="22" t="s">
        <v>41</v>
      </c>
      <c r="G45" s="23" t="s">
        <v>333</v>
      </c>
      <c r="H45" s="22" t="s">
        <v>334</v>
      </c>
      <c r="I45" s="22" t="s">
        <v>44</v>
      </c>
      <c r="J45" s="22" t="s">
        <v>335</v>
      </c>
      <c r="K45" s="24">
        <v>45200</v>
      </c>
      <c r="L45" s="25" t="s">
        <v>336</v>
      </c>
      <c r="M45" s="26">
        <v>42673</v>
      </c>
      <c r="N45" s="26">
        <v>44479</v>
      </c>
      <c r="O45" s="27" t="s">
        <v>118</v>
      </c>
      <c r="P45" s="28" t="s">
        <v>337</v>
      </c>
      <c r="Q45" s="29">
        <v>42674</v>
      </c>
      <c r="R45" s="26">
        <v>44479</v>
      </c>
      <c r="S45" s="33" t="s">
        <v>120</v>
      </c>
      <c r="T45" s="33"/>
      <c r="U45" s="33"/>
      <c r="V45" s="33"/>
      <c r="W45" s="30">
        <v>32813</v>
      </c>
      <c r="X45" s="22"/>
      <c r="Y45" s="30">
        <v>41792</v>
      </c>
      <c r="Z45" s="31" t="str">
        <f ca="1">DATEDIF(W45,TODAY(),"y")&amp;" Tahun "&amp;DATEDIF(W45,TODAY(),"ym")&amp;" Bulan "&amp;DATEDIF(W45,TODAY(),"md")&amp;" Hari"</f>
        <v>35 Tahun 11 Bulan 30 Hari</v>
      </c>
      <c r="AA45" s="31" t="s">
        <v>338</v>
      </c>
      <c r="AB45" s="32">
        <v>23294</v>
      </c>
      <c r="AC45" s="32" t="s">
        <v>339</v>
      </c>
      <c r="AD45" s="22" t="str">
        <f t="shared" ref="AD45:AD72" ca="1" si="3">DATEDIF(AB45,TODAY(),"y")&amp;" Tahun "&amp;DATEDIF(AB45,TODAY(),"ym")&amp;" Bulan "</f>
        <v xml:space="preserve">62 Tahun 0 Bulan </v>
      </c>
      <c r="AE45" s="33" t="s">
        <v>340</v>
      </c>
      <c r="AF45" s="34"/>
      <c r="AG45" s="22" t="s">
        <v>330</v>
      </c>
      <c r="AH45" s="58"/>
      <c r="AI45" s="58"/>
      <c r="AJ45" s="58"/>
      <c r="AK45" s="33"/>
      <c r="AL45" s="22" t="s">
        <v>350</v>
      </c>
    </row>
    <row r="46" spans="1:39" ht="14.45" customHeight="1" x14ac:dyDescent="0.25">
      <c r="A46" s="17">
        <v>3</v>
      </c>
      <c r="B46" s="76"/>
      <c r="C46" s="50" t="s">
        <v>341</v>
      </c>
      <c r="D46" s="20" t="s">
        <v>342</v>
      </c>
      <c r="E46" s="58" t="s">
        <v>40</v>
      </c>
      <c r="F46" s="87" t="s">
        <v>41</v>
      </c>
      <c r="G46" s="33" t="s">
        <v>137</v>
      </c>
      <c r="H46" s="22" t="s">
        <v>138</v>
      </c>
      <c r="I46" s="60" t="s">
        <v>44</v>
      </c>
      <c r="J46" s="60" t="s">
        <v>343</v>
      </c>
      <c r="K46" s="24">
        <v>45505</v>
      </c>
      <c r="L46" s="25" t="s">
        <v>344</v>
      </c>
      <c r="M46" s="26">
        <v>42522</v>
      </c>
      <c r="N46" s="26">
        <v>44700</v>
      </c>
      <c r="O46" s="27" t="s">
        <v>345</v>
      </c>
      <c r="P46" s="28" t="s">
        <v>346</v>
      </c>
      <c r="Q46" s="26">
        <v>42734</v>
      </c>
      <c r="R46" s="26">
        <v>44700</v>
      </c>
      <c r="S46" s="33" t="s">
        <v>347</v>
      </c>
      <c r="T46" s="33"/>
      <c r="U46" s="33"/>
      <c r="V46" s="33"/>
      <c r="W46" s="30">
        <v>43101</v>
      </c>
      <c r="X46" s="30">
        <v>42738</v>
      </c>
      <c r="Y46" s="30">
        <v>42738</v>
      </c>
      <c r="Z46" s="55" t="str">
        <f ca="1">DATEDIF(W46,TODAY(),"y")&amp;" Tahun "&amp;DATEDIF(W46,TODAY(),"ym")&amp;" Bulan "&amp;DATEDIF(W46,TODAY(),"md")&amp;" Hari"</f>
        <v>7 Tahun 9 Bulan 30 Hari</v>
      </c>
      <c r="AA46" s="55" t="s">
        <v>50</v>
      </c>
      <c r="AB46" s="56">
        <v>30821</v>
      </c>
      <c r="AC46" s="31" t="s">
        <v>348</v>
      </c>
      <c r="AD46" s="57" t="str">
        <f t="shared" ca="1" si="3"/>
        <v xml:space="preserve">41 Tahun 5 Bulan </v>
      </c>
      <c r="AE46" s="33" t="s">
        <v>349</v>
      </c>
      <c r="AF46" s="64"/>
      <c r="AG46" s="22" t="s">
        <v>330</v>
      </c>
      <c r="AH46" s="58"/>
      <c r="AI46" s="58"/>
      <c r="AJ46" s="58"/>
      <c r="AK46" s="91"/>
      <c r="AL46" s="36"/>
    </row>
    <row r="47" spans="1:39" ht="14.45" customHeight="1" x14ac:dyDescent="0.25">
      <c r="A47" s="17">
        <v>4</v>
      </c>
      <c r="B47" s="18"/>
      <c r="C47" s="19" t="s">
        <v>351</v>
      </c>
      <c r="D47" s="20" t="s">
        <v>352</v>
      </c>
      <c r="E47" s="58" t="s">
        <v>40</v>
      </c>
      <c r="F47" s="58" t="s">
        <v>41</v>
      </c>
      <c r="G47" s="23" t="s">
        <v>115</v>
      </c>
      <c r="H47" s="22" t="s">
        <v>116</v>
      </c>
      <c r="I47" s="30" t="s">
        <v>44</v>
      </c>
      <c r="J47" s="22" t="s">
        <v>325</v>
      </c>
      <c r="K47" s="24">
        <v>45200</v>
      </c>
      <c r="L47" s="53" t="s">
        <v>353</v>
      </c>
      <c r="M47" s="26">
        <v>43053</v>
      </c>
      <c r="N47" s="26">
        <v>44885</v>
      </c>
      <c r="O47" s="27" t="s">
        <v>354</v>
      </c>
      <c r="P47" s="53" t="s">
        <v>355</v>
      </c>
      <c r="Q47" s="26">
        <v>42674</v>
      </c>
      <c r="R47" s="26">
        <v>44479</v>
      </c>
      <c r="S47" s="23" t="s">
        <v>356</v>
      </c>
      <c r="T47" s="23"/>
      <c r="U47" s="23"/>
      <c r="V47" s="23"/>
      <c r="W47" s="30">
        <v>35490</v>
      </c>
      <c r="X47" s="30">
        <v>42506</v>
      </c>
      <c r="Y47" s="30">
        <v>42506</v>
      </c>
      <c r="Z47" s="55" t="str">
        <f ca="1">DATEDIF(X47,TODAY(),"y")&amp;" Tahun "&amp;DATEDIF(X47,TODAY(),"ym")&amp;" Bulan "&amp;DATEDIF(X47,TODAY(),"md")&amp;" Hari"</f>
        <v>9 Tahun 5 Bulan 15 Hari</v>
      </c>
      <c r="AA47" s="55" t="s">
        <v>141</v>
      </c>
      <c r="AB47" s="56">
        <v>25162</v>
      </c>
      <c r="AC47" s="32" t="s">
        <v>357</v>
      </c>
      <c r="AD47" s="57" t="str">
        <f t="shared" ca="1" si="3"/>
        <v xml:space="preserve">56 Tahun 11 Bulan </v>
      </c>
      <c r="AE47" s="33" t="s">
        <v>358</v>
      </c>
      <c r="AF47" s="71"/>
      <c r="AG47" s="22" t="s">
        <v>330</v>
      </c>
      <c r="AH47" s="65"/>
      <c r="AI47" s="65"/>
      <c r="AJ47" s="65"/>
      <c r="AK47" s="38" t="s">
        <v>112</v>
      </c>
      <c r="AL47" s="38"/>
      <c r="AM47" s="47"/>
    </row>
    <row r="48" spans="1:39" s="47" customFormat="1" ht="14.25" customHeight="1" x14ac:dyDescent="0.25">
      <c r="A48" s="17">
        <v>5</v>
      </c>
      <c r="B48" s="76"/>
      <c r="C48" s="50" t="s">
        <v>359</v>
      </c>
      <c r="D48" s="62" t="s">
        <v>360</v>
      </c>
      <c r="E48" s="92" t="s">
        <v>40</v>
      </c>
      <c r="F48" s="92" t="s">
        <v>41</v>
      </c>
      <c r="G48" s="33" t="s">
        <v>102</v>
      </c>
      <c r="H48" s="22" t="s">
        <v>103</v>
      </c>
      <c r="I48" s="22" t="s">
        <v>44</v>
      </c>
      <c r="J48" s="22" t="s">
        <v>104</v>
      </c>
      <c r="K48" s="24">
        <v>45505</v>
      </c>
      <c r="L48" s="25" t="s">
        <v>361</v>
      </c>
      <c r="M48" s="26">
        <v>42158</v>
      </c>
      <c r="N48" s="26">
        <v>43985</v>
      </c>
      <c r="O48" s="27" t="s">
        <v>362</v>
      </c>
      <c r="P48" s="28" t="s">
        <v>363</v>
      </c>
      <c r="Q48" s="29">
        <v>42439</v>
      </c>
      <c r="R48" s="26">
        <v>43985</v>
      </c>
      <c r="S48" s="38" t="s">
        <v>364</v>
      </c>
      <c r="T48" s="38"/>
      <c r="U48" s="38"/>
      <c r="V48" s="38"/>
      <c r="W48" s="30">
        <v>44166</v>
      </c>
      <c r="X48" s="30">
        <v>42217</v>
      </c>
      <c r="Y48" s="30">
        <v>42217</v>
      </c>
      <c r="Z48" s="55" t="str">
        <f ca="1">DATEDIF(X48,TODAY(),"y")&amp;" Tahun "&amp;DATEDIF(X48,TODAY(),"ym")&amp;" Bulan "&amp;DATEDIF(X48,TODAY(),"md")&amp;" Hari"</f>
        <v>10 Tahun 2 Bulan 30 Hari</v>
      </c>
      <c r="AA48" s="93" t="s">
        <v>97</v>
      </c>
      <c r="AB48" s="94">
        <v>30885</v>
      </c>
      <c r="AC48" s="31" t="s">
        <v>365</v>
      </c>
      <c r="AD48" s="57" t="str">
        <f t="shared" ca="1" si="3"/>
        <v xml:space="preserve">41 Tahun 3 Bulan </v>
      </c>
      <c r="AE48" s="38" t="s">
        <v>366</v>
      </c>
      <c r="AF48" s="64"/>
      <c r="AG48" s="22" t="s">
        <v>330</v>
      </c>
      <c r="AH48" s="38"/>
      <c r="AI48" s="38"/>
      <c r="AJ48" s="38"/>
      <c r="AK48" s="38" t="s">
        <v>112</v>
      </c>
      <c r="AL48" s="38" t="s">
        <v>375</v>
      </c>
    </row>
    <row r="49" spans="1:39" ht="14.45" customHeight="1" x14ac:dyDescent="0.25">
      <c r="A49" s="17">
        <v>6</v>
      </c>
      <c r="B49" s="18"/>
      <c r="C49" s="50" t="s">
        <v>367</v>
      </c>
      <c r="D49" s="62" t="s">
        <v>368</v>
      </c>
      <c r="E49" s="35" t="s">
        <v>40</v>
      </c>
      <c r="F49" s="35" t="s">
        <v>41</v>
      </c>
      <c r="G49" s="33" t="s">
        <v>102</v>
      </c>
      <c r="H49" s="22" t="s">
        <v>103</v>
      </c>
      <c r="I49" s="30" t="s">
        <v>44</v>
      </c>
      <c r="J49" s="22" t="s">
        <v>343</v>
      </c>
      <c r="K49" s="24">
        <v>45505</v>
      </c>
      <c r="L49" s="25" t="s">
        <v>369</v>
      </c>
      <c r="M49" s="26">
        <v>42814</v>
      </c>
      <c r="N49" s="26">
        <v>44921</v>
      </c>
      <c r="O49" s="27" t="s">
        <v>370</v>
      </c>
      <c r="P49" s="28" t="s">
        <v>371</v>
      </c>
      <c r="Q49" s="29">
        <v>42864</v>
      </c>
      <c r="R49" s="26">
        <v>44917</v>
      </c>
      <c r="S49" s="38" t="s">
        <v>372</v>
      </c>
      <c r="T49" s="38"/>
      <c r="U49" s="38"/>
      <c r="V49" s="38"/>
      <c r="W49" s="30">
        <v>44166</v>
      </c>
      <c r="X49" s="37">
        <v>42814</v>
      </c>
      <c r="Y49" s="95">
        <v>42814</v>
      </c>
      <c r="Z49" s="31" t="str">
        <f ca="1">DATEDIF(X49,TODAY(),"y")&amp;" Tahun "&amp;DATEDIF(X49,TODAY(),"ym")&amp;" Bulan "&amp;DATEDIF(X49,TODAY(),"md")&amp;" Hari"</f>
        <v>8 Tahun 7 Bulan 11 Hari</v>
      </c>
      <c r="AA49" s="63" t="s">
        <v>76</v>
      </c>
      <c r="AB49" s="39">
        <v>31406</v>
      </c>
      <c r="AC49" s="31" t="s">
        <v>373</v>
      </c>
      <c r="AD49" s="22" t="str">
        <f t="shared" ca="1" si="3"/>
        <v xml:space="preserve">39 Tahun 10 Bulan </v>
      </c>
      <c r="AE49" s="38" t="s">
        <v>374</v>
      </c>
      <c r="AF49" s="96"/>
      <c r="AG49" s="22" t="s">
        <v>330</v>
      </c>
      <c r="AH49" s="22"/>
      <c r="AI49" s="22"/>
      <c r="AJ49" s="22"/>
      <c r="AK49" s="38" t="s">
        <v>385</v>
      </c>
      <c r="AL49" s="22" t="s">
        <v>386</v>
      </c>
      <c r="AM49" s="14"/>
    </row>
    <row r="50" spans="1:39" ht="14.45" customHeight="1" x14ac:dyDescent="0.25">
      <c r="A50" s="17">
        <v>7</v>
      </c>
      <c r="B50" s="18"/>
      <c r="C50" s="50" t="s">
        <v>376</v>
      </c>
      <c r="D50" s="20" t="s">
        <v>377</v>
      </c>
      <c r="E50" s="22" t="s">
        <v>56</v>
      </c>
      <c r="F50" s="22" t="s">
        <v>41</v>
      </c>
      <c r="G50" s="23" t="s">
        <v>227</v>
      </c>
      <c r="H50" s="22" t="s">
        <v>228</v>
      </c>
      <c r="I50" s="22" t="s">
        <v>44</v>
      </c>
      <c r="J50" s="22" t="s">
        <v>378</v>
      </c>
      <c r="K50" s="30">
        <v>44621</v>
      </c>
      <c r="L50" s="25" t="s">
        <v>379</v>
      </c>
      <c r="M50" s="26">
        <v>42332</v>
      </c>
      <c r="N50" s="26">
        <v>44159</v>
      </c>
      <c r="O50" s="27" t="s">
        <v>380</v>
      </c>
      <c r="P50" s="28" t="s">
        <v>381</v>
      </c>
      <c r="Q50" s="26">
        <v>42860</v>
      </c>
      <c r="R50" s="26">
        <v>44159</v>
      </c>
      <c r="S50" s="23" t="s">
        <v>382</v>
      </c>
      <c r="T50" s="23"/>
      <c r="U50" s="33"/>
      <c r="V50" s="33"/>
      <c r="W50" s="30">
        <v>44621</v>
      </c>
      <c r="X50" s="30">
        <v>42826</v>
      </c>
      <c r="Y50" s="30">
        <v>43472</v>
      </c>
      <c r="Z50" s="31" t="str">
        <f ca="1">DATEDIF(X50,TODAY(),"y")&amp;" Tahun "&amp;DATEDIF(X50,TODAY(),"ym")&amp;" Bulan "&amp;DATEDIF(X50,TODAY(),"md")&amp;" Hari"</f>
        <v>8 Tahun 6 Bulan 30 Hari</v>
      </c>
      <c r="AA50" s="31" t="s">
        <v>97</v>
      </c>
      <c r="AB50" s="32">
        <v>29933</v>
      </c>
      <c r="AC50" s="31" t="s">
        <v>383</v>
      </c>
      <c r="AD50" s="22" t="str">
        <f t="shared" ca="1" si="3"/>
        <v xml:space="preserve">43 Tahun 10 Bulan </v>
      </c>
      <c r="AE50" s="33" t="s">
        <v>384</v>
      </c>
      <c r="AF50" s="34"/>
      <c r="AG50" s="22" t="s">
        <v>330</v>
      </c>
      <c r="AH50" s="22"/>
      <c r="AI50" s="22"/>
      <c r="AJ50" s="22"/>
      <c r="AK50" s="33"/>
      <c r="AL50" s="36"/>
    </row>
    <row r="51" spans="1:39" ht="14.45" customHeight="1" x14ac:dyDescent="0.25">
      <c r="A51" s="17">
        <v>8</v>
      </c>
      <c r="B51" s="18"/>
      <c r="C51" s="50" t="s">
        <v>387</v>
      </c>
      <c r="D51" s="20" t="s">
        <v>388</v>
      </c>
      <c r="E51" s="21" t="s">
        <v>56</v>
      </c>
      <c r="F51" s="22" t="s">
        <v>41</v>
      </c>
      <c r="G51" s="23" t="s">
        <v>42</v>
      </c>
      <c r="H51" s="22" t="s">
        <v>43</v>
      </c>
      <c r="I51" s="22" t="s">
        <v>44</v>
      </c>
      <c r="J51" s="22" t="s">
        <v>45</v>
      </c>
      <c r="K51" s="24">
        <v>45200</v>
      </c>
      <c r="L51" s="25" t="s">
        <v>389</v>
      </c>
      <c r="M51" s="26">
        <v>42747</v>
      </c>
      <c r="N51" s="26">
        <v>44773</v>
      </c>
      <c r="O51" s="27" t="s">
        <v>390</v>
      </c>
      <c r="P51" s="28" t="s">
        <v>391</v>
      </c>
      <c r="Q51" s="26">
        <v>42821</v>
      </c>
      <c r="R51" s="26">
        <v>44773</v>
      </c>
      <c r="S51" s="33" t="s">
        <v>392</v>
      </c>
      <c r="T51" s="33"/>
      <c r="U51" s="33"/>
      <c r="V51" s="33"/>
      <c r="W51" s="30">
        <v>36220</v>
      </c>
      <c r="X51" s="30">
        <v>39203</v>
      </c>
      <c r="Y51" s="30">
        <v>41792</v>
      </c>
      <c r="Z51" s="31" t="str">
        <f ca="1">DATEDIF(W51,TODAY(),"y")&amp;" Tahun "&amp;DATEDIF(W51,TODAY(),"ym")&amp;" Bulan "&amp;DATEDIF(W51,TODAY(),"md")&amp;" Hari"</f>
        <v>26 Tahun 7 Bulan 30 Hari</v>
      </c>
      <c r="AA51" s="31" t="s">
        <v>393</v>
      </c>
      <c r="AB51" s="32">
        <v>25415</v>
      </c>
      <c r="AC51" s="31" t="s">
        <v>394</v>
      </c>
      <c r="AD51" s="22" t="str">
        <f t="shared" ca="1" si="3"/>
        <v xml:space="preserve">56 Tahun 3 Bulan </v>
      </c>
      <c r="AE51" s="33" t="s">
        <v>395</v>
      </c>
      <c r="AF51" s="34"/>
      <c r="AG51" s="22" t="s">
        <v>330</v>
      </c>
      <c r="AH51" s="22"/>
      <c r="AI51" s="22"/>
      <c r="AJ51" s="22"/>
      <c r="AK51" s="33"/>
      <c r="AL51" s="22"/>
    </row>
    <row r="52" spans="1:39" ht="14.45" customHeight="1" x14ac:dyDescent="0.25">
      <c r="A52" s="17">
        <v>9</v>
      </c>
      <c r="B52" s="76"/>
      <c r="C52" s="50" t="s">
        <v>396</v>
      </c>
      <c r="D52" s="20" t="s">
        <v>397</v>
      </c>
      <c r="E52" s="35" t="s">
        <v>56</v>
      </c>
      <c r="F52" s="22" t="s">
        <v>41</v>
      </c>
      <c r="G52" s="33" t="s">
        <v>227</v>
      </c>
      <c r="H52" s="22" t="s">
        <v>228</v>
      </c>
      <c r="I52" s="22" t="s">
        <v>44</v>
      </c>
      <c r="J52" s="22" t="s">
        <v>378</v>
      </c>
      <c r="K52" s="24">
        <v>44621</v>
      </c>
      <c r="L52" s="53"/>
      <c r="M52" s="26"/>
      <c r="N52" s="26"/>
      <c r="O52" s="27"/>
      <c r="P52" s="28"/>
      <c r="Q52" s="29"/>
      <c r="R52" s="26"/>
      <c r="S52" s="38" t="s">
        <v>398</v>
      </c>
      <c r="T52" s="33"/>
      <c r="U52" s="33"/>
      <c r="V52" s="33"/>
      <c r="W52" s="30">
        <v>44621</v>
      </c>
      <c r="X52" s="30">
        <v>44621</v>
      </c>
      <c r="Y52" s="30">
        <v>44621</v>
      </c>
      <c r="Z52" s="55" t="str">
        <f ca="1">DATEDIF(W52,TODAY(),"y")&amp;" Tahun "&amp;DATEDIF(W52,TODAY(),"ym")&amp;" Bulan "&amp;DATEDIF(W52,TODAY(),"md")&amp;" Hari"</f>
        <v>3 Tahun 7 Bulan 30 Hari</v>
      </c>
      <c r="AA52" s="55" t="s">
        <v>297</v>
      </c>
      <c r="AB52" s="56">
        <v>30033</v>
      </c>
      <c r="AC52" s="31" t="s">
        <v>399</v>
      </c>
      <c r="AD52" s="57" t="str">
        <f t="shared" ca="1" si="3"/>
        <v xml:space="preserve">43 Tahun 7 Bulan </v>
      </c>
      <c r="AE52" s="38" t="s">
        <v>400</v>
      </c>
      <c r="AF52" s="34"/>
      <c r="AG52" s="22" t="s">
        <v>330</v>
      </c>
      <c r="AH52" s="58"/>
      <c r="AI52" s="58"/>
      <c r="AJ52" s="58"/>
      <c r="AK52" s="33"/>
      <c r="AL52" s="22"/>
    </row>
    <row r="53" spans="1:39" s="47" customFormat="1" ht="14.25" customHeight="1" x14ac:dyDescent="0.25">
      <c r="A53" s="17">
        <v>10</v>
      </c>
      <c r="B53" s="18"/>
      <c r="C53" s="50" t="s">
        <v>401</v>
      </c>
      <c r="D53" s="20" t="s">
        <v>402</v>
      </c>
      <c r="E53" s="52" t="s">
        <v>56</v>
      </c>
      <c r="F53" s="58" t="s">
        <v>41</v>
      </c>
      <c r="G53" s="33" t="s">
        <v>227</v>
      </c>
      <c r="H53" s="22" t="s">
        <v>228</v>
      </c>
      <c r="I53" s="22" t="s">
        <v>44</v>
      </c>
      <c r="J53" s="22" t="s">
        <v>378</v>
      </c>
      <c r="K53" s="24">
        <v>44621</v>
      </c>
      <c r="L53" s="25"/>
      <c r="M53" s="26"/>
      <c r="N53" s="26"/>
      <c r="O53" s="27"/>
      <c r="P53" s="28"/>
      <c r="Q53" s="26"/>
      <c r="R53" s="26"/>
      <c r="S53" s="33" t="s">
        <v>403</v>
      </c>
      <c r="T53" s="33"/>
      <c r="U53" s="33"/>
      <c r="V53" s="33"/>
      <c r="W53" s="30">
        <v>44621</v>
      </c>
      <c r="X53" s="77">
        <v>44621</v>
      </c>
      <c r="Y53" s="77">
        <v>44621</v>
      </c>
      <c r="Z53" s="55" t="str">
        <f ca="1">DATEDIF(W53,TODAY(),"y")&amp;" Tahun "&amp;DATEDIF(W53,TODAY(),"ym")&amp;" Bulan "&amp;DATEDIF(W53,TODAY(),"md")&amp;" Hari"</f>
        <v>3 Tahun 7 Bulan 30 Hari</v>
      </c>
      <c r="AA53" s="55" t="s">
        <v>97</v>
      </c>
      <c r="AB53" s="56">
        <v>31480</v>
      </c>
      <c r="AC53" s="32" t="s">
        <v>404</v>
      </c>
      <c r="AD53" s="57" t="str">
        <f t="shared" ca="1" si="3"/>
        <v xml:space="preserve">39 Tahun 7 Bulan </v>
      </c>
      <c r="AE53" s="33" t="s">
        <v>405</v>
      </c>
      <c r="AF53" s="71"/>
      <c r="AG53" s="22" t="s">
        <v>330</v>
      </c>
      <c r="AH53" s="22"/>
      <c r="AI53" s="22"/>
      <c r="AJ53" s="60"/>
      <c r="AK53" s="61"/>
      <c r="AL53" s="22"/>
      <c r="AM53" s="13"/>
    </row>
    <row r="54" spans="1:39" s="47" customFormat="1" ht="14.25" customHeight="1" x14ac:dyDescent="0.25">
      <c r="A54" s="17">
        <v>11</v>
      </c>
      <c r="B54" s="18"/>
      <c r="C54" s="19" t="s">
        <v>406</v>
      </c>
      <c r="D54" s="20" t="s">
        <v>407</v>
      </c>
      <c r="E54" s="52" t="s">
        <v>40</v>
      </c>
      <c r="F54" s="22" t="s">
        <v>41</v>
      </c>
      <c r="G54" s="23" t="s">
        <v>115</v>
      </c>
      <c r="H54" s="22" t="s">
        <v>116</v>
      </c>
      <c r="I54" s="22" t="s">
        <v>44</v>
      </c>
      <c r="J54" s="22" t="s">
        <v>45</v>
      </c>
      <c r="K54" s="24">
        <v>44287</v>
      </c>
      <c r="L54" s="53" t="s">
        <v>408</v>
      </c>
      <c r="M54" s="26">
        <v>43328</v>
      </c>
      <c r="N54" s="26">
        <v>45229</v>
      </c>
      <c r="O54" s="27" t="s">
        <v>409</v>
      </c>
      <c r="P54" s="53" t="s">
        <v>410</v>
      </c>
      <c r="Q54" s="26">
        <v>43367</v>
      </c>
      <c r="R54" s="26">
        <v>45229</v>
      </c>
      <c r="S54" s="33" t="s">
        <v>411</v>
      </c>
      <c r="T54" s="33"/>
      <c r="U54" s="33"/>
      <c r="V54" s="33"/>
      <c r="W54" s="30">
        <v>36708</v>
      </c>
      <c r="X54" s="30">
        <v>39479</v>
      </c>
      <c r="Y54" s="22"/>
      <c r="Z54" s="55" t="str">
        <f ca="1">DATEDIF(W54,TODAY(),"y")&amp;" Tahun "&amp;DATEDIF(W54,TODAY(),"ym")&amp;" Bulan "&amp;DATEDIF(W54,TODAY(),"md")&amp;" Hari"</f>
        <v>25 Tahun 3 Bulan 30 Hari</v>
      </c>
      <c r="AA54" s="55" t="s">
        <v>412</v>
      </c>
      <c r="AB54" s="56">
        <v>24775</v>
      </c>
      <c r="AC54" s="31" t="s">
        <v>413</v>
      </c>
      <c r="AD54" s="57" t="str">
        <f t="shared" ca="1" si="3"/>
        <v xml:space="preserve">58 Tahun 0 Bulan </v>
      </c>
      <c r="AE54" s="33" t="s">
        <v>414</v>
      </c>
      <c r="AF54" s="79"/>
      <c r="AG54" s="22" t="s">
        <v>330</v>
      </c>
      <c r="AH54" s="58"/>
      <c r="AI54" s="58"/>
      <c r="AJ54" s="87"/>
      <c r="AK54" s="61"/>
      <c r="AL54" s="22"/>
      <c r="AM54" s="13"/>
    </row>
    <row r="55" spans="1:39" ht="14.45" customHeight="1" x14ac:dyDescent="0.25">
      <c r="A55" s="17">
        <v>12</v>
      </c>
      <c r="B55" s="18"/>
      <c r="C55" s="50" t="s">
        <v>415</v>
      </c>
      <c r="D55" s="20" t="s">
        <v>416</v>
      </c>
      <c r="E55" s="58" t="s">
        <v>40</v>
      </c>
      <c r="F55" s="58" t="s">
        <v>41</v>
      </c>
      <c r="G55" s="23" t="s">
        <v>102</v>
      </c>
      <c r="H55" s="22" t="s">
        <v>103</v>
      </c>
      <c r="I55" s="22" t="s">
        <v>44</v>
      </c>
      <c r="J55" s="22" t="s">
        <v>378</v>
      </c>
      <c r="K55" s="24">
        <v>44470</v>
      </c>
      <c r="L55" s="25" t="s">
        <v>417</v>
      </c>
      <c r="M55" s="26">
        <v>41765</v>
      </c>
      <c r="N55" s="26">
        <v>43591</v>
      </c>
      <c r="O55" s="27" t="s">
        <v>47</v>
      </c>
      <c r="P55" s="28" t="s">
        <v>418</v>
      </c>
      <c r="Q55" s="29">
        <v>42513</v>
      </c>
      <c r="R55" s="26">
        <v>43591</v>
      </c>
      <c r="S55" s="33" t="s">
        <v>419</v>
      </c>
      <c r="T55" s="33"/>
      <c r="U55" s="33"/>
      <c r="V55" s="33"/>
      <c r="W55" s="30">
        <v>41974</v>
      </c>
      <c r="X55" s="30">
        <v>41760</v>
      </c>
      <c r="Y55" s="30">
        <v>41791</v>
      </c>
      <c r="Z55" s="55" t="str">
        <f ca="1">DATEDIF(X55,TODAY(),"y")&amp;" Tahun "&amp;DATEDIF(X55,TODAY(),"ym")&amp;" Bulan "&amp;DATEDIF(X55,TODAY(),"md")&amp;" Hari"</f>
        <v>11 Tahun 5 Bulan 30 Hari</v>
      </c>
      <c r="AA55" s="55" t="s">
        <v>50</v>
      </c>
      <c r="AB55" s="56">
        <v>28349</v>
      </c>
      <c r="AC55" s="31" t="s">
        <v>420</v>
      </c>
      <c r="AD55" s="57" t="str">
        <f t="shared" ca="1" si="3"/>
        <v xml:space="preserve">48 Tahun 2 Bulan </v>
      </c>
      <c r="AE55" s="33" t="s">
        <v>421</v>
      </c>
      <c r="AF55" s="71"/>
      <c r="AG55" s="22" t="s">
        <v>330</v>
      </c>
      <c r="AH55" s="22"/>
      <c r="AI55" s="22"/>
      <c r="AJ55" s="22"/>
      <c r="AK55" s="33"/>
      <c r="AL55" s="36"/>
    </row>
    <row r="56" spans="1:39" ht="14.45" customHeight="1" x14ac:dyDescent="0.25">
      <c r="A56" s="17">
        <v>13</v>
      </c>
      <c r="B56" s="18"/>
      <c r="C56" s="50" t="s">
        <v>422</v>
      </c>
      <c r="D56" s="20" t="s">
        <v>423</v>
      </c>
      <c r="E56" s="21" t="s">
        <v>56</v>
      </c>
      <c r="F56" s="22" t="s">
        <v>41</v>
      </c>
      <c r="G56" s="23" t="s">
        <v>57</v>
      </c>
      <c r="H56" s="22" t="s">
        <v>58</v>
      </c>
      <c r="I56" s="22" t="s">
        <v>44</v>
      </c>
      <c r="J56" s="22" t="s">
        <v>325</v>
      </c>
      <c r="K56" s="24">
        <v>45505</v>
      </c>
      <c r="L56" s="25" t="s">
        <v>424</v>
      </c>
      <c r="M56" s="26">
        <v>42821</v>
      </c>
      <c r="N56" s="26">
        <v>44718</v>
      </c>
      <c r="O56" s="27" t="s">
        <v>425</v>
      </c>
      <c r="P56" s="28" t="s">
        <v>426</v>
      </c>
      <c r="Q56" s="29">
        <v>42968</v>
      </c>
      <c r="R56" s="26">
        <v>44718</v>
      </c>
      <c r="S56" s="33" t="s">
        <v>427</v>
      </c>
      <c r="T56" s="33"/>
      <c r="U56" s="33"/>
      <c r="V56" s="33"/>
      <c r="W56" s="30">
        <v>41974</v>
      </c>
      <c r="X56" s="30">
        <v>41030</v>
      </c>
      <c r="Y56" s="30">
        <v>41792</v>
      </c>
      <c r="Z56" s="31" t="str">
        <f ca="1">DATEDIF(X56,TODAY(),"y")&amp;" Tahun "&amp;DATEDIF(X56,TODAY(),"ym")&amp;" Bulan "&amp;DATEDIF(X56,TODAY(),"md")&amp;" Hari"</f>
        <v>13 Tahun 5 Bulan 30 Hari</v>
      </c>
      <c r="AA56" s="31" t="s">
        <v>428</v>
      </c>
      <c r="AB56" s="32">
        <v>28282</v>
      </c>
      <c r="AC56" s="31" t="s">
        <v>429</v>
      </c>
      <c r="AD56" s="22" t="str">
        <f t="shared" ca="1" si="3"/>
        <v xml:space="preserve">48 Tahun 4 Bulan </v>
      </c>
      <c r="AE56" s="33" t="s">
        <v>430</v>
      </c>
      <c r="AF56" s="34"/>
      <c r="AG56" s="22" t="s">
        <v>330</v>
      </c>
      <c r="AH56" s="22"/>
      <c r="AI56" s="22"/>
      <c r="AJ56" s="22"/>
      <c r="AK56" s="33"/>
      <c r="AL56" s="36"/>
    </row>
    <row r="57" spans="1:39" ht="14.45" customHeight="1" x14ac:dyDescent="0.25">
      <c r="A57" s="17">
        <v>14</v>
      </c>
      <c r="B57" s="18"/>
      <c r="C57" s="50" t="s">
        <v>431</v>
      </c>
      <c r="D57" s="20" t="s">
        <v>432</v>
      </c>
      <c r="E57" s="21" t="s">
        <v>56</v>
      </c>
      <c r="F57" s="22" t="s">
        <v>41</v>
      </c>
      <c r="G57" s="23" t="s">
        <v>57</v>
      </c>
      <c r="H57" s="22" t="s">
        <v>58</v>
      </c>
      <c r="I57" s="22" t="s">
        <v>44</v>
      </c>
      <c r="J57" s="22" t="s">
        <v>325</v>
      </c>
      <c r="K57" s="24">
        <v>45505</v>
      </c>
      <c r="L57" s="25" t="s">
        <v>433</v>
      </c>
      <c r="M57" s="26">
        <v>41604</v>
      </c>
      <c r="N57" s="26">
        <v>43430</v>
      </c>
      <c r="O57" s="27" t="s">
        <v>434</v>
      </c>
      <c r="P57" s="28" t="s">
        <v>435</v>
      </c>
      <c r="Q57" s="29">
        <v>41712</v>
      </c>
      <c r="R57" s="26">
        <v>43430</v>
      </c>
      <c r="S57" s="33" t="s">
        <v>436</v>
      </c>
      <c r="T57" s="33"/>
      <c r="U57" s="33"/>
      <c r="V57" s="33"/>
      <c r="W57" s="30">
        <v>37956</v>
      </c>
      <c r="X57" s="30">
        <v>37653</v>
      </c>
      <c r="Y57" s="30">
        <v>41791</v>
      </c>
      <c r="Z57" s="31" t="str">
        <f ca="1">DATEDIF(W57,TODAY(),"y")&amp;" Tahun "&amp;DATEDIF(W57,TODAY(),"ym")&amp;" Bulan "&amp;DATEDIF(W57,TODAY(),"md")&amp;" Hari"</f>
        <v>21 Tahun 10 Bulan 30 Hari</v>
      </c>
      <c r="AA57" s="31" t="s">
        <v>437</v>
      </c>
      <c r="AB57" s="32">
        <v>27697</v>
      </c>
      <c r="AC57" s="31" t="s">
        <v>438</v>
      </c>
      <c r="AD57" s="22" t="str">
        <f t="shared" ca="1" si="3"/>
        <v xml:space="preserve">50 Tahun 0 Bulan </v>
      </c>
      <c r="AE57" s="33" t="s">
        <v>439</v>
      </c>
      <c r="AF57" s="34"/>
      <c r="AG57" s="22" t="s">
        <v>330</v>
      </c>
      <c r="AH57" s="22"/>
      <c r="AI57" s="22"/>
      <c r="AJ57" s="22"/>
      <c r="AK57" s="33"/>
      <c r="AL57" s="36"/>
    </row>
    <row r="58" spans="1:39" ht="14.45" customHeight="1" x14ac:dyDescent="0.25">
      <c r="A58" s="17">
        <v>15</v>
      </c>
      <c r="B58" s="18"/>
      <c r="C58" s="50" t="s">
        <v>440</v>
      </c>
      <c r="D58" s="20" t="s">
        <v>441</v>
      </c>
      <c r="E58" s="21" t="s">
        <v>56</v>
      </c>
      <c r="F58" s="22" t="s">
        <v>41</v>
      </c>
      <c r="G58" s="23" t="s">
        <v>115</v>
      </c>
      <c r="H58" s="22" t="s">
        <v>116</v>
      </c>
      <c r="I58" s="22" t="s">
        <v>44</v>
      </c>
      <c r="J58" s="22" t="s">
        <v>45</v>
      </c>
      <c r="K58" s="24">
        <v>45931</v>
      </c>
      <c r="L58" s="25" t="s">
        <v>442</v>
      </c>
      <c r="M58" s="26">
        <v>41800</v>
      </c>
      <c r="N58" s="26">
        <v>43515</v>
      </c>
      <c r="O58" s="27" t="s">
        <v>443</v>
      </c>
      <c r="P58" s="28" t="s">
        <v>444</v>
      </c>
      <c r="Q58" s="26">
        <v>41865</v>
      </c>
      <c r="R58" s="26">
        <v>43515</v>
      </c>
      <c r="S58" s="33" t="s">
        <v>445</v>
      </c>
      <c r="T58" s="33"/>
      <c r="U58" s="33"/>
      <c r="V58" s="33"/>
      <c r="W58" s="30">
        <v>40148</v>
      </c>
      <c r="X58" s="30">
        <v>39965</v>
      </c>
      <c r="Y58" s="22"/>
      <c r="Z58" s="31" t="str">
        <f ca="1">DATEDIF(W58,TODAY(),"y")&amp;" Tahun "&amp;DATEDIF(W58,TODAY(),"ym")&amp;" Bulan "&amp;DATEDIF(W58,TODAY(),"md")&amp;" Hari"</f>
        <v>15 Tahun 10 Bulan 30 Hari</v>
      </c>
      <c r="AA58" s="31" t="s">
        <v>97</v>
      </c>
      <c r="AB58" s="32">
        <v>28807</v>
      </c>
      <c r="AC58" s="31" t="s">
        <v>446</v>
      </c>
      <c r="AD58" s="22" t="str">
        <f t="shared" ca="1" si="3"/>
        <v xml:space="preserve">46 Tahun 11 Bulan </v>
      </c>
      <c r="AE58" s="33" t="s">
        <v>447</v>
      </c>
      <c r="AF58" s="34"/>
      <c r="AG58" s="22" t="s">
        <v>330</v>
      </c>
      <c r="AH58" s="22"/>
      <c r="AI58" s="22"/>
      <c r="AJ58" s="22"/>
      <c r="AK58" s="33"/>
      <c r="AL58" s="36"/>
    </row>
    <row r="59" spans="1:39" ht="14.45" customHeight="1" x14ac:dyDescent="0.25">
      <c r="A59" s="17">
        <v>16</v>
      </c>
      <c r="B59" s="18"/>
      <c r="C59" s="50" t="s">
        <v>448</v>
      </c>
      <c r="D59" s="20" t="s">
        <v>449</v>
      </c>
      <c r="E59" s="21" t="s">
        <v>40</v>
      </c>
      <c r="F59" s="22" t="s">
        <v>41</v>
      </c>
      <c r="G59" s="23" t="s">
        <v>42</v>
      </c>
      <c r="H59" s="22" t="s">
        <v>43</v>
      </c>
      <c r="I59" s="22" t="s">
        <v>44</v>
      </c>
      <c r="J59" s="22" t="s">
        <v>325</v>
      </c>
      <c r="K59" s="24">
        <v>45931</v>
      </c>
      <c r="L59" s="25" t="s">
        <v>450</v>
      </c>
      <c r="M59" s="26">
        <v>41969</v>
      </c>
      <c r="N59" s="26">
        <v>43892</v>
      </c>
      <c r="O59" s="27" t="s">
        <v>451</v>
      </c>
      <c r="P59" s="28" t="s">
        <v>452</v>
      </c>
      <c r="Q59" s="29">
        <v>42059</v>
      </c>
      <c r="R59" s="26">
        <v>43892</v>
      </c>
      <c r="S59" s="33" t="s">
        <v>453</v>
      </c>
      <c r="T59" s="33"/>
      <c r="U59" s="33"/>
      <c r="V59" s="33"/>
      <c r="W59" s="30">
        <v>39783</v>
      </c>
      <c r="X59" s="30">
        <v>40026</v>
      </c>
      <c r="Y59" s="30">
        <v>40026</v>
      </c>
      <c r="Z59" s="31" t="str">
        <f ca="1">DATEDIF(W59,TODAY(),"y")&amp;" Tahun "&amp;DATEDIF(W59,TODAY(),"ym")&amp;" Bulan "&amp;DATEDIF(W59,TODAY(),"md")&amp;" Hari"</f>
        <v>16 Tahun 10 Bulan 30 Hari</v>
      </c>
      <c r="AA59" s="31" t="s">
        <v>437</v>
      </c>
      <c r="AB59" s="32">
        <v>28988</v>
      </c>
      <c r="AC59" s="31" t="s">
        <v>454</v>
      </c>
      <c r="AD59" s="22" t="str">
        <f t="shared" ca="1" si="3"/>
        <v xml:space="preserve">46 Tahun 5 Bulan </v>
      </c>
      <c r="AE59" s="33" t="s">
        <v>455</v>
      </c>
      <c r="AF59" s="34"/>
      <c r="AG59" s="22" t="s">
        <v>330</v>
      </c>
      <c r="AH59" s="22"/>
      <c r="AI59" s="22"/>
      <c r="AJ59" s="22"/>
      <c r="AK59" s="33"/>
      <c r="AL59" s="22"/>
    </row>
    <row r="60" spans="1:39" ht="14.45" customHeight="1" x14ac:dyDescent="0.25">
      <c r="A60" s="17">
        <v>17</v>
      </c>
      <c r="B60" s="18"/>
      <c r="C60" s="50" t="s">
        <v>456</v>
      </c>
      <c r="D60" s="20" t="s">
        <v>457</v>
      </c>
      <c r="E60" s="22" t="s">
        <v>56</v>
      </c>
      <c r="F60" s="22" t="s">
        <v>41</v>
      </c>
      <c r="G60" s="23" t="s">
        <v>137</v>
      </c>
      <c r="H60" s="22" t="s">
        <v>138</v>
      </c>
      <c r="I60" s="22" t="s">
        <v>44</v>
      </c>
      <c r="J60" s="22" t="s">
        <v>343</v>
      </c>
      <c r="K60" s="24">
        <v>45200</v>
      </c>
      <c r="L60" s="25" t="s">
        <v>458</v>
      </c>
      <c r="M60" s="26">
        <v>42807</v>
      </c>
      <c r="N60" s="26">
        <v>44750</v>
      </c>
      <c r="O60" s="27" t="s">
        <v>459</v>
      </c>
      <c r="P60" s="28" t="s">
        <v>460</v>
      </c>
      <c r="Q60" s="26">
        <v>42940</v>
      </c>
      <c r="R60" s="26">
        <v>44750</v>
      </c>
      <c r="S60" s="33" t="s">
        <v>461</v>
      </c>
      <c r="T60" s="33"/>
      <c r="U60" s="33"/>
      <c r="V60" s="33"/>
      <c r="W60" s="30">
        <v>43101</v>
      </c>
      <c r="X60" s="30">
        <v>43101</v>
      </c>
      <c r="Y60" s="30">
        <v>42005</v>
      </c>
      <c r="Z60" s="31" t="str">
        <f ca="1">DATEDIF(W60,TODAY(),"y")&amp;" Tahun "&amp;DATEDIF(W60,TODAY(),"ym")&amp;" Bulan "&amp;DATEDIF(W60,TODAY(),"md")&amp;" Hari"</f>
        <v>7 Tahun 9 Bulan 30 Hari</v>
      </c>
      <c r="AA60" s="31" t="s">
        <v>97</v>
      </c>
      <c r="AB60" s="32">
        <v>32332</v>
      </c>
      <c r="AC60" s="31" t="s">
        <v>462</v>
      </c>
      <c r="AD60" s="22" t="str">
        <f t="shared" ca="1" si="3"/>
        <v xml:space="preserve">37 Tahun 3 Bulan </v>
      </c>
      <c r="AE60" s="33" t="s">
        <v>463</v>
      </c>
      <c r="AF60" s="34" t="s">
        <v>464</v>
      </c>
      <c r="AG60" s="22" t="s">
        <v>330</v>
      </c>
      <c r="AH60" s="58"/>
      <c r="AI60" s="58"/>
      <c r="AJ60" s="58"/>
      <c r="AK60" s="33"/>
      <c r="AL60" s="22"/>
    </row>
    <row r="61" spans="1:39" ht="14.45" customHeight="1" x14ac:dyDescent="0.25">
      <c r="A61" s="17">
        <v>18</v>
      </c>
      <c r="B61" s="18"/>
      <c r="C61" s="19" t="s">
        <v>465</v>
      </c>
      <c r="D61" s="20" t="s">
        <v>466</v>
      </c>
      <c r="E61" s="58" t="s">
        <v>40</v>
      </c>
      <c r="F61" s="58" t="s">
        <v>41</v>
      </c>
      <c r="G61" s="23" t="s">
        <v>57</v>
      </c>
      <c r="H61" s="22" t="s">
        <v>58</v>
      </c>
      <c r="I61" s="22" t="s">
        <v>44</v>
      </c>
      <c r="J61" s="22" t="s">
        <v>325</v>
      </c>
      <c r="K61" s="24">
        <v>45200</v>
      </c>
      <c r="L61" s="25" t="s">
        <v>467</v>
      </c>
      <c r="M61" s="26">
        <v>42783</v>
      </c>
      <c r="N61" s="26">
        <v>44779</v>
      </c>
      <c r="O61" s="27" t="s">
        <v>468</v>
      </c>
      <c r="P61" s="28" t="s">
        <v>469</v>
      </c>
      <c r="Q61" s="26">
        <v>42821</v>
      </c>
      <c r="R61" s="26">
        <v>44779</v>
      </c>
      <c r="S61" s="33" t="s">
        <v>470</v>
      </c>
      <c r="T61" s="33"/>
      <c r="U61" s="23"/>
      <c r="V61" s="23"/>
      <c r="W61" s="30">
        <v>39448</v>
      </c>
      <c r="X61" s="30">
        <v>42461</v>
      </c>
      <c r="Y61" s="30">
        <v>42461</v>
      </c>
      <c r="Z61" s="55" t="str">
        <f ca="1">DATEDIF(W61,TODAY(),"y")&amp;" Tahun "&amp;DATEDIF(W61,TODAY(),"ym")&amp;" Bulan "&amp;DATEDIF(W61,TODAY(),"md")&amp;" Hari"</f>
        <v>17 Tahun 9 Bulan 30 Hari</v>
      </c>
      <c r="AA61" s="66" t="s">
        <v>471</v>
      </c>
      <c r="AB61" s="56">
        <v>29804</v>
      </c>
      <c r="AC61" s="31" t="s">
        <v>472</v>
      </c>
      <c r="AD61" s="57" t="str">
        <f t="shared" ca="1" si="3"/>
        <v xml:space="preserve">44 Tahun 2 Bulan </v>
      </c>
      <c r="AE61" s="33" t="s">
        <v>473</v>
      </c>
      <c r="AF61" s="71"/>
      <c r="AG61" s="22" t="s">
        <v>330</v>
      </c>
      <c r="AH61" s="22"/>
      <c r="AI61" s="22"/>
      <c r="AJ61" s="22"/>
      <c r="AK61" s="33" t="s">
        <v>485</v>
      </c>
      <c r="AL61" s="22"/>
    </row>
    <row r="62" spans="1:39" ht="14.45" customHeight="1" x14ac:dyDescent="0.25">
      <c r="A62" s="17">
        <v>19</v>
      </c>
      <c r="B62" s="18"/>
      <c r="C62" s="19" t="s">
        <v>474</v>
      </c>
      <c r="D62" s="20" t="s">
        <v>475</v>
      </c>
      <c r="E62" s="22" t="s">
        <v>56</v>
      </c>
      <c r="F62" s="22" t="s">
        <v>238</v>
      </c>
      <c r="G62" s="23" t="s">
        <v>3872</v>
      </c>
      <c r="H62" s="22" t="s">
        <v>476</v>
      </c>
      <c r="I62" s="22" t="s">
        <v>44</v>
      </c>
      <c r="J62" s="22" t="s">
        <v>343</v>
      </c>
      <c r="K62" s="30">
        <v>45383</v>
      </c>
      <c r="L62" s="25" t="s">
        <v>477</v>
      </c>
      <c r="M62" s="26">
        <v>42060</v>
      </c>
      <c r="N62" s="26">
        <v>43886</v>
      </c>
      <c r="O62" s="27" t="s">
        <v>478</v>
      </c>
      <c r="P62" s="28" t="s">
        <v>479</v>
      </c>
      <c r="Q62" s="26">
        <v>42544</v>
      </c>
      <c r="R62" s="26">
        <v>43886</v>
      </c>
      <c r="S62" s="23" t="s">
        <v>480</v>
      </c>
      <c r="T62" s="23"/>
      <c r="U62" s="23"/>
      <c r="V62" s="23"/>
      <c r="W62" s="30">
        <v>45383</v>
      </c>
      <c r="X62" s="30">
        <v>42430</v>
      </c>
      <c r="Y62" s="30">
        <v>42430</v>
      </c>
      <c r="Z62" s="31" t="str">
        <f ca="1">DATEDIF(X62,TODAY(),"y")&amp;" Tahun "&amp;DATEDIF(X62,TODAY(),"ym")&amp;" Bulan "&amp;DATEDIF(X62,TODAY(),"md")&amp;" Hari"</f>
        <v>9 Tahun 7 Bulan 30 Hari</v>
      </c>
      <c r="AA62" s="31" t="s">
        <v>481</v>
      </c>
      <c r="AB62" s="32">
        <v>26858</v>
      </c>
      <c r="AC62" s="31" t="s">
        <v>482</v>
      </c>
      <c r="AD62" s="22" t="str">
        <f t="shared" ca="1" si="3"/>
        <v xml:space="preserve">52 Tahun 3 Bulan </v>
      </c>
      <c r="AE62" s="33" t="s">
        <v>483</v>
      </c>
      <c r="AF62" s="34" t="s">
        <v>484</v>
      </c>
      <c r="AG62" s="22" t="s">
        <v>330</v>
      </c>
      <c r="AH62" s="22"/>
      <c r="AI62" s="22"/>
      <c r="AJ62" s="22"/>
      <c r="AK62" s="33"/>
      <c r="AL62" s="22"/>
    </row>
    <row r="63" spans="1:39" ht="14.45" customHeight="1" x14ac:dyDescent="0.25">
      <c r="A63" s="17">
        <v>20</v>
      </c>
      <c r="B63" s="18"/>
      <c r="C63" s="50" t="s">
        <v>486</v>
      </c>
      <c r="D63" s="20" t="s">
        <v>487</v>
      </c>
      <c r="E63" s="22" t="s">
        <v>56</v>
      </c>
      <c r="F63" s="22" t="s">
        <v>41</v>
      </c>
      <c r="G63" s="23" t="s">
        <v>57</v>
      </c>
      <c r="H63" s="22" t="s">
        <v>58</v>
      </c>
      <c r="I63" s="22" t="s">
        <v>44</v>
      </c>
      <c r="J63" s="22" t="s">
        <v>325</v>
      </c>
      <c r="K63" s="24">
        <v>45505</v>
      </c>
      <c r="L63" s="53" t="s">
        <v>488</v>
      </c>
      <c r="M63" s="26">
        <v>42998</v>
      </c>
      <c r="N63" s="26">
        <v>45117</v>
      </c>
      <c r="O63" s="27" t="s">
        <v>489</v>
      </c>
      <c r="P63" s="53" t="s">
        <v>490</v>
      </c>
      <c r="Q63" s="29">
        <v>43074</v>
      </c>
      <c r="R63" s="26">
        <v>45117</v>
      </c>
      <c r="S63" s="33" t="s">
        <v>491</v>
      </c>
      <c r="T63" s="33"/>
      <c r="U63" s="33"/>
      <c r="V63" s="33"/>
      <c r="W63" s="30">
        <v>42095</v>
      </c>
      <c r="X63" s="30">
        <v>42095</v>
      </c>
      <c r="Y63" s="30">
        <v>42095</v>
      </c>
      <c r="Z63" s="31" t="str">
        <f ca="1">DATEDIF(X63,TODAY(),"y")&amp;" Tahun "&amp;DATEDIF(X63,TODAY(),"ym")&amp;" Bulan "&amp;DATEDIF(X63,TODAY(),"md")&amp;" Hari"</f>
        <v>10 Tahun 6 Bulan 30 Hari</v>
      </c>
      <c r="AA63" s="31" t="s">
        <v>76</v>
      </c>
      <c r="AB63" s="32">
        <v>31968</v>
      </c>
      <c r="AC63" s="31" t="s">
        <v>492</v>
      </c>
      <c r="AD63" s="22" t="str">
        <f t="shared" ca="1" si="3"/>
        <v xml:space="preserve">38 Tahun 3 Bulan </v>
      </c>
      <c r="AE63" s="33" t="s">
        <v>493</v>
      </c>
      <c r="AF63" s="34" t="s">
        <v>494</v>
      </c>
      <c r="AG63" s="22" t="s">
        <v>330</v>
      </c>
      <c r="AH63" s="65"/>
      <c r="AI63" s="65"/>
      <c r="AJ63" s="65"/>
      <c r="AK63" s="38"/>
      <c r="AL63" s="38"/>
      <c r="AM63" s="47"/>
    </row>
    <row r="64" spans="1:39" ht="14.45" customHeight="1" x14ac:dyDescent="0.25">
      <c r="A64" s="17">
        <v>21</v>
      </c>
      <c r="B64" s="18"/>
      <c r="C64" s="50" t="s">
        <v>495</v>
      </c>
      <c r="D64" s="62" t="s">
        <v>496</v>
      </c>
      <c r="E64" s="92" t="s">
        <v>40</v>
      </c>
      <c r="F64" s="92" t="s">
        <v>41</v>
      </c>
      <c r="G64" s="23" t="s">
        <v>227</v>
      </c>
      <c r="H64" s="22" t="s">
        <v>228</v>
      </c>
      <c r="I64" s="22" t="s">
        <v>44</v>
      </c>
      <c r="J64" s="22" t="s">
        <v>378</v>
      </c>
      <c r="K64" s="24">
        <v>44621</v>
      </c>
      <c r="L64" s="25"/>
      <c r="M64" s="26"/>
      <c r="N64" s="26"/>
      <c r="O64" s="27"/>
      <c r="P64" s="28"/>
      <c r="Q64" s="29"/>
      <c r="R64" s="26"/>
      <c r="S64" s="38" t="s">
        <v>497</v>
      </c>
      <c r="T64" s="38"/>
      <c r="U64" s="38"/>
      <c r="V64" s="38"/>
      <c r="W64" s="30">
        <v>44621</v>
      </c>
      <c r="X64" s="30">
        <v>44621</v>
      </c>
      <c r="Y64" s="30">
        <v>44621</v>
      </c>
      <c r="Z64" s="55" t="str">
        <f ca="1">DATEDIF(X64,TODAY(),"y")&amp;" Tahun "&amp;DATEDIF(X64,TODAY(),"ym")&amp;" Bulan "&amp;DATEDIF(X64,TODAY(),"md")&amp;" Hari"</f>
        <v>3 Tahun 7 Bulan 30 Hari</v>
      </c>
      <c r="AA64" s="93" t="s">
        <v>498</v>
      </c>
      <c r="AB64" s="94">
        <v>32467</v>
      </c>
      <c r="AC64" s="31" t="s">
        <v>499</v>
      </c>
      <c r="AD64" s="57" t="str">
        <f t="shared" ca="1" si="3"/>
        <v xml:space="preserve">36 Tahun 11 Bulan </v>
      </c>
      <c r="AE64" s="33" t="s">
        <v>500</v>
      </c>
      <c r="AF64" s="64"/>
      <c r="AG64" s="22" t="s">
        <v>330</v>
      </c>
      <c r="AH64" s="22"/>
      <c r="AI64" s="22"/>
      <c r="AJ64" s="22"/>
      <c r="AK64" s="33"/>
      <c r="AL64" s="22"/>
    </row>
    <row r="65" spans="1:39" ht="14.45" customHeight="1" x14ac:dyDescent="0.25">
      <c r="A65" s="17">
        <v>22</v>
      </c>
      <c r="B65" s="18"/>
      <c r="C65" s="50" t="s">
        <v>501</v>
      </c>
      <c r="D65" s="20" t="s">
        <v>502</v>
      </c>
      <c r="E65" s="22" t="s">
        <v>56</v>
      </c>
      <c r="F65" s="22" t="s">
        <v>41</v>
      </c>
      <c r="G65" s="23" t="s">
        <v>137</v>
      </c>
      <c r="H65" s="22" t="s">
        <v>138</v>
      </c>
      <c r="I65" s="22" t="s">
        <v>44</v>
      </c>
      <c r="J65" s="22" t="s">
        <v>343</v>
      </c>
      <c r="K65" s="24">
        <v>44652</v>
      </c>
      <c r="L65" s="53" t="s">
        <v>503</v>
      </c>
      <c r="M65" s="26">
        <v>43187</v>
      </c>
      <c r="N65" s="26">
        <v>45198</v>
      </c>
      <c r="O65" s="27" t="s">
        <v>504</v>
      </c>
      <c r="P65" s="53" t="s">
        <v>505</v>
      </c>
      <c r="Q65" s="26">
        <v>43154</v>
      </c>
      <c r="R65" s="26">
        <v>45198</v>
      </c>
      <c r="S65" s="23" t="s">
        <v>506</v>
      </c>
      <c r="T65" s="23"/>
      <c r="U65" s="23"/>
      <c r="V65" s="23"/>
      <c r="W65" s="30">
        <v>40179</v>
      </c>
      <c r="X65" s="30">
        <v>42156</v>
      </c>
      <c r="Y65" s="30">
        <v>42156</v>
      </c>
      <c r="Z65" s="31" t="str">
        <f ca="1">DATEDIF(W65,TODAY(),"y")&amp;" Tahun "&amp;DATEDIF(W65,TODAY(),"ym")&amp;" Bulan "&amp;DATEDIF(W65,TODAY(),"md")&amp;" Hari"</f>
        <v>15 Tahun 9 Bulan 30 Hari</v>
      </c>
      <c r="AA65" s="32" t="s">
        <v>507</v>
      </c>
      <c r="AB65" s="32">
        <v>29493</v>
      </c>
      <c r="AC65" s="31" t="s">
        <v>508</v>
      </c>
      <c r="AD65" s="31" t="str">
        <f t="shared" ca="1" si="3"/>
        <v xml:space="preserve">45 Tahun 1 Bulan </v>
      </c>
      <c r="AE65" s="33" t="s">
        <v>509</v>
      </c>
      <c r="AF65" s="34"/>
      <c r="AG65" s="22" t="s">
        <v>330</v>
      </c>
      <c r="AH65" s="22"/>
      <c r="AI65" s="22"/>
      <c r="AJ65" s="22"/>
      <c r="AK65" s="33"/>
      <c r="AL65" s="36" t="s">
        <v>518</v>
      </c>
    </row>
    <row r="66" spans="1:39" ht="14.45" customHeight="1" x14ac:dyDescent="0.25">
      <c r="A66" s="17">
        <v>1</v>
      </c>
      <c r="B66" s="18"/>
      <c r="C66" s="19" t="s">
        <v>510</v>
      </c>
      <c r="D66" s="20" t="s">
        <v>511</v>
      </c>
      <c r="E66" s="52" t="s">
        <v>56</v>
      </c>
      <c r="F66" s="58" t="s">
        <v>41</v>
      </c>
      <c r="G66" s="23" t="s">
        <v>102</v>
      </c>
      <c r="H66" s="22" t="s">
        <v>103</v>
      </c>
      <c r="I66" s="22" t="s">
        <v>44</v>
      </c>
      <c r="J66" s="22" t="s">
        <v>343</v>
      </c>
      <c r="K66" s="24">
        <v>45505</v>
      </c>
      <c r="L66" s="25" t="s">
        <v>512</v>
      </c>
      <c r="M66" s="26">
        <v>42243</v>
      </c>
      <c r="N66" s="26">
        <v>44070</v>
      </c>
      <c r="O66" s="27" t="s">
        <v>513</v>
      </c>
      <c r="P66" s="28" t="s">
        <v>514</v>
      </c>
      <c r="Q66" s="26">
        <v>42348</v>
      </c>
      <c r="R66" s="29">
        <v>44070</v>
      </c>
      <c r="S66" s="23" t="s">
        <v>515</v>
      </c>
      <c r="T66" s="23"/>
      <c r="U66" s="23"/>
      <c r="V66" s="23"/>
      <c r="W66" s="30">
        <v>44166</v>
      </c>
      <c r="X66" s="30">
        <v>42309</v>
      </c>
      <c r="Y66" s="30">
        <v>42309</v>
      </c>
      <c r="Z66" s="55" t="str">
        <f ca="1">DATEDIF(X66,TODAY(),"y")&amp;" Tahun "&amp;DATEDIF(X66,TODAY(),"ym")&amp;" Bulan "&amp;DATEDIF(X66,TODAY(),"md")&amp;" Hari"</f>
        <v>9 Tahun 11 Bulan 30 Hari</v>
      </c>
      <c r="AA66" s="55" t="s">
        <v>50</v>
      </c>
      <c r="AB66" s="56">
        <v>29526</v>
      </c>
      <c r="AC66" s="55" t="s">
        <v>516</v>
      </c>
      <c r="AD66" s="57" t="str">
        <f t="shared" ca="1" si="3"/>
        <v xml:space="preserve">44 Tahun 11 Bulan </v>
      </c>
      <c r="AE66" s="38" t="s">
        <v>517</v>
      </c>
      <c r="AF66" s="34"/>
      <c r="AG66" s="22" t="s">
        <v>330</v>
      </c>
      <c r="AH66" s="22"/>
      <c r="AI66" s="22"/>
      <c r="AJ66" s="22"/>
      <c r="AK66" s="97" t="s">
        <v>224</v>
      </c>
      <c r="AL66" s="36"/>
    </row>
    <row r="67" spans="1:39" ht="14.45" customHeight="1" x14ac:dyDescent="0.25">
      <c r="A67" s="17">
        <v>2</v>
      </c>
      <c r="B67" s="18"/>
      <c r="C67" s="19" t="s">
        <v>519</v>
      </c>
      <c r="D67" s="20" t="s">
        <v>520</v>
      </c>
      <c r="E67" s="21" t="s">
        <v>40</v>
      </c>
      <c r="F67" s="22" t="s">
        <v>41</v>
      </c>
      <c r="G67" s="23" t="s">
        <v>521</v>
      </c>
      <c r="H67" s="22" t="s">
        <v>522</v>
      </c>
      <c r="I67" s="60" t="s">
        <v>44</v>
      </c>
      <c r="J67" s="22" t="s">
        <v>523</v>
      </c>
      <c r="K67" s="24">
        <v>44470</v>
      </c>
      <c r="L67" s="25"/>
      <c r="M67" s="26"/>
      <c r="N67" s="26"/>
      <c r="O67" s="27" t="s">
        <v>118</v>
      </c>
      <c r="P67" s="28"/>
      <c r="Q67" s="29"/>
      <c r="R67" s="26"/>
      <c r="S67" s="33" t="s">
        <v>524</v>
      </c>
      <c r="T67" s="33"/>
      <c r="U67" s="33"/>
      <c r="V67" s="33"/>
      <c r="W67" s="30">
        <v>31686</v>
      </c>
      <c r="X67" s="30">
        <v>44105</v>
      </c>
      <c r="Y67" s="30">
        <v>43952</v>
      </c>
      <c r="Z67" s="31" t="str">
        <f ca="1">DATEDIF(W67,TODAY(),"y")&amp;" Tahun "&amp;DATEDIF(W67,TODAY(),"ym")&amp;" Bulan "&amp;DATEDIF(W67,TODAY(),"md")&amp;" Hari"</f>
        <v>39 Tahun 0 Bulan 30 Hari</v>
      </c>
      <c r="AA67" s="31" t="s">
        <v>97</v>
      </c>
      <c r="AB67" s="32">
        <v>22198</v>
      </c>
      <c r="AC67" s="31" t="s">
        <v>525</v>
      </c>
      <c r="AD67" s="22" t="str">
        <f t="shared" ca="1" si="3"/>
        <v xml:space="preserve">65 Tahun 0 Bulan </v>
      </c>
      <c r="AE67" s="33" t="s">
        <v>123</v>
      </c>
      <c r="AF67" s="34"/>
      <c r="AG67" s="22" t="s">
        <v>330</v>
      </c>
      <c r="AH67" s="38"/>
      <c r="AI67" s="38"/>
      <c r="AJ67" s="38"/>
      <c r="AK67" s="38" t="s">
        <v>112</v>
      </c>
      <c r="AL67" s="38" t="s">
        <v>533</v>
      </c>
      <c r="AM67" s="47"/>
    </row>
    <row r="68" spans="1:39" ht="14.45" customHeight="1" x14ac:dyDescent="0.25">
      <c r="A68" s="17">
        <v>3</v>
      </c>
      <c r="B68" s="18"/>
      <c r="C68" s="19" t="s">
        <v>526</v>
      </c>
      <c r="D68" s="62" t="s">
        <v>527</v>
      </c>
      <c r="E68" s="35" t="s">
        <v>56</v>
      </c>
      <c r="F68" s="35" t="s">
        <v>41</v>
      </c>
      <c r="G68" s="23" t="s">
        <v>102</v>
      </c>
      <c r="H68" s="22" t="s">
        <v>103</v>
      </c>
      <c r="I68" s="22" t="s">
        <v>44</v>
      </c>
      <c r="J68" s="22" t="s">
        <v>343</v>
      </c>
      <c r="K68" s="24">
        <v>45505</v>
      </c>
      <c r="L68" s="25" t="s">
        <v>528</v>
      </c>
      <c r="M68" s="26">
        <v>42008</v>
      </c>
      <c r="N68" s="26">
        <v>43922</v>
      </c>
      <c r="O68" s="27" t="s">
        <v>118</v>
      </c>
      <c r="P68" s="28" t="s">
        <v>529</v>
      </c>
      <c r="Q68" s="29">
        <v>42277</v>
      </c>
      <c r="R68" s="26">
        <v>43922</v>
      </c>
      <c r="S68" s="33" t="s">
        <v>530</v>
      </c>
      <c r="T68" s="38"/>
      <c r="U68" s="38"/>
      <c r="V68" s="38"/>
      <c r="W68" s="30">
        <v>44166</v>
      </c>
      <c r="X68" s="37">
        <v>42248</v>
      </c>
      <c r="Y68" s="30">
        <v>42248</v>
      </c>
      <c r="Z68" s="31" t="str">
        <f ca="1">DATEDIF(X68,TODAY(),"y")&amp;" Tahun "&amp;DATEDIF(X68,TODAY(),"ym")&amp;" Bulan "&amp;DATEDIF(X68,TODAY(),"md")&amp;" Hari"</f>
        <v>10 Tahun 1 Bulan 30 Hari</v>
      </c>
      <c r="AA68" s="63" t="s">
        <v>60</v>
      </c>
      <c r="AB68" s="39">
        <v>29569</v>
      </c>
      <c r="AC68" s="31" t="s">
        <v>531</v>
      </c>
      <c r="AD68" s="22" t="str">
        <f t="shared" ca="1" si="3"/>
        <v xml:space="preserve">44 Tahun 10 Bulan </v>
      </c>
      <c r="AE68" s="38" t="s">
        <v>123</v>
      </c>
      <c r="AF68" s="96" t="s">
        <v>532</v>
      </c>
      <c r="AG68" s="22" t="s">
        <v>330</v>
      </c>
      <c r="AH68" s="58"/>
      <c r="AI68" s="58"/>
      <c r="AJ68" s="58"/>
      <c r="AK68" s="33"/>
      <c r="AL68" s="22" t="s">
        <v>541</v>
      </c>
    </row>
    <row r="69" spans="1:39" ht="14.45" customHeight="1" x14ac:dyDescent="0.25">
      <c r="A69" s="17">
        <v>4</v>
      </c>
      <c r="B69" s="18"/>
      <c r="C69" s="19" t="s">
        <v>534</v>
      </c>
      <c r="D69" s="20" t="s">
        <v>535</v>
      </c>
      <c r="E69" s="58" t="s">
        <v>40</v>
      </c>
      <c r="F69" s="58" t="s">
        <v>41</v>
      </c>
      <c r="G69" s="33" t="s">
        <v>137</v>
      </c>
      <c r="H69" s="22" t="s">
        <v>138</v>
      </c>
      <c r="I69" s="60" t="s">
        <v>44</v>
      </c>
      <c r="J69" s="22" t="s">
        <v>343</v>
      </c>
      <c r="K69" s="24">
        <v>45200</v>
      </c>
      <c r="L69" s="25" t="s">
        <v>536</v>
      </c>
      <c r="M69" s="26">
        <v>42632</v>
      </c>
      <c r="N69" s="26">
        <v>44708</v>
      </c>
      <c r="O69" s="27" t="s">
        <v>118</v>
      </c>
      <c r="P69" s="28" t="s">
        <v>537</v>
      </c>
      <c r="Q69" s="26">
        <v>42688</v>
      </c>
      <c r="R69" s="26">
        <v>44708</v>
      </c>
      <c r="S69" s="33" t="s">
        <v>538</v>
      </c>
      <c r="T69" s="33"/>
      <c r="U69" s="23"/>
      <c r="V69" s="23"/>
      <c r="W69" s="30">
        <v>43101</v>
      </c>
      <c r="X69" s="30">
        <v>42647</v>
      </c>
      <c r="Y69" s="30">
        <v>42647</v>
      </c>
      <c r="Z69" s="55" t="str">
        <f ca="1">DATEDIF(W69,TODAY(),"y")&amp;" Tahun "&amp;DATEDIF(W69,TODAY(),"ym")&amp;" Bulan "&amp;DATEDIF(W69,TODAY(),"md")&amp;" Hari"</f>
        <v>7 Tahun 9 Bulan 30 Hari</v>
      </c>
      <c r="AA69" s="55" t="s">
        <v>539</v>
      </c>
      <c r="AB69" s="56">
        <v>30829</v>
      </c>
      <c r="AC69" s="31" t="s">
        <v>540</v>
      </c>
      <c r="AD69" s="57" t="str">
        <f t="shared" ca="1" si="3"/>
        <v xml:space="preserve">41 Tahun 5 Bulan </v>
      </c>
      <c r="AE69" s="33" t="s">
        <v>123</v>
      </c>
      <c r="AF69" s="71"/>
      <c r="AG69" s="22" t="s">
        <v>330</v>
      </c>
      <c r="AH69" s="58"/>
      <c r="AI69" s="58"/>
      <c r="AJ69" s="58"/>
      <c r="AK69" s="33"/>
      <c r="AL69" s="22" t="s">
        <v>549</v>
      </c>
    </row>
    <row r="70" spans="1:39" ht="14.45" customHeight="1" x14ac:dyDescent="0.25">
      <c r="A70" s="17">
        <v>5</v>
      </c>
      <c r="B70" s="18"/>
      <c r="C70" s="19" t="s">
        <v>542</v>
      </c>
      <c r="D70" s="20" t="s">
        <v>543</v>
      </c>
      <c r="E70" s="58" t="s">
        <v>40</v>
      </c>
      <c r="F70" s="58" t="s">
        <v>41</v>
      </c>
      <c r="G70" s="33" t="s">
        <v>137</v>
      </c>
      <c r="H70" s="22" t="s">
        <v>138</v>
      </c>
      <c r="I70" s="22" t="s">
        <v>44</v>
      </c>
      <c r="J70" s="22" t="s">
        <v>343</v>
      </c>
      <c r="K70" s="24">
        <v>45200</v>
      </c>
      <c r="L70" s="25" t="s">
        <v>544</v>
      </c>
      <c r="M70" s="26">
        <v>42632</v>
      </c>
      <c r="N70" s="26">
        <v>44631</v>
      </c>
      <c r="O70" s="27" t="s">
        <v>118</v>
      </c>
      <c r="P70" s="28" t="s">
        <v>545</v>
      </c>
      <c r="Q70" s="26">
        <v>42688</v>
      </c>
      <c r="R70" s="26">
        <v>44631</v>
      </c>
      <c r="S70" s="33" t="s">
        <v>546</v>
      </c>
      <c r="T70" s="33"/>
      <c r="U70" s="23"/>
      <c r="V70" s="23"/>
      <c r="W70" s="30">
        <v>43101</v>
      </c>
      <c r="X70" s="30">
        <v>43101</v>
      </c>
      <c r="Y70" s="30">
        <v>42647</v>
      </c>
      <c r="Z70" s="55" t="str">
        <f ca="1">DATEDIF(W70,TODAY(),"y")&amp;" Tahun "&amp;DATEDIF(W70,TODAY(),"ym")&amp;" Bulan "&amp;DATEDIF(W70,TODAY(),"md")&amp;" Hari"</f>
        <v>7 Tahun 9 Bulan 30 Hari</v>
      </c>
      <c r="AA70" s="55" t="s">
        <v>97</v>
      </c>
      <c r="AB70" s="56">
        <v>30386</v>
      </c>
      <c r="AC70" s="31" t="s">
        <v>547</v>
      </c>
      <c r="AD70" s="57" t="str">
        <f t="shared" ca="1" si="3"/>
        <v xml:space="preserve">42 Tahun 7 Bulan </v>
      </c>
      <c r="AE70" s="33" t="s">
        <v>123</v>
      </c>
      <c r="AF70" s="71" t="s">
        <v>548</v>
      </c>
      <c r="AG70" s="22" t="s">
        <v>330</v>
      </c>
      <c r="AH70" s="58"/>
      <c r="AI70" s="58"/>
      <c r="AJ70" s="58"/>
      <c r="AK70" s="33" t="s">
        <v>554</v>
      </c>
      <c r="AL70" s="22"/>
    </row>
    <row r="71" spans="1:39" ht="14.45" customHeight="1" x14ac:dyDescent="0.25">
      <c r="A71" s="17">
        <v>6</v>
      </c>
      <c r="B71" s="18"/>
      <c r="C71" s="19" t="s">
        <v>550</v>
      </c>
      <c r="D71" s="20" t="s">
        <v>551</v>
      </c>
      <c r="E71" s="58" t="s">
        <v>56</v>
      </c>
      <c r="F71" s="58" t="s">
        <v>238</v>
      </c>
      <c r="G71" s="33" t="s">
        <v>3872</v>
      </c>
      <c r="H71" s="22" t="s">
        <v>305</v>
      </c>
      <c r="I71" s="22" t="s">
        <v>44</v>
      </c>
      <c r="J71" s="22" t="s">
        <v>378</v>
      </c>
      <c r="K71" s="24"/>
      <c r="L71" s="25"/>
      <c r="M71" s="26"/>
      <c r="N71" s="26"/>
      <c r="O71" s="27"/>
      <c r="P71" s="28"/>
      <c r="Q71" s="26"/>
      <c r="R71" s="26"/>
      <c r="S71" s="33" t="s">
        <v>524</v>
      </c>
      <c r="T71" s="33"/>
      <c r="U71" s="23"/>
      <c r="V71" s="23"/>
      <c r="W71" s="30">
        <v>45047</v>
      </c>
      <c r="X71" s="30">
        <v>43800</v>
      </c>
      <c r="Y71" s="30">
        <v>43800</v>
      </c>
      <c r="Z71" s="55" t="str">
        <f ca="1">DATEDIF(X71,TODAY(),"y")&amp;" Tahun "&amp;DATEDIF(X71,TODAY(),"ym")&amp;" Bulan "&amp;DATEDIF(X71,TODAY(),"md")&amp;" Hari"</f>
        <v>5 Tahun 10 Bulan 30 Hari</v>
      </c>
      <c r="AA71" s="55" t="s">
        <v>552</v>
      </c>
      <c r="AB71" s="56">
        <v>32556</v>
      </c>
      <c r="AC71" s="31" t="s">
        <v>553</v>
      </c>
      <c r="AD71" s="57" t="str">
        <f t="shared" ca="1" si="3"/>
        <v xml:space="preserve">36 Tahun 8 Bulan </v>
      </c>
      <c r="AE71" s="33" t="s">
        <v>123</v>
      </c>
      <c r="AF71" s="71"/>
      <c r="AG71" s="22" t="s">
        <v>330</v>
      </c>
      <c r="AH71" s="22"/>
      <c r="AI71" s="22"/>
      <c r="AJ71" s="22"/>
      <c r="AK71" s="33" t="s">
        <v>485</v>
      </c>
      <c r="AL71" s="36"/>
    </row>
    <row r="72" spans="1:39" ht="14.45" customHeight="1" x14ac:dyDescent="0.25">
      <c r="A72" s="17">
        <v>1</v>
      </c>
      <c r="B72" s="18"/>
      <c r="C72" s="19" t="s">
        <v>555</v>
      </c>
      <c r="D72" s="20" t="s">
        <v>556</v>
      </c>
      <c r="E72" s="21" t="s">
        <v>56</v>
      </c>
      <c r="F72" s="22" t="s">
        <v>238</v>
      </c>
      <c r="G72" s="23" t="s">
        <v>3872</v>
      </c>
      <c r="H72" s="22" t="s">
        <v>476</v>
      </c>
      <c r="I72" s="22" t="s">
        <v>44</v>
      </c>
      <c r="J72" s="22" t="s">
        <v>343</v>
      </c>
      <c r="K72" s="24">
        <v>45383</v>
      </c>
      <c r="L72" s="22"/>
      <c r="M72" s="23"/>
      <c r="N72" s="26"/>
      <c r="O72" s="22"/>
      <c r="P72" s="22"/>
      <c r="Q72" s="22"/>
      <c r="R72" s="22"/>
      <c r="S72" s="23" t="s">
        <v>524</v>
      </c>
      <c r="T72" s="23"/>
      <c r="U72" s="23"/>
      <c r="V72" s="23"/>
      <c r="W72" s="30">
        <v>45383</v>
      </c>
      <c r="X72" s="30">
        <v>45383</v>
      </c>
      <c r="Y72" s="30">
        <v>45383</v>
      </c>
      <c r="Z72" s="31" t="str">
        <f ca="1">DATEDIF(W72,TODAY(),"y")&amp;" Tahun "&amp;DATEDIF(W72,TODAY(),"ym")&amp;" Bulan "&amp;DATEDIF(W72,TODAY(),"md")&amp;" Hari"</f>
        <v>1 Tahun 6 Bulan 30 Hari</v>
      </c>
      <c r="AA72" s="31" t="s">
        <v>97</v>
      </c>
      <c r="AB72" s="32">
        <v>32077</v>
      </c>
      <c r="AC72" s="31" t="s">
        <v>557</v>
      </c>
      <c r="AD72" s="22" t="str">
        <f t="shared" ca="1" si="3"/>
        <v xml:space="preserve">38 Tahun 0 Bulan </v>
      </c>
      <c r="AE72" s="33" t="s">
        <v>123</v>
      </c>
      <c r="AF72" s="34"/>
      <c r="AG72" s="58" t="s">
        <v>330</v>
      </c>
      <c r="AH72" s="58"/>
      <c r="AI72" s="58"/>
      <c r="AJ72" s="58"/>
      <c r="AK72" s="33"/>
      <c r="AL72" s="36"/>
    </row>
    <row r="73" spans="1:39" ht="14.45" customHeight="1" x14ac:dyDescent="0.25">
      <c r="A73" s="17">
        <v>2</v>
      </c>
      <c r="B73" s="18"/>
      <c r="C73" s="19" t="s">
        <v>558</v>
      </c>
      <c r="D73" s="42" t="s">
        <v>559</v>
      </c>
      <c r="E73" s="52" t="s">
        <v>40</v>
      </c>
      <c r="F73" s="58" t="s">
        <v>41</v>
      </c>
      <c r="G73" s="23" t="s">
        <v>115</v>
      </c>
      <c r="H73" s="22" t="s">
        <v>116</v>
      </c>
      <c r="I73" s="22" t="s">
        <v>44</v>
      </c>
      <c r="J73" s="22" t="s">
        <v>45</v>
      </c>
      <c r="K73" s="24">
        <v>45505</v>
      </c>
      <c r="L73" s="25" t="s">
        <v>560</v>
      </c>
      <c r="M73" s="26">
        <v>42699</v>
      </c>
      <c r="N73" s="26">
        <v>44531</v>
      </c>
      <c r="O73" s="27" t="s">
        <v>345</v>
      </c>
      <c r="P73" s="53" t="s">
        <v>561</v>
      </c>
      <c r="Q73" s="29">
        <v>43010</v>
      </c>
      <c r="R73" s="26">
        <v>44531</v>
      </c>
      <c r="S73" s="33" t="s">
        <v>562</v>
      </c>
      <c r="T73" s="33"/>
      <c r="U73" s="33"/>
      <c r="V73" s="33"/>
      <c r="W73" s="30">
        <v>36220</v>
      </c>
      <c r="X73" s="22"/>
      <c r="Y73" s="30">
        <v>41792</v>
      </c>
      <c r="Z73" s="55" t="str">
        <f ca="1">DATEDIF(W73,TODAY(),"y")&amp;" Tahun "&amp;DATEDIF(W73,TODAY(),"ym")&amp;" Bulan "&amp;DATEDIF(W73,TODAY(),"md")&amp;" Hari"</f>
        <v>26 Tahun 7 Bulan 30 Hari</v>
      </c>
      <c r="AA73" s="31" t="s">
        <v>563</v>
      </c>
      <c r="AB73" s="32">
        <v>24077</v>
      </c>
      <c r="AC73" s="32" t="s">
        <v>564</v>
      </c>
      <c r="AD73" s="57" t="str">
        <f ca="1">DATEDIF(AB73,TODAY(),"y")&amp;" Tahun "&amp;DATEDIF(AB73,TODAY(),"ym")&amp;" Bulan "</f>
        <v xml:space="preserve">59 Tahun 10 Bulan </v>
      </c>
      <c r="AE73" s="33" t="s">
        <v>565</v>
      </c>
      <c r="AF73" s="71" t="s">
        <v>572</v>
      </c>
      <c r="AG73" s="22" t="s">
        <v>330</v>
      </c>
      <c r="AH73" s="58"/>
      <c r="AI73" s="58"/>
      <c r="AJ73" s="58"/>
      <c r="AK73" s="33" t="s">
        <v>573</v>
      </c>
      <c r="AL73" s="22"/>
    </row>
    <row r="74" spans="1:39" ht="14.45" customHeight="1" x14ac:dyDescent="0.25">
      <c r="A74" s="17">
        <v>3</v>
      </c>
      <c r="B74" s="18"/>
      <c r="C74" s="19" t="s">
        <v>566</v>
      </c>
      <c r="D74" s="20" t="s">
        <v>567</v>
      </c>
      <c r="E74" s="58" t="s">
        <v>40</v>
      </c>
      <c r="F74" s="22" t="s">
        <v>41</v>
      </c>
      <c r="G74" s="23" t="s">
        <v>227</v>
      </c>
      <c r="H74" s="22" t="s">
        <v>228</v>
      </c>
      <c r="I74" s="22" t="s">
        <v>44</v>
      </c>
      <c r="J74" s="22" t="s">
        <v>378</v>
      </c>
      <c r="K74" s="30">
        <v>44621</v>
      </c>
      <c r="L74" s="25" t="s">
        <v>568</v>
      </c>
      <c r="M74" s="26">
        <v>42369</v>
      </c>
      <c r="N74" s="26">
        <v>44196</v>
      </c>
      <c r="O74" s="27" t="s">
        <v>345</v>
      </c>
      <c r="P74" s="28" t="s">
        <v>569</v>
      </c>
      <c r="Q74" s="29">
        <v>42419</v>
      </c>
      <c r="R74" s="26">
        <v>44196</v>
      </c>
      <c r="S74" s="23" t="s">
        <v>347</v>
      </c>
      <c r="T74" s="23"/>
      <c r="U74" s="23"/>
      <c r="V74" s="23"/>
      <c r="W74" s="30">
        <v>44621</v>
      </c>
      <c r="X74" s="30">
        <v>42370</v>
      </c>
      <c r="Y74" s="30">
        <v>42370</v>
      </c>
      <c r="Z74" s="55" t="str">
        <f ca="1">DATEDIF(X74,TODAY(),"y")&amp;" Tahun "&amp;DATEDIF(X74,TODAY(),"ym")&amp;" Bulan "&amp;DATEDIF(X74,TODAY(),"md")&amp;" Hari"</f>
        <v>9 Tahun 9 Bulan 30 Hari</v>
      </c>
      <c r="AA74" s="55" t="s">
        <v>570</v>
      </c>
      <c r="AB74" s="56">
        <v>30085</v>
      </c>
      <c r="AC74" s="31" t="s">
        <v>571</v>
      </c>
      <c r="AD74" s="57" t="str">
        <f ca="1">DATEDIF(AB74,TODAY(),"y")&amp;" Tahun "&amp;DATEDIF(AB74,TODAY(),"ym")&amp;" Bulan "</f>
        <v xml:space="preserve">43 Tahun 5 Bulan </v>
      </c>
      <c r="AE74" s="33" t="s">
        <v>565</v>
      </c>
      <c r="AF74" s="71"/>
      <c r="AG74" s="22" t="s">
        <v>330</v>
      </c>
      <c r="AH74" s="58"/>
      <c r="AI74" s="58"/>
      <c r="AJ74" s="58"/>
      <c r="AK74" s="33" t="s">
        <v>485</v>
      </c>
      <c r="AL74" s="22"/>
    </row>
    <row r="75" spans="1:39" ht="14.45" customHeight="1" x14ac:dyDescent="0.25">
      <c r="A75" s="17">
        <v>4</v>
      </c>
      <c r="B75" s="76"/>
      <c r="C75" s="19" t="s">
        <v>574</v>
      </c>
      <c r="D75" s="20" t="s">
        <v>575</v>
      </c>
      <c r="E75" s="58" t="s">
        <v>40</v>
      </c>
      <c r="F75" s="87" t="s">
        <v>238</v>
      </c>
      <c r="G75" s="33" t="s">
        <v>3872</v>
      </c>
      <c r="H75" s="22" t="s">
        <v>476</v>
      </c>
      <c r="I75" s="60" t="s">
        <v>44</v>
      </c>
      <c r="J75" s="60" t="s">
        <v>343</v>
      </c>
      <c r="K75" s="24">
        <v>45383</v>
      </c>
      <c r="L75" s="25"/>
      <c r="M75" s="26"/>
      <c r="N75" s="26"/>
      <c r="O75" s="27"/>
      <c r="P75" s="28"/>
      <c r="Q75" s="26"/>
      <c r="R75" s="26"/>
      <c r="S75" s="33" t="s">
        <v>347</v>
      </c>
      <c r="T75" s="33"/>
      <c r="U75" s="33"/>
      <c r="V75" s="33"/>
      <c r="W75" s="30">
        <v>45383</v>
      </c>
      <c r="X75" s="30">
        <v>45383</v>
      </c>
      <c r="Y75" s="30">
        <v>45383</v>
      </c>
      <c r="Z75" s="55" t="str">
        <f ca="1">DATEDIF(X75,TODAY(),"y")&amp;" Tahun "&amp;DATEDIF(X75,TODAY(),"ym")&amp;" Bulan "&amp;DATEDIF(X75,TODAY(),"md")&amp;" Hari"</f>
        <v>1 Tahun 6 Bulan 30 Hari</v>
      </c>
      <c r="AA75" s="55" t="s">
        <v>203</v>
      </c>
      <c r="AB75" s="56">
        <v>31981</v>
      </c>
      <c r="AC75" s="31" t="s">
        <v>576</v>
      </c>
      <c r="AD75" s="57" t="str">
        <f ca="1">DATEDIF(AB75,TODAY(),"y")&amp;" Tahun "&amp;DATEDIF(AB75,TODAY(),"ym")&amp;" Bulan "</f>
        <v xml:space="preserve">38 Tahun 3 Bulan </v>
      </c>
      <c r="AE75" s="33" t="s">
        <v>565</v>
      </c>
      <c r="AF75" s="64" t="s">
        <v>577</v>
      </c>
      <c r="AG75" s="22" t="s">
        <v>330</v>
      </c>
      <c r="AH75" s="22"/>
      <c r="AI75" s="22"/>
      <c r="AJ75" s="22"/>
      <c r="AK75" s="33" t="s">
        <v>200</v>
      </c>
      <c r="AL75" s="36"/>
    </row>
    <row r="76" spans="1:39" ht="14.45" customHeight="1" x14ac:dyDescent="0.25">
      <c r="A76" s="17">
        <v>1</v>
      </c>
      <c r="B76" s="18"/>
      <c r="C76" s="19" t="s">
        <v>5704</v>
      </c>
      <c r="D76" s="20" t="s">
        <v>578</v>
      </c>
      <c r="E76" s="21" t="s">
        <v>40</v>
      </c>
      <c r="F76" s="22" t="s">
        <v>192</v>
      </c>
      <c r="G76" s="23" t="s">
        <v>227</v>
      </c>
      <c r="H76" s="22" t="s">
        <v>228</v>
      </c>
      <c r="I76" s="22" t="s">
        <v>155</v>
      </c>
      <c r="J76" s="22" t="s">
        <v>378</v>
      </c>
      <c r="K76" s="24" t="s">
        <v>195</v>
      </c>
      <c r="L76" s="22"/>
      <c r="M76" s="22"/>
      <c r="N76" s="22"/>
      <c r="O76" s="22"/>
      <c r="P76" s="22"/>
      <c r="Q76" s="22"/>
      <c r="R76" s="22"/>
      <c r="S76" s="23" t="s">
        <v>347</v>
      </c>
      <c r="T76" s="23"/>
      <c r="U76" s="23"/>
      <c r="V76" s="23"/>
      <c r="W76" s="69">
        <v>45809</v>
      </c>
      <c r="X76" s="69">
        <v>45810</v>
      </c>
      <c r="Y76" s="69">
        <v>45810</v>
      </c>
      <c r="Z76" s="31" t="str">
        <f ca="1">DATEDIF(X76,TODAY(),"y")&amp;" Tahun "&amp;DATEDIF(X76,TODAY(),"ym")&amp;" Bulan "&amp;DATEDIF(X76,TODAY(),"md")&amp;" Hari"</f>
        <v>0 Tahun 4 Bulan 29 Hari</v>
      </c>
      <c r="AA76" s="98" t="s">
        <v>203</v>
      </c>
      <c r="AB76" s="32">
        <v>32068</v>
      </c>
      <c r="AC76" s="32" t="s">
        <v>579</v>
      </c>
      <c r="AD76" s="22" t="str">
        <f ca="1">DATEDIF(AB76,TODAY(),"y")&amp;" Tahun "&amp;DATEDIF(AB76,TODAY(),"ym")&amp;" Bulan "</f>
        <v xml:space="preserve">38 Tahun 0 Bulan </v>
      </c>
      <c r="AE76" s="23" t="s">
        <v>565</v>
      </c>
      <c r="AF76" s="34"/>
      <c r="AG76" s="22" t="s">
        <v>330</v>
      </c>
      <c r="AH76" s="22"/>
      <c r="AI76" s="22"/>
      <c r="AJ76" s="22"/>
      <c r="AK76" s="33" t="s">
        <v>588</v>
      </c>
      <c r="AL76" s="36"/>
    </row>
    <row r="77" spans="1:39" ht="14.45" customHeight="1" x14ac:dyDescent="0.25">
      <c r="A77" s="17">
        <v>2</v>
      </c>
      <c r="B77" s="18"/>
      <c r="C77" s="19" t="s">
        <v>580</v>
      </c>
      <c r="D77" s="20" t="s">
        <v>581</v>
      </c>
      <c r="E77" s="21" t="s">
        <v>40</v>
      </c>
      <c r="F77" s="22" t="s">
        <v>41</v>
      </c>
      <c r="G77" s="23" t="s">
        <v>115</v>
      </c>
      <c r="H77" s="22" t="s">
        <v>116</v>
      </c>
      <c r="I77" s="22" t="s">
        <v>44</v>
      </c>
      <c r="J77" s="22" t="s">
        <v>45</v>
      </c>
      <c r="K77" s="24">
        <v>45931</v>
      </c>
      <c r="L77" s="99" t="s">
        <v>582</v>
      </c>
      <c r="M77" s="100">
        <v>42647</v>
      </c>
      <c r="N77" s="26">
        <v>44490</v>
      </c>
      <c r="O77" s="27" t="s">
        <v>583</v>
      </c>
      <c r="P77" s="28" t="s">
        <v>584</v>
      </c>
      <c r="Q77" s="26">
        <v>42725</v>
      </c>
      <c r="R77" s="26">
        <v>44490</v>
      </c>
      <c r="S77" s="33" t="s">
        <v>585</v>
      </c>
      <c r="T77" s="33"/>
      <c r="U77" s="33"/>
      <c r="V77" s="33"/>
      <c r="W77" s="30">
        <v>39448</v>
      </c>
      <c r="X77" s="30">
        <v>40087</v>
      </c>
      <c r="Y77" s="30">
        <v>41792</v>
      </c>
      <c r="Z77" s="31" t="str">
        <f ca="1">DATEDIF(W77,TODAY(),"y")&amp;" Tahun "&amp;DATEDIF(W77,TODAY(),"ym")&amp;" Bulan "&amp;DATEDIF(W77,TODAY(),"md")&amp;" Hari"</f>
        <v>17 Tahun 9 Bulan 30 Hari</v>
      </c>
      <c r="AA77" s="31" t="s">
        <v>97</v>
      </c>
      <c r="AB77" s="32">
        <v>25862</v>
      </c>
      <c r="AC77" s="31" t="s">
        <v>586</v>
      </c>
      <c r="AD77" s="57" t="str">
        <f t="shared" ref="AD77:AD85" ca="1" si="4">DATEDIF(AB77,TODAY(),"y")&amp;" Tahun "&amp;DATEDIF(AB77,TODAY(),"ym")&amp;" Bulan "</f>
        <v xml:space="preserve">55 Tahun 0 Bulan </v>
      </c>
      <c r="AE77" s="33" t="s">
        <v>587</v>
      </c>
      <c r="AF77" s="34"/>
      <c r="AG77" s="22" t="s">
        <v>330</v>
      </c>
      <c r="AH77" s="58"/>
      <c r="AI77" s="58"/>
      <c r="AJ77" s="58"/>
      <c r="AK77" s="85" t="s">
        <v>596</v>
      </c>
      <c r="AL77" s="36"/>
    </row>
    <row r="78" spans="1:39" ht="14.45" customHeight="1" x14ac:dyDescent="0.25">
      <c r="A78" s="17">
        <v>3</v>
      </c>
      <c r="B78" s="18"/>
      <c r="C78" s="19" t="s">
        <v>589</v>
      </c>
      <c r="D78" s="51" t="s">
        <v>590</v>
      </c>
      <c r="E78" s="58" t="s">
        <v>40</v>
      </c>
      <c r="F78" s="22" t="s">
        <v>41</v>
      </c>
      <c r="G78" s="23" t="s">
        <v>115</v>
      </c>
      <c r="H78" s="22" t="s">
        <v>116</v>
      </c>
      <c r="I78" s="58" t="s">
        <v>44</v>
      </c>
      <c r="J78" s="58" t="s">
        <v>325</v>
      </c>
      <c r="K78" s="24">
        <v>45200</v>
      </c>
      <c r="L78" s="25" t="s">
        <v>591</v>
      </c>
      <c r="M78" s="26">
        <v>42715</v>
      </c>
      <c r="N78" s="26">
        <v>44629</v>
      </c>
      <c r="O78" s="27" t="s">
        <v>583</v>
      </c>
      <c r="P78" s="28" t="s">
        <v>592</v>
      </c>
      <c r="Q78" s="29">
        <v>42696</v>
      </c>
      <c r="R78" s="26">
        <v>44629</v>
      </c>
      <c r="S78" s="85" t="s">
        <v>593</v>
      </c>
      <c r="T78" s="85"/>
      <c r="U78" s="85"/>
      <c r="V78" s="85"/>
      <c r="W78" s="82">
        <v>36861</v>
      </c>
      <c r="X78" s="82">
        <v>41852</v>
      </c>
      <c r="Y78" s="82">
        <v>41852</v>
      </c>
      <c r="Z78" s="55" t="str">
        <f t="shared" ref="Z78:Z85" ca="1" si="5">DATEDIF(X78,TODAY(),"y")&amp;" Tahun "&amp;DATEDIF(X78,TODAY(),"ym")&amp;" Bulan "&amp;DATEDIF(X78,TODAY(),"md")&amp;" Hari"</f>
        <v>11 Tahun 2 Bulan 30 Hari</v>
      </c>
      <c r="AA78" s="66" t="s">
        <v>594</v>
      </c>
      <c r="AB78" s="83">
        <v>26367</v>
      </c>
      <c r="AC78" s="102" t="s">
        <v>595</v>
      </c>
      <c r="AD78" s="57" t="str">
        <f t="shared" ca="1" si="4"/>
        <v xml:space="preserve">53 Tahun 7 Bulan </v>
      </c>
      <c r="AE78" s="59" t="s">
        <v>587</v>
      </c>
      <c r="AF78" s="71"/>
      <c r="AG78" s="22" t="s">
        <v>330</v>
      </c>
      <c r="AH78" s="58"/>
      <c r="AI78" s="58"/>
      <c r="AJ78" s="58"/>
      <c r="AK78" s="33" t="s">
        <v>603</v>
      </c>
      <c r="AL78" s="22" t="s">
        <v>604</v>
      </c>
      <c r="AM78" s="14"/>
    </row>
    <row r="79" spans="1:39" ht="15" x14ac:dyDescent="0.25">
      <c r="A79" s="17">
        <v>4</v>
      </c>
      <c r="B79" s="18"/>
      <c r="C79" s="19" t="s">
        <v>597</v>
      </c>
      <c r="D79" s="20" t="s">
        <v>598</v>
      </c>
      <c r="E79" s="58" t="s">
        <v>40</v>
      </c>
      <c r="F79" s="58" t="s">
        <v>238</v>
      </c>
      <c r="G79" s="33" t="s">
        <v>3872</v>
      </c>
      <c r="H79" s="22" t="s">
        <v>476</v>
      </c>
      <c r="I79" s="22" t="s">
        <v>44</v>
      </c>
      <c r="J79" s="22" t="s">
        <v>343</v>
      </c>
      <c r="K79" s="30">
        <v>45383</v>
      </c>
      <c r="L79" s="25" t="s">
        <v>599</v>
      </c>
      <c r="M79" s="26">
        <v>42228</v>
      </c>
      <c r="N79" s="26">
        <v>44055</v>
      </c>
      <c r="O79" s="27" t="s">
        <v>583</v>
      </c>
      <c r="P79" s="28" t="s">
        <v>600</v>
      </c>
      <c r="Q79" s="26">
        <v>42860</v>
      </c>
      <c r="R79" s="26">
        <v>44055</v>
      </c>
      <c r="S79" s="23" t="s">
        <v>601</v>
      </c>
      <c r="T79" s="23"/>
      <c r="U79" s="33"/>
      <c r="V79" s="33"/>
      <c r="W79" s="30">
        <v>45383</v>
      </c>
      <c r="X79" s="30">
        <v>42826</v>
      </c>
      <c r="Y79" s="30">
        <v>42828</v>
      </c>
      <c r="Z79" s="55" t="str">
        <f t="shared" ca="1" si="5"/>
        <v>8 Tahun 6 Bulan 30 Hari</v>
      </c>
      <c r="AA79" s="55" t="s">
        <v>60</v>
      </c>
      <c r="AB79" s="56">
        <v>30166</v>
      </c>
      <c r="AC79" s="31" t="s">
        <v>602</v>
      </c>
      <c r="AD79" s="57" t="str">
        <f t="shared" ca="1" si="4"/>
        <v xml:space="preserve">43 Tahun 2 Bulan </v>
      </c>
      <c r="AE79" s="33" t="s">
        <v>587</v>
      </c>
      <c r="AF79" s="71"/>
      <c r="AG79" s="22" t="s">
        <v>330</v>
      </c>
      <c r="AH79" s="58"/>
      <c r="AI79" s="58"/>
      <c r="AJ79" s="58"/>
      <c r="AK79" s="33"/>
      <c r="AL79" s="36"/>
    </row>
    <row r="80" spans="1:39" ht="14.45" customHeight="1" x14ac:dyDescent="0.25">
      <c r="A80" s="17">
        <v>5</v>
      </c>
      <c r="B80" s="18">
        <v>1362</v>
      </c>
      <c r="C80" s="19" t="s">
        <v>605</v>
      </c>
      <c r="D80" s="20" t="s">
        <v>606</v>
      </c>
      <c r="E80" s="58" t="s">
        <v>40</v>
      </c>
      <c r="F80" s="58" t="s">
        <v>41</v>
      </c>
      <c r="G80" s="23" t="s">
        <v>137</v>
      </c>
      <c r="H80" s="22" t="s">
        <v>138</v>
      </c>
      <c r="I80" s="22" t="s">
        <v>44</v>
      </c>
      <c r="J80" s="22" t="s">
        <v>343</v>
      </c>
      <c r="K80" s="24">
        <v>45870</v>
      </c>
      <c r="L80" s="22"/>
      <c r="M80" s="22"/>
      <c r="N80" s="22"/>
      <c r="O80" s="27" t="s">
        <v>583</v>
      </c>
      <c r="P80" s="22"/>
      <c r="Q80" s="22"/>
      <c r="R80" s="22"/>
      <c r="S80" s="23" t="s">
        <v>607</v>
      </c>
      <c r="T80" s="23">
        <v>2018</v>
      </c>
      <c r="U80" s="23"/>
      <c r="V80" s="23"/>
      <c r="W80" s="30">
        <v>43497</v>
      </c>
      <c r="X80" s="30">
        <v>43497</v>
      </c>
      <c r="Y80" s="30">
        <v>43497</v>
      </c>
      <c r="Z80" s="55" t="str">
        <f t="shared" ca="1" si="5"/>
        <v>6 Tahun 8 Bulan 30 Hari</v>
      </c>
      <c r="AA80" s="55" t="s">
        <v>608</v>
      </c>
      <c r="AB80" s="56">
        <v>30668</v>
      </c>
      <c r="AC80" s="32" t="s">
        <v>609</v>
      </c>
      <c r="AD80" s="57" t="str">
        <f t="shared" ca="1" si="4"/>
        <v xml:space="preserve">41 Tahun 10 Bulan </v>
      </c>
      <c r="AE80" s="33" t="s">
        <v>587</v>
      </c>
      <c r="AF80" s="71"/>
      <c r="AG80" s="22" t="s">
        <v>330</v>
      </c>
      <c r="AH80" s="65"/>
      <c r="AI80" s="65"/>
      <c r="AJ80" s="65"/>
      <c r="AK80" s="38" t="s">
        <v>112</v>
      </c>
      <c r="AL80" s="38" t="s">
        <v>617</v>
      </c>
      <c r="AM80" s="47"/>
    </row>
    <row r="81" spans="1:39" ht="14.45" customHeight="1" x14ac:dyDescent="0.25">
      <c r="A81" s="17">
        <v>6</v>
      </c>
      <c r="B81" s="18"/>
      <c r="C81" s="19" t="s">
        <v>610</v>
      </c>
      <c r="D81" s="62" t="s">
        <v>611</v>
      </c>
      <c r="E81" s="92" t="s">
        <v>40</v>
      </c>
      <c r="F81" s="92" t="s">
        <v>41</v>
      </c>
      <c r="G81" s="23" t="s">
        <v>102</v>
      </c>
      <c r="H81" s="22" t="s">
        <v>103</v>
      </c>
      <c r="I81" s="22" t="s">
        <v>44</v>
      </c>
      <c r="J81" s="22" t="s">
        <v>343</v>
      </c>
      <c r="K81" s="24">
        <v>45505</v>
      </c>
      <c r="L81" s="25" t="s">
        <v>612</v>
      </c>
      <c r="M81" s="26">
        <v>42641</v>
      </c>
      <c r="N81" s="26">
        <v>44482</v>
      </c>
      <c r="O81" s="27" t="s">
        <v>613</v>
      </c>
      <c r="P81" s="28" t="s">
        <v>614</v>
      </c>
      <c r="Q81" s="29">
        <v>42802</v>
      </c>
      <c r="R81" s="26">
        <v>44482</v>
      </c>
      <c r="S81" s="38" t="s">
        <v>615</v>
      </c>
      <c r="T81" s="38"/>
      <c r="U81" s="38"/>
      <c r="V81" s="38"/>
      <c r="W81" s="30">
        <v>44166</v>
      </c>
      <c r="X81" s="30">
        <v>42767</v>
      </c>
      <c r="Y81" s="30">
        <v>42767</v>
      </c>
      <c r="Z81" s="55" t="str">
        <f t="shared" ca="1" si="5"/>
        <v>8 Tahun 8 Bulan 30 Hari</v>
      </c>
      <c r="AA81" s="93" t="s">
        <v>563</v>
      </c>
      <c r="AB81" s="94">
        <v>29507</v>
      </c>
      <c r="AC81" s="31" t="s">
        <v>616</v>
      </c>
      <c r="AD81" s="57" t="str">
        <f t="shared" ca="1" si="4"/>
        <v xml:space="preserve">45 Tahun 0 Bulan </v>
      </c>
      <c r="AE81" s="33" t="s">
        <v>587</v>
      </c>
      <c r="AF81" s="64"/>
      <c r="AG81" s="22" t="s">
        <v>330</v>
      </c>
      <c r="AH81" s="65"/>
      <c r="AI81" s="65"/>
      <c r="AJ81" s="65"/>
      <c r="AK81" s="38"/>
      <c r="AL81" s="38"/>
      <c r="AM81" s="47"/>
    </row>
    <row r="82" spans="1:39" ht="14.45" customHeight="1" x14ac:dyDescent="0.25">
      <c r="A82" s="17">
        <v>7</v>
      </c>
      <c r="B82" s="18"/>
      <c r="C82" s="19" t="s">
        <v>618</v>
      </c>
      <c r="D82" s="62" t="s">
        <v>619</v>
      </c>
      <c r="E82" s="92" t="s">
        <v>40</v>
      </c>
      <c r="F82" s="92" t="s">
        <v>41</v>
      </c>
      <c r="G82" s="23" t="s">
        <v>227</v>
      </c>
      <c r="H82" s="22" t="s">
        <v>228</v>
      </c>
      <c r="I82" s="22" t="s">
        <v>44</v>
      </c>
      <c r="J82" s="22" t="s">
        <v>378</v>
      </c>
      <c r="K82" s="24">
        <v>44621</v>
      </c>
      <c r="L82" s="25"/>
      <c r="M82" s="26"/>
      <c r="N82" s="26"/>
      <c r="O82" s="27"/>
      <c r="P82" s="28"/>
      <c r="Q82" s="29"/>
      <c r="R82" s="26"/>
      <c r="S82" s="23" t="s">
        <v>607</v>
      </c>
      <c r="T82" s="38">
        <v>2020</v>
      </c>
      <c r="U82" s="38"/>
      <c r="V82" s="38"/>
      <c r="W82" s="30">
        <v>44621</v>
      </c>
      <c r="X82" s="30">
        <v>44621</v>
      </c>
      <c r="Y82" s="30">
        <v>44621</v>
      </c>
      <c r="Z82" s="55" t="str">
        <f t="shared" ca="1" si="5"/>
        <v>3 Tahun 7 Bulan 30 Hari</v>
      </c>
      <c r="AA82" s="93" t="s">
        <v>97</v>
      </c>
      <c r="AB82" s="94">
        <v>32254</v>
      </c>
      <c r="AC82" s="31" t="s">
        <v>620</v>
      </c>
      <c r="AD82" s="57" t="str">
        <f t="shared" ca="1" si="4"/>
        <v xml:space="preserve">37 Tahun 6 Bulan </v>
      </c>
      <c r="AE82" s="34" t="s">
        <v>587</v>
      </c>
      <c r="AF82" s="71" t="s">
        <v>548</v>
      </c>
      <c r="AG82" s="22" t="s">
        <v>330</v>
      </c>
      <c r="AH82" s="65"/>
      <c r="AI82" s="65"/>
      <c r="AJ82" s="65"/>
      <c r="AK82" s="38"/>
      <c r="AL82" s="38"/>
      <c r="AM82" s="47"/>
    </row>
    <row r="83" spans="1:39" ht="14.45" customHeight="1" x14ac:dyDescent="0.25">
      <c r="A83" s="17">
        <v>8</v>
      </c>
      <c r="B83" s="18"/>
      <c r="C83" s="19" t="s">
        <v>621</v>
      </c>
      <c r="D83" s="62" t="s">
        <v>622</v>
      </c>
      <c r="E83" s="92" t="s">
        <v>40</v>
      </c>
      <c r="F83" s="58" t="s">
        <v>623</v>
      </c>
      <c r="G83" s="23" t="s">
        <v>3872</v>
      </c>
      <c r="H83" s="22" t="s">
        <v>3872</v>
      </c>
      <c r="I83" s="22"/>
      <c r="J83" s="22"/>
      <c r="K83" s="24"/>
      <c r="L83" s="25"/>
      <c r="M83" s="26"/>
      <c r="N83" s="26"/>
      <c r="O83" s="27"/>
      <c r="P83" s="28"/>
      <c r="Q83" s="29"/>
      <c r="R83" s="26"/>
      <c r="S83" s="23" t="s">
        <v>624</v>
      </c>
      <c r="T83" s="38"/>
      <c r="U83" s="38"/>
      <c r="V83" s="38"/>
      <c r="W83" s="30">
        <v>45139</v>
      </c>
      <c r="X83" s="30">
        <v>45139</v>
      </c>
      <c r="Y83" s="30">
        <v>45139</v>
      </c>
      <c r="Z83" s="55" t="str">
        <f t="shared" ca="1" si="5"/>
        <v>2 Tahun 2 Bulan 30 Hari</v>
      </c>
      <c r="AA83" s="93" t="s">
        <v>76</v>
      </c>
      <c r="AB83" s="94">
        <v>31766</v>
      </c>
      <c r="AC83" s="31" t="s">
        <v>625</v>
      </c>
      <c r="AD83" s="57" t="str">
        <f t="shared" ca="1" si="4"/>
        <v xml:space="preserve">38 Tahun 10 Bulan </v>
      </c>
      <c r="AE83" s="33" t="s">
        <v>587</v>
      </c>
      <c r="AF83" s="64"/>
      <c r="AG83" s="22" t="s">
        <v>330</v>
      </c>
      <c r="AH83" s="22"/>
      <c r="AI83" s="22"/>
      <c r="AJ83" s="22"/>
      <c r="AK83" s="33" t="s">
        <v>200</v>
      </c>
      <c r="AL83" s="36"/>
    </row>
    <row r="84" spans="1:39" ht="14.45" customHeight="1" x14ac:dyDescent="0.25">
      <c r="A84" s="17">
        <v>9</v>
      </c>
      <c r="B84" s="18"/>
      <c r="C84" s="19" t="s">
        <v>5705</v>
      </c>
      <c r="D84" s="20" t="s">
        <v>626</v>
      </c>
      <c r="E84" s="21" t="s">
        <v>56</v>
      </c>
      <c r="F84" s="22" t="s">
        <v>192</v>
      </c>
      <c r="G84" s="23" t="s">
        <v>227</v>
      </c>
      <c r="H84" s="22" t="s">
        <v>228</v>
      </c>
      <c r="I84" s="22" t="s">
        <v>155</v>
      </c>
      <c r="J84" s="22" t="s">
        <v>378</v>
      </c>
      <c r="K84" s="24" t="s">
        <v>195</v>
      </c>
      <c r="L84" s="22"/>
      <c r="M84" s="22"/>
      <c r="N84" s="22"/>
      <c r="O84" s="22"/>
      <c r="P84" s="22"/>
      <c r="Q84" s="22"/>
      <c r="R84" s="22"/>
      <c r="S84" s="23" t="s">
        <v>607</v>
      </c>
      <c r="T84" s="23"/>
      <c r="U84" s="23"/>
      <c r="V84" s="23"/>
      <c r="W84" s="69">
        <v>45809</v>
      </c>
      <c r="X84" s="69">
        <v>45810</v>
      </c>
      <c r="Y84" s="69">
        <v>45810</v>
      </c>
      <c r="Z84" s="31" t="str">
        <f t="shared" ca="1" si="5"/>
        <v>0 Tahun 4 Bulan 29 Hari</v>
      </c>
      <c r="AA84" s="98" t="s">
        <v>627</v>
      </c>
      <c r="AB84" s="32">
        <v>33817</v>
      </c>
      <c r="AC84" s="32" t="s">
        <v>628</v>
      </c>
      <c r="AD84" s="22" t="str">
        <f t="shared" ca="1" si="4"/>
        <v xml:space="preserve">33 Tahun 2 Bulan </v>
      </c>
      <c r="AE84" s="33" t="s">
        <v>587</v>
      </c>
      <c r="AF84" s="34"/>
      <c r="AG84" s="22" t="s">
        <v>330</v>
      </c>
      <c r="AH84" s="22"/>
      <c r="AI84" s="22"/>
      <c r="AJ84" s="22"/>
      <c r="AK84" s="33" t="s">
        <v>200</v>
      </c>
      <c r="AL84" s="36"/>
    </row>
    <row r="85" spans="1:39" ht="14.45" customHeight="1" x14ac:dyDescent="0.25">
      <c r="A85" s="17">
        <v>1</v>
      </c>
      <c r="B85" s="18"/>
      <c r="C85" s="19" t="s">
        <v>5706</v>
      </c>
      <c r="D85" s="20" t="s">
        <v>629</v>
      </c>
      <c r="E85" s="21" t="s">
        <v>56</v>
      </c>
      <c r="F85" s="22" t="s">
        <v>192</v>
      </c>
      <c r="G85" s="23" t="s">
        <v>227</v>
      </c>
      <c r="H85" s="22" t="s">
        <v>228</v>
      </c>
      <c r="I85" s="22" t="s">
        <v>155</v>
      </c>
      <c r="J85" s="22" t="s">
        <v>378</v>
      </c>
      <c r="K85" s="24" t="s">
        <v>195</v>
      </c>
      <c r="L85" s="22"/>
      <c r="M85" s="22"/>
      <c r="N85" s="22"/>
      <c r="O85" s="22"/>
      <c r="P85" s="22"/>
      <c r="Q85" s="22"/>
      <c r="R85" s="22"/>
      <c r="S85" s="23" t="s">
        <v>615</v>
      </c>
      <c r="T85" s="23"/>
      <c r="U85" s="23"/>
      <c r="V85" s="23"/>
      <c r="W85" s="69">
        <v>45809</v>
      </c>
      <c r="X85" s="69">
        <v>45810</v>
      </c>
      <c r="Y85" s="69">
        <v>45810</v>
      </c>
      <c r="Z85" s="31" t="str">
        <f t="shared" ca="1" si="5"/>
        <v>0 Tahun 4 Bulan 29 Hari</v>
      </c>
      <c r="AA85" s="23" t="s">
        <v>630</v>
      </c>
      <c r="AB85" s="32">
        <v>34102</v>
      </c>
      <c r="AC85" s="32" t="s">
        <v>631</v>
      </c>
      <c r="AD85" s="22" t="str">
        <f t="shared" ca="1" si="4"/>
        <v xml:space="preserve">32 Tahun 5 Bulan </v>
      </c>
      <c r="AE85" s="33" t="s">
        <v>587</v>
      </c>
      <c r="AF85" s="34"/>
      <c r="AG85" s="22" t="s">
        <v>330</v>
      </c>
      <c r="AH85" s="38"/>
      <c r="AI85" s="38"/>
      <c r="AJ85" s="38"/>
      <c r="AK85" s="38" t="s">
        <v>112</v>
      </c>
      <c r="AL85" s="38"/>
      <c r="AM85" s="47"/>
    </row>
    <row r="86" spans="1:39" ht="14.45" customHeight="1" x14ac:dyDescent="0.25">
      <c r="A86" s="17">
        <v>1</v>
      </c>
      <c r="B86" s="18">
        <v>78</v>
      </c>
      <c r="C86" s="19" t="s">
        <v>632</v>
      </c>
      <c r="D86" s="62" t="s">
        <v>633</v>
      </c>
      <c r="E86" s="35" t="s">
        <v>40</v>
      </c>
      <c r="F86" s="35" t="s">
        <v>41</v>
      </c>
      <c r="G86" s="23" t="s">
        <v>102</v>
      </c>
      <c r="H86" s="22" t="s">
        <v>103</v>
      </c>
      <c r="I86" s="22" t="s">
        <v>44</v>
      </c>
      <c r="J86" s="22" t="s">
        <v>343</v>
      </c>
      <c r="K86" s="24">
        <v>45505</v>
      </c>
      <c r="L86" s="25"/>
      <c r="M86" s="26"/>
      <c r="N86" s="26"/>
      <c r="O86" s="27" t="s">
        <v>634</v>
      </c>
      <c r="P86" s="28"/>
      <c r="Q86" s="29"/>
      <c r="R86" s="26"/>
      <c r="S86" s="38" t="s">
        <v>635</v>
      </c>
      <c r="T86" s="38"/>
      <c r="U86" s="38"/>
      <c r="V86" s="38"/>
      <c r="W86" s="30">
        <v>44166</v>
      </c>
      <c r="X86" s="37">
        <v>43344</v>
      </c>
      <c r="Y86" s="37">
        <v>43344</v>
      </c>
      <c r="Z86" s="31" t="str">
        <f ca="1">DATEDIF(X86,TODAY(),"y")&amp;" Tahun "&amp;DATEDIF(X86,TODAY(),"ym")&amp;" Bulan "&amp;DATEDIF(X86,TODAY(),"md")&amp;" Hari"</f>
        <v>7 Tahun 1 Bulan 30 Hari</v>
      </c>
      <c r="AA86" s="63" t="s">
        <v>636</v>
      </c>
      <c r="AB86" s="39">
        <v>31521</v>
      </c>
      <c r="AC86" s="31" t="s">
        <v>637</v>
      </c>
      <c r="AD86" s="22" t="str">
        <f ca="1">DATEDIF(AB86,TODAY(),"y")&amp;" Tahun "&amp;DATEDIF(AB86,TODAY(),"ym")&amp;" Bulan "</f>
        <v xml:space="preserve">39 Tahun 6 Bulan </v>
      </c>
      <c r="AE86" s="38" t="s">
        <v>638</v>
      </c>
      <c r="AF86" s="96" t="s">
        <v>639</v>
      </c>
      <c r="AG86" s="22" t="s">
        <v>330</v>
      </c>
      <c r="AH86" s="22"/>
      <c r="AI86" s="22"/>
      <c r="AJ86" s="22"/>
      <c r="AK86" s="33"/>
      <c r="AL86" s="22"/>
    </row>
    <row r="87" spans="1:39" ht="14.45" customHeight="1" x14ac:dyDescent="0.25">
      <c r="A87" s="17">
        <v>2</v>
      </c>
      <c r="B87" s="18"/>
      <c r="C87" s="19" t="s">
        <v>640</v>
      </c>
      <c r="D87" s="20" t="s">
        <v>641</v>
      </c>
      <c r="E87" s="22" t="s">
        <v>56</v>
      </c>
      <c r="F87" s="22" t="s">
        <v>41</v>
      </c>
      <c r="G87" s="23" t="s">
        <v>115</v>
      </c>
      <c r="H87" s="22" t="s">
        <v>116</v>
      </c>
      <c r="I87" s="22" t="s">
        <v>44</v>
      </c>
      <c r="J87" s="22" t="s">
        <v>642</v>
      </c>
      <c r="K87" s="24">
        <v>45870</v>
      </c>
      <c r="L87" s="25" t="s">
        <v>643</v>
      </c>
      <c r="M87" s="26">
        <v>42519</v>
      </c>
      <c r="N87" s="26">
        <v>44678</v>
      </c>
      <c r="O87" s="27" t="s">
        <v>644</v>
      </c>
      <c r="P87" s="28" t="s">
        <v>645</v>
      </c>
      <c r="Q87" s="29">
        <v>42634</v>
      </c>
      <c r="R87" s="26">
        <v>44678</v>
      </c>
      <c r="S87" s="23" t="s">
        <v>646</v>
      </c>
      <c r="T87" s="23"/>
      <c r="U87" s="23"/>
      <c r="V87" s="23"/>
      <c r="W87" s="30">
        <v>38808</v>
      </c>
      <c r="X87" s="30">
        <v>42278</v>
      </c>
      <c r="Y87" s="30">
        <v>42278</v>
      </c>
      <c r="Z87" s="31" t="str">
        <f ca="1">DATEDIF(X87,TODAY(),"y")&amp;" Tahun "&amp;DATEDIF(X87,TODAY(),"ym")&amp;" Bulan "&amp;DATEDIF(X87,TODAY(),"md")&amp;" Hari"</f>
        <v>10 Tahun 0 Bulan 30 Hari</v>
      </c>
      <c r="AA87" s="32" t="s">
        <v>60</v>
      </c>
      <c r="AB87" s="32">
        <v>28242</v>
      </c>
      <c r="AC87" s="31" t="s">
        <v>647</v>
      </c>
      <c r="AD87" s="31" t="str">
        <f t="shared" ref="AD87:AD92" ca="1" si="6">DATEDIF(AB87,TODAY(),"y")&amp;" Tahun "&amp;DATEDIF(AB87,TODAY(),"ym")&amp;" Bulan "</f>
        <v xml:space="preserve">48 Tahun 6 Bulan </v>
      </c>
      <c r="AE87" s="33" t="s">
        <v>111</v>
      </c>
      <c r="AF87" s="34" t="s">
        <v>648</v>
      </c>
      <c r="AG87" s="22" t="s">
        <v>330</v>
      </c>
      <c r="AH87" s="22"/>
      <c r="AI87" s="22"/>
      <c r="AJ87" s="22"/>
      <c r="AK87" s="33"/>
      <c r="AL87" s="36"/>
    </row>
    <row r="88" spans="1:39" ht="14.45" customHeight="1" x14ac:dyDescent="0.25">
      <c r="A88" s="17">
        <v>3</v>
      </c>
      <c r="B88" s="18"/>
      <c r="C88" s="19" t="s">
        <v>649</v>
      </c>
      <c r="D88" s="20" t="s">
        <v>650</v>
      </c>
      <c r="E88" s="21" t="s">
        <v>56</v>
      </c>
      <c r="F88" s="22" t="s">
        <v>41</v>
      </c>
      <c r="G88" s="23" t="s">
        <v>115</v>
      </c>
      <c r="H88" s="22" t="s">
        <v>116</v>
      </c>
      <c r="I88" s="60" t="s">
        <v>44</v>
      </c>
      <c r="J88" s="60" t="s">
        <v>642</v>
      </c>
      <c r="K88" s="24">
        <v>45505</v>
      </c>
      <c r="L88" s="25" t="s">
        <v>651</v>
      </c>
      <c r="M88" s="26">
        <v>43207</v>
      </c>
      <c r="N88" s="26">
        <v>45345</v>
      </c>
      <c r="O88" s="27" t="s">
        <v>652</v>
      </c>
      <c r="P88" s="28" t="s">
        <v>653</v>
      </c>
      <c r="Q88" s="29">
        <v>43257</v>
      </c>
      <c r="R88" s="26">
        <v>45345</v>
      </c>
      <c r="S88" s="33" t="s">
        <v>654</v>
      </c>
      <c r="T88" s="33"/>
      <c r="U88" s="33"/>
      <c r="V88" s="33"/>
      <c r="W88" s="30">
        <v>39783</v>
      </c>
      <c r="X88" s="30">
        <v>39995</v>
      </c>
      <c r="Y88" s="30">
        <v>41792</v>
      </c>
      <c r="Z88" s="31" t="str">
        <f ca="1">DATEDIF(W88,TODAY(),"y")&amp;" Tahun "&amp;DATEDIF(W88,TODAY(),"ym")&amp;" Bulan "&amp;DATEDIF(W88,TODAY(),"md")&amp;" Hari"</f>
        <v>16 Tahun 10 Bulan 30 Hari</v>
      </c>
      <c r="AA88" s="31" t="s">
        <v>97</v>
      </c>
      <c r="AB88" s="32">
        <v>27083</v>
      </c>
      <c r="AC88" s="31" t="s">
        <v>655</v>
      </c>
      <c r="AD88" s="22" t="str">
        <f t="shared" ca="1" si="6"/>
        <v xml:space="preserve">51 Tahun 8 Bulan </v>
      </c>
      <c r="AE88" s="33" t="s">
        <v>111</v>
      </c>
      <c r="AF88" s="34"/>
      <c r="AG88" s="22" t="s">
        <v>330</v>
      </c>
      <c r="AH88" s="22"/>
      <c r="AI88" s="22"/>
      <c r="AJ88" s="22"/>
      <c r="AK88" s="33"/>
      <c r="AL88" s="22"/>
    </row>
    <row r="89" spans="1:39" ht="14.45" customHeight="1" x14ac:dyDescent="0.25">
      <c r="A89" s="17">
        <v>4</v>
      </c>
      <c r="B89" s="18"/>
      <c r="C89" s="19" t="s">
        <v>656</v>
      </c>
      <c r="D89" s="20" t="s">
        <v>657</v>
      </c>
      <c r="E89" s="22" t="s">
        <v>56</v>
      </c>
      <c r="F89" s="22" t="s">
        <v>41</v>
      </c>
      <c r="G89" s="23" t="s">
        <v>137</v>
      </c>
      <c r="H89" s="22" t="s">
        <v>138</v>
      </c>
      <c r="I89" s="22" t="s">
        <v>44</v>
      </c>
      <c r="J89" s="22" t="s">
        <v>658</v>
      </c>
      <c r="K89" s="24">
        <v>44470</v>
      </c>
      <c r="L89" s="25" t="s">
        <v>659</v>
      </c>
      <c r="M89" s="26">
        <v>42726</v>
      </c>
      <c r="N89" s="26">
        <v>44607</v>
      </c>
      <c r="O89" s="27" t="s">
        <v>644</v>
      </c>
      <c r="P89" s="28" t="s">
        <v>660</v>
      </c>
      <c r="Q89" s="26">
        <v>42723</v>
      </c>
      <c r="R89" s="26">
        <v>44607</v>
      </c>
      <c r="S89" s="23" t="s">
        <v>661</v>
      </c>
      <c r="T89" s="23"/>
      <c r="U89" s="23"/>
      <c r="V89" s="23"/>
      <c r="W89" s="30">
        <v>42095</v>
      </c>
      <c r="X89" s="30">
        <v>42095</v>
      </c>
      <c r="Y89" s="30">
        <v>42095</v>
      </c>
      <c r="Z89" s="31" t="str">
        <f ca="1">DATEDIF(X89,TODAY(),"y")&amp;" Tahun "&amp;DATEDIF(X89,TODAY(),"ym")&amp;" Bulan "&amp;DATEDIF(X89,TODAY(),"md")&amp;" Hari"</f>
        <v>10 Tahun 6 Bulan 30 Hari</v>
      </c>
      <c r="AA89" s="32" t="s">
        <v>76</v>
      </c>
      <c r="AB89" s="32">
        <v>31823</v>
      </c>
      <c r="AC89" s="31" t="s">
        <v>662</v>
      </c>
      <c r="AD89" s="22" t="str">
        <f t="shared" ca="1" si="6"/>
        <v xml:space="preserve">38 Tahun 8 Bulan </v>
      </c>
      <c r="AE89" s="33" t="s">
        <v>111</v>
      </c>
      <c r="AF89" s="34"/>
      <c r="AG89" s="22" t="s">
        <v>330</v>
      </c>
      <c r="AH89" s="65"/>
      <c r="AI89" s="65"/>
      <c r="AJ89" s="65"/>
      <c r="AK89" s="38" t="s">
        <v>112</v>
      </c>
      <c r="AL89" s="38"/>
      <c r="AM89" s="47"/>
    </row>
    <row r="90" spans="1:39" ht="14.45" customHeight="1" x14ac:dyDescent="0.25">
      <c r="A90" s="17">
        <v>5</v>
      </c>
      <c r="B90" s="18">
        <v>1287</v>
      </c>
      <c r="C90" s="19" t="s">
        <v>663</v>
      </c>
      <c r="D90" s="62" t="s">
        <v>664</v>
      </c>
      <c r="E90" s="92" t="s">
        <v>40</v>
      </c>
      <c r="F90" s="35" t="s">
        <v>41</v>
      </c>
      <c r="G90" s="23" t="s">
        <v>102</v>
      </c>
      <c r="H90" s="22" t="s">
        <v>103</v>
      </c>
      <c r="I90" s="22" t="s">
        <v>44</v>
      </c>
      <c r="J90" s="22" t="s">
        <v>104</v>
      </c>
      <c r="K90" s="24">
        <v>45505</v>
      </c>
      <c r="L90" s="25" t="s">
        <v>665</v>
      </c>
      <c r="M90" s="26">
        <v>43123</v>
      </c>
      <c r="N90" s="26">
        <v>45206</v>
      </c>
      <c r="O90" s="27" t="s">
        <v>666</v>
      </c>
      <c r="P90" s="28" t="s">
        <v>667</v>
      </c>
      <c r="Q90" s="29">
        <v>43222</v>
      </c>
      <c r="R90" s="26">
        <v>45206</v>
      </c>
      <c r="S90" s="38" t="s">
        <v>668</v>
      </c>
      <c r="T90" s="38"/>
      <c r="U90" s="38"/>
      <c r="V90" s="38"/>
      <c r="W90" s="30">
        <v>44166</v>
      </c>
      <c r="X90" s="30">
        <v>43160</v>
      </c>
      <c r="Y90" s="30">
        <v>43160</v>
      </c>
      <c r="Z90" s="55" t="str">
        <f ca="1">DATEDIF(X90,TODAY(),"y")&amp;" Tahun "&amp;DATEDIF(X90,TODAY(),"ym")&amp;" Bulan "&amp;DATEDIF(X90,TODAY(),"md")&amp;" Hari"</f>
        <v>7 Tahun 7 Bulan 30 Hari</v>
      </c>
      <c r="AA90" s="93" t="s">
        <v>60</v>
      </c>
      <c r="AB90" s="94">
        <v>32057</v>
      </c>
      <c r="AC90" s="31" t="s">
        <v>669</v>
      </c>
      <c r="AD90" s="57" t="str">
        <f t="shared" ca="1" si="6"/>
        <v xml:space="preserve">38 Tahun 0 Bulan </v>
      </c>
      <c r="AE90" s="38" t="s">
        <v>111</v>
      </c>
      <c r="AF90" s="64" t="s">
        <v>670</v>
      </c>
      <c r="AG90" s="22" t="s">
        <v>330</v>
      </c>
      <c r="AH90" s="22"/>
      <c r="AI90" s="22"/>
      <c r="AJ90" s="22"/>
      <c r="AK90" s="33" t="s">
        <v>676</v>
      </c>
      <c r="AL90" s="36"/>
    </row>
    <row r="91" spans="1:39" ht="14.45" customHeight="1" x14ac:dyDescent="0.25">
      <c r="A91" s="17">
        <v>6</v>
      </c>
      <c r="B91" s="78">
        <v>1372</v>
      </c>
      <c r="C91" s="19" t="s">
        <v>671</v>
      </c>
      <c r="D91" s="20" t="s">
        <v>672</v>
      </c>
      <c r="E91" s="22" t="s">
        <v>56</v>
      </c>
      <c r="F91" s="22" t="s">
        <v>41</v>
      </c>
      <c r="G91" s="23" t="s">
        <v>102</v>
      </c>
      <c r="H91" s="22" t="s">
        <v>103</v>
      </c>
      <c r="I91" s="22" t="s">
        <v>44</v>
      </c>
      <c r="J91" s="22" t="s">
        <v>104</v>
      </c>
      <c r="K91" s="24">
        <v>45505</v>
      </c>
      <c r="L91" s="25"/>
      <c r="M91" s="26"/>
      <c r="N91" s="26"/>
      <c r="O91" s="27"/>
      <c r="P91" s="28"/>
      <c r="Q91" s="29"/>
      <c r="R91" s="26"/>
      <c r="S91" s="33" t="s">
        <v>673</v>
      </c>
      <c r="T91" s="23"/>
      <c r="U91" s="23"/>
      <c r="V91" s="23"/>
      <c r="W91" s="30">
        <v>44166</v>
      </c>
      <c r="X91" s="30">
        <v>44197</v>
      </c>
      <c r="Y91" s="30">
        <v>44197</v>
      </c>
      <c r="Z91" s="31" t="str">
        <f ca="1">DATEDIF(X91,TODAY(),"y")&amp;" Tahun "&amp;DATEDIF(X91,TODAY(),"ym")&amp;" Bulan "&amp;DATEDIF(X91,TODAY(),"md")&amp;" Hari"</f>
        <v>4 Tahun 9 Bulan 30 Hari</v>
      </c>
      <c r="AA91" s="31" t="s">
        <v>674</v>
      </c>
      <c r="AB91" s="32">
        <v>31108</v>
      </c>
      <c r="AC91" s="32" t="s">
        <v>675</v>
      </c>
      <c r="AD91" s="22" t="str">
        <f t="shared" ca="1" si="6"/>
        <v xml:space="preserve">40 Tahun 7 Bulan </v>
      </c>
      <c r="AE91" s="38" t="s">
        <v>111</v>
      </c>
      <c r="AF91" s="34"/>
      <c r="AG91" s="22" t="s">
        <v>330</v>
      </c>
      <c r="AH91" s="22"/>
      <c r="AI91" s="22"/>
      <c r="AJ91" s="22"/>
      <c r="AK91" s="33" t="s">
        <v>314</v>
      </c>
      <c r="AL91" s="21"/>
      <c r="AM91" s="14"/>
    </row>
    <row r="92" spans="1:39" ht="14.45" customHeight="1" x14ac:dyDescent="0.25">
      <c r="A92" s="17">
        <v>1</v>
      </c>
      <c r="B92" s="18"/>
      <c r="C92" s="19" t="s">
        <v>677</v>
      </c>
      <c r="D92" s="20" t="s">
        <v>678</v>
      </c>
      <c r="E92" s="22" t="s">
        <v>40</v>
      </c>
      <c r="F92" s="22" t="s">
        <v>238</v>
      </c>
      <c r="G92" s="33" t="s">
        <v>3872</v>
      </c>
      <c r="H92" s="22" t="s">
        <v>305</v>
      </c>
      <c r="I92" s="22" t="s">
        <v>44</v>
      </c>
      <c r="J92" s="22" t="s">
        <v>679</v>
      </c>
      <c r="K92" s="30"/>
      <c r="L92" s="53" t="s">
        <v>680</v>
      </c>
      <c r="M92" s="26">
        <v>42164</v>
      </c>
      <c r="N92" s="26">
        <v>43991</v>
      </c>
      <c r="O92" s="40" t="s">
        <v>681</v>
      </c>
      <c r="P92" s="53" t="s">
        <v>682</v>
      </c>
      <c r="Q92" s="26">
        <v>43108</v>
      </c>
      <c r="R92" s="26">
        <v>43991</v>
      </c>
      <c r="S92" s="33" t="s">
        <v>673</v>
      </c>
      <c r="T92" s="33"/>
      <c r="U92" s="33"/>
      <c r="V92" s="33"/>
      <c r="W92" s="30">
        <v>45047</v>
      </c>
      <c r="X92" s="30">
        <v>43070</v>
      </c>
      <c r="Y92" s="30">
        <v>43070</v>
      </c>
      <c r="Z92" s="31" t="str">
        <f ca="1">DATEDIF(X92,TODAY(),"y")&amp;" Tahun "&amp;DATEDIF(X92,TODAY(),"ym")&amp;" Bulan "&amp;DATEDIF(X92,TODAY(),"md")&amp;" Hari"</f>
        <v>7 Tahun 10 Bulan 30 Hari</v>
      </c>
      <c r="AA92" s="31" t="s">
        <v>683</v>
      </c>
      <c r="AB92" s="32">
        <v>30895</v>
      </c>
      <c r="AC92" s="32" t="s">
        <v>684</v>
      </c>
      <c r="AD92" s="22" t="str">
        <f t="shared" ca="1" si="6"/>
        <v xml:space="preserve">41 Tahun 2 Bulan </v>
      </c>
      <c r="AE92" s="33" t="s">
        <v>111</v>
      </c>
      <c r="AF92" s="34"/>
      <c r="AG92" s="22" t="s">
        <v>330</v>
      </c>
      <c r="AH92" s="22"/>
      <c r="AI92" s="22"/>
      <c r="AJ92" s="22"/>
      <c r="AK92" s="33" t="s">
        <v>485</v>
      </c>
      <c r="AL92" s="22"/>
    </row>
    <row r="93" spans="1:39" ht="14.45" customHeight="1" x14ac:dyDescent="0.25">
      <c r="A93" s="17">
        <v>1</v>
      </c>
      <c r="B93" s="18"/>
      <c r="C93" s="19" t="s">
        <v>685</v>
      </c>
      <c r="D93" s="20" t="s">
        <v>686</v>
      </c>
      <c r="E93" s="58" t="s">
        <v>56</v>
      </c>
      <c r="F93" s="22" t="s">
        <v>238</v>
      </c>
      <c r="G93" s="23" t="s">
        <v>3872</v>
      </c>
      <c r="H93" s="22" t="s">
        <v>476</v>
      </c>
      <c r="I93" s="22" t="s">
        <v>44</v>
      </c>
      <c r="J93" s="22" t="s">
        <v>343</v>
      </c>
      <c r="K93" s="24">
        <v>45383</v>
      </c>
      <c r="L93" s="53"/>
      <c r="M93" s="26"/>
      <c r="N93" s="26"/>
      <c r="O93" s="27"/>
      <c r="P93" s="53"/>
      <c r="Q93" s="26"/>
      <c r="R93" s="26"/>
      <c r="S93" s="23" t="s">
        <v>506</v>
      </c>
      <c r="T93" s="23"/>
      <c r="U93" s="23"/>
      <c r="V93" s="23"/>
      <c r="W93" s="30">
        <v>45383</v>
      </c>
      <c r="X93" s="30">
        <v>45139</v>
      </c>
      <c r="Y93" s="30">
        <v>45139</v>
      </c>
      <c r="Z93" s="31" t="str">
        <f ca="1">DATEDIF(X93,TODAY(),"y")&amp;" Tahun "&amp;DATEDIF(X93,TODAY(),"ym")&amp;" Bulan "&amp;DATEDIF(X93,TODAY(),"md")&amp;" Hari"</f>
        <v>2 Tahun 2 Bulan 30 Hari</v>
      </c>
      <c r="AA93" s="83" t="s">
        <v>50</v>
      </c>
      <c r="AB93" s="56">
        <v>30445</v>
      </c>
      <c r="AC93" s="31" t="s">
        <v>687</v>
      </c>
      <c r="AD93" s="55" t="str">
        <f t="shared" ref="AD93:AD114" ca="1" si="7">DATEDIF(AB93,TODAY(),"y")&amp;" Tahun "&amp;DATEDIF(AB93,TODAY(),"ym")&amp;" Bulan "</f>
        <v xml:space="preserve">42 Tahun 5 Bulan </v>
      </c>
      <c r="AE93" s="33" t="s">
        <v>688</v>
      </c>
      <c r="AF93" s="71" t="s">
        <v>689</v>
      </c>
      <c r="AG93" s="22" t="s">
        <v>330</v>
      </c>
      <c r="AH93" s="33"/>
      <c r="AI93" s="104"/>
      <c r="AJ93" s="22"/>
      <c r="AK93" s="41"/>
      <c r="AL93" s="33"/>
      <c r="AM93" s="106"/>
    </row>
    <row r="94" spans="1:39" ht="14.45" customHeight="1" x14ac:dyDescent="0.25">
      <c r="A94" s="17">
        <v>2</v>
      </c>
      <c r="B94" s="18">
        <v>123</v>
      </c>
      <c r="C94" s="19" t="s">
        <v>690</v>
      </c>
      <c r="D94" s="62" t="s">
        <v>691</v>
      </c>
      <c r="E94" s="41" t="s">
        <v>40</v>
      </c>
      <c r="F94" s="22" t="s">
        <v>41</v>
      </c>
      <c r="G94" s="33" t="s">
        <v>227</v>
      </c>
      <c r="H94" s="22" t="s">
        <v>228</v>
      </c>
      <c r="I94" s="22" t="s">
        <v>44</v>
      </c>
      <c r="J94" s="22" t="s">
        <v>378</v>
      </c>
      <c r="K94" s="24">
        <v>42759</v>
      </c>
      <c r="L94" s="22"/>
      <c r="M94" s="41"/>
      <c r="N94" s="33"/>
      <c r="O94" s="104"/>
      <c r="P94" s="22"/>
      <c r="Q94" s="41"/>
      <c r="R94" s="33"/>
      <c r="S94" s="38" t="s">
        <v>372</v>
      </c>
      <c r="T94" s="22"/>
      <c r="U94" s="41"/>
      <c r="V94" s="33"/>
      <c r="W94" s="30">
        <v>42064</v>
      </c>
      <c r="X94" s="30">
        <v>43891</v>
      </c>
      <c r="Y94" s="95">
        <v>44046</v>
      </c>
      <c r="Z94" s="31" t="str">
        <f ca="1">DATEDIF(W94,TODAY(),"y")&amp;" Tahun "&amp;DATEDIF(W94,TODAY(),"ym")&amp;" Bulan "&amp;DATEDIF(W94,TODAY(),"md")&amp;" Hari"</f>
        <v>10 Tahun 7 Bulan 30 Hari</v>
      </c>
      <c r="AA94" s="105" t="s">
        <v>60</v>
      </c>
      <c r="AB94" s="32">
        <v>29363</v>
      </c>
      <c r="AC94" s="105" t="s">
        <v>692</v>
      </c>
      <c r="AD94" s="22" t="str">
        <f t="shared" ca="1" si="7"/>
        <v xml:space="preserve">45 Tahun 5 Bulan </v>
      </c>
      <c r="AE94" s="33" t="s">
        <v>693</v>
      </c>
      <c r="AF94" s="41"/>
      <c r="AG94" s="22" t="s">
        <v>330</v>
      </c>
      <c r="AH94" s="33"/>
      <c r="AI94" s="104"/>
      <c r="AJ94" s="22"/>
      <c r="AK94" s="41"/>
      <c r="AL94" s="33"/>
      <c r="AM94" s="106"/>
    </row>
    <row r="95" spans="1:39" ht="14.45" customHeight="1" x14ac:dyDescent="0.25">
      <c r="A95" s="17">
        <v>3</v>
      </c>
      <c r="B95" s="18"/>
      <c r="C95" s="19" t="s">
        <v>694</v>
      </c>
      <c r="D95" s="62" t="s">
        <v>695</v>
      </c>
      <c r="E95" s="41" t="s">
        <v>56</v>
      </c>
      <c r="F95" s="58" t="s">
        <v>623</v>
      </c>
      <c r="G95" s="33" t="s">
        <v>3872</v>
      </c>
      <c r="H95" s="22" t="s">
        <v>3872</v>
      </c>
      <c r="I95" s="22"/>
      <c r="J95" s="22"/>
      <c r="K95" s="24"/>
      <c r="L95" s="22"/>
      <c r="M95" s="41"/>
      <c r="N95" s="33"/>
      <c r="O95" s="104"/>
      <c r="P95" s="22"/>
      <c r="Q95" s="41"/>
      <c r="R95" s="33"/>
      <c r="S95" s="38" t="s">
        <v>696</v>
      </c>
      <c r="T95" s="22"/>
      <c r="U95" s="41"/>
      <c r="V95" s="33"/>
      <c r="W95" s="30"/>
      <c r="X95" s="30">
        <v>45323</v>
      </c>
      <c r="Y95" s="95">
        <v>45323</v>
      </c>
      <c r="Z95" s="55" t="str">
        <f ca="1">DATEDIF(X95,TODAY(),"y")&amp;" Tahun "&amp;DATEDIF(X95,TODAY(),"ym")&amp;" Bulan "&amp;DATEDIF(X95,TODAY(),"md")&amp;" Hari"</f>
        <v>1 Tahun 8 Bulan 30 Hari</v>
      </c>
      <c r="AA95" s="63" t="s">
        <v>697</v>
      </c>
      <c r="AB95" s="32">
        <v>32849</v>
      </c>
      <c r="AC95" s="105" t="s">
        <v>698</v>
      </c>
      <c r="AD95" s="22" t="str">
        <f t="shared" ca="1" si="7"/>
        <v xml:space="preserve">35 Tahun 10 Bulan </v>
      </c>
      <c r="AE95" s="33" t="s">
        <v>693</v>
      </c>
      <c r="AF95" s="41"/>
      <c r="AG95" s="22" t="s">
        <v>330</v>
      </c>
      <c r="AH95" s="22"/>
      <c r="AI95" s="22"/>
      <c r="AJ95" s="22"/>
      <c r="AK95" s="33" t="s">
        <v>200</v>
      </c>
      <c r="AL95" s="36"/>
    </row>
    <row r="96" spans="1:39" ht="14.45" customHeight="1" x14ac:dyDescent="0.25">
      <c r="A96" s="17">
        <v>1</v>
      </c>
      <c r="B96" s="18"/>
      <c r="C96" s="19" t="s">
        <v>5707</v>
      </c>
      <c r="D96" s="20" t="s">
        <v>699</v>
      </c>
      <c r="E96" s="21" t="s">
        <v>40</v>
      </c>
      <c r="F96" s="22" t="s">
        <v>192</v>
      </c>
      <c r="G96" s="23" t="s">
        <v>227</v>
      </c>
      <c r="H96" s="22" t="s">
        <v>228</v>
      </c>
      <c r="I96" s="22" t="s">
        <v>155</v>
      </c>
      <c r="J96" s="22" t="s">
        <v>378</v>
      </c>
      <c r="K96" s="24" t="s">
        <v>195</v>
      </c>
      <c r="L96" s="22"/>
      <c r="M96" s="22"/>
      <c r="N96" s="22"/>
      <c r="O96" s="22"/>
      <c r="P96" s="22"/>
      <c r="Q96" s="22"/>
      <c r="R96" s="22"/>
      <c r="S96" s="23" t="s">
        <v>696</v>
      </c>
      <c r="T96" s="23"/>
      <c r="U96" s="23"/>
      <c r="V96" s="23"/>
      <c r="W96" s="69">
        <v>45809</v>
      </c>
      <c r="X96" s="69">
        <v>45810</v>
      </c>
      <c r="Y96" s="69">
        <v>45810</v>
      </c>
      <c r="Z96" s="31" t="str">
        <f ca="1">DATEDIF(X96,TODAY(),"y")&amp;" Tahun "&amp;DATEDIF(X96,TODAY(),"ym")&amp;" Bulan "&amp;DATEDIF(X96,TODAY(),"md")&amp;" Hari"</f>
        <v>0 Tahun 4 Bulan 29 Hari</v>
      </c>
      <c r="AA96" s="98" t="s">
        <v>700</v>
      </c>
      <c r="AB96" s="32">
        <v>33019</v>
      </c>
      <c r="AC96" s="32" t="s">
        <v>701</v>
      </c>
      <c r="AD96" s="22" t="str">
        <f t="shared" ca="1" si="7"/>
        <v xml:space="preserve">35 Tahun 5 Bulan </v>
      </c>
      <c r="AE96" s="33" t="s">
        <v>693</v>
      </c>
      <c r="AF96" s="34"/>
      <c r="AG96" s="22" t="s">
        <v>330</v>
      </c>
      <c r="AH96" s="22"/>
      <c r="AI96" s="22"/>
      <c r="AJ96" s="22"/>
      <c r="AK96" s="33"/>
      <c r="AL96" s="36"/>
    </row>
    <row r="97" spans="1:39" ht="14.45" customHeight="1" x14ac:dyDescent="0.25">
      <c r="A97" s="17">
        <v>1</v>
      </c>
      <c r="B97" s="18"/>
      <c r="C97" s="19" t="s">
        <v>702</v>
      </c>
      <c r="D97" s="20" t="s">
        <v>703</v>
      </c>
      <c r="E97" s="21" t="s">
        <v>40</v>
      </c>
      <c r="F97" s="22" t="s">
        <v>41</v>
      </c>
      <c r="G97" s="23" t="s">
        <v>57</v>
      </c>
      <c r="H97" s="22" t="s">
        <v>58</v>
      </c>
      <c r="I97" s="22" t="s">
        <v>44</v>
      </c>
      <c r="J97" s="22" t="s">
        <v>325</v>
      </c>
      <c r="K97" s="24">
        <v>44470</v>
      </c>
      <c r="L97" s="53" t="s">
        <v>704</v>
      </c>
      <c r="M97" s="26">
        <v>43038</v>
      </c>
      <c r="N97" s="26">
        <v>45044</v>
      </c>
      <c r="O97" s="27" t="s">
        <v>705</v>
      </c>
      <c r="P97" s="53" t="s">
        <v>706</v>
      </c>
      <c r="Q97" s="26">
        <v>43060</v>
      </c>
      <c r="R97" s="26">
        <v>45044</v>
      </c>
      <c r="S97" s="33" t="s">
        <v>707</v>
      </c>
      <c r="T97" s="33"/>
      <c r="U97" s="33"/>
      <c r="V97" s="33"/>
      <c r="W97" s="30">
        <v>40148</v>
      </c>
      <c r="X97" s="30">
        <v>39664</v>
      </c>
      <c r="Y97" s="30">
        <v>43472</v>
      </c>
      <c r="Z97" s="31" t="str">
        <f ca="1">DATEDIF(W97,TODAY(),"y")&amp;" Tahun "&amp;DATEDIF(W97,TODAY(),"ym")&amp;" Bulan "&amp;DATEDIF(W97,TODAY(),"md")&amp;" Hari"</f>
        <v>15 Tahun 10 Bulan 30 Hari</v>
      </c>
      <c r="AA97" s="31" t="s">
        <v>76</v>
      </c>
      <c r="AB97" s="32">
        <v>25321</v>
      </c>
      <c r="AC97" s="31" t="s">
        <v>708</v>
      </c>
      <c r="AD97" s="22" t="str">
        <f t="shared" ca="1" si="7"/>
        <v xml:space="preserve">56 Tahun 6 Bulan </v>
      </c>
      <c r="AE97" s="33" t="s">
        <v>709</v>
      </c>
      <c r="AF97" s="34"/>
      <c r="AG97" s="22" t="s">
        <v>330</v>
      </c>
      <c r="AH97" s="22"/>
      <c r="AI97" s="22"/>
      <c r="AJ97" s="22"/>
      <c r="AK97" s="33"/>
      <c r="AL97" s="22"/>
    </row>
    <row r="98" spans="1:39" ht="14.45" customHeight="1" x14ac:dyDescent="0.25">
      <c r="A98" s="17">
        <v>1</v>
      </c>
      <c r="B98" s="18"/>
      <c r="C98" s="19" t="s">
        <v>710</v>
      </c>
      <c r="D98" s="20" t="s">
        <v>711</v>
      </c>
      <c r="E98" s="21" t="s">
        <v>56</v>
      </c>
      <c r="F98" s="22" t="s">
        <v>41</v>
      </c>
      <c r="G98" s="23" t="s">
        <v>115</v>
      </c>
      <c r="H98" s="22" t="s">
        <v>116</v>
      </c>
      <c r="I98" s="22" t="s">
        <v>44</v>
      </c>
      <c r="J98" s="22" t="s">
        <v>45</v>
      </c>
      <c r="K98" s="24">
        <v>45870</v>
      </c>
      <c r="L98" s="25" t="s">
        <v>712</v>
      </c>
      <c r="M98" s="26">
        <v>42067</v>
      </c>
      <c r="N98" s="26">
        <v>43894</v>
      </c>
      <c r="O98" s="27" t="s">
        <v>390</v>
      </c>
      <c r="P98" s="28" t="s">
        <v>713</v>
      </c>
      <c r="Q98" s="29">
        <v>42121</v>
      </c>
      <c r="R98" s="26">
        <v>43894</v>
      </c>
      <c r="S98" s="33" t="s">
        <v>392</v>
      </c>
      <c r="T98" s="33"/>
      <c r="U98" s="33"/>
      <c r="V98" s="33"/>
      <c r="W98" s="30">
        <v>40513</v>
      </c>
      <c r="X98" s="30">
        <v>40330</v>
      </c>
      <c r="Y98" s="30">
        <v>41791</v>
      </c>
      <c r="Z98" s="31" t="str">
        <f ca="1">DATEDIF(W98,TODAY(),"y")&amp;" Tahun "&amp;DATEDIF(W98,TODAY(),"ym")&amp;" Bulan "&amp;DATEDIF(W98,TODAY(),"md")&amp;" Hari"</f>
        <v>14 Tahun 10 Bulan 30 Hari</v>
      </c>
      <c r="AA98" s="31" t="s">
        <v>97</v>
      </c>
      <c r="AB98" s="32">
        <v>28280</v>
      </c>
      <c r="AC98" s="31" t="s">
        <v>714</v>
      </c>
      <c r="AD98" s="22" t="str">
        <f t="shared" ca="1" si="7"/>
        <v xml:space="preserve">48 Tahun 4 Bulan </v>
      </c>
      <c r="AE98" s="23" t="s">
        <v>715</v>
      </c>
      <c r="AF98" s="34"/>
      <c r="AG98" s="22" t="s">
        <v>330</v>
      </c>
      <c r="AH98" s="22"/>
      <c r="AI98" s="22"/>
      <c r="AJ98" s="22"/>
      <c r="AK98" s="33"/>
      <c r="AL98" s="36"/>
    </row>
    <row r="99" spans="1:39" ht="14.45" customHeight="1" x14ac:dyDescent="0.25">
      <c r="A99" s="17">
        <v>2</v>
      </c>
      <c r="B99" s="18"/>
      <c r="C99" s="19" t="s">
        <v>716</v>
      </c>
      <c r="D99" s="20" t="s">
        <v>717</v>
      </c>
      <c r="E99" s="21" t="s">
        <v>56</v>
      </c>
      <c r="F99" s="22" t="s">
        <v>41</v>
      </c>
      <c r="G99" s="23" t="s">
        <v>42</v>
      </c>
      <c r="H99" s="22" t="s">
        <v>43</v>
      </c>
      <c r="I99" s="22" t="s">
        <v>44</v>
      </c>
      <c r="J99" s="22" t="s">
        <v>45</v>
      </c>
      <c r="K99" s="24">
        <v>44470</v>
      </c>
      <c r="L99" s="25" t="s">
        <v>718</v>
      </c>
      <c r="M99" s="26">
        <v>42579</v>
      </c>
      <c r="N99" s="26">
        <v>44552</v>
      </c>
      <c r="O99" s="27" t="s">
        <v>719</v>
      </c>
      <c r="P99" s="28" t="s">
        <v>720</v>
      </c>
      <c r="Q99" s="29">
        <v>42627</v>
      </c>
      <c r="R99" s="26">
        <v>44552</v>
      </c>
      <c r="S99" s="33" t="s">
        <v>403</v>
      </c>
      <c r="T99" s="33"/>
      <c r="U99" s="33"/>
      <c r="V99" s="33"/>
      <c r="W99" s="30">
        <v>39783</v>
      </c>
      <c r="X99" s="30">
        <v>40452</v>
      </c>
      <c r="Y99" s="30">
        <v>41792</v>
      </c>
      <c r="Z99" s="31" t="str">
        <f ca="1">DATEDIF(W99,TODAY(),"y")&amp;" Tahun "&amp;DATEDIF(W99,TODAY(),"ym")&amp;" Bulan "&amp;DATEDIF(W99,TODAY(),"md")&amp;" Hari"</f>
        <v>16 Tahun 10 Bulan 30 Hari</v>
      </c>
      <c r="AA99" s="31" t="s">
        <v>60</v>
      </c>
      <c r="AB99" s="32">
        <v>29211</v>
      </c>
      <c r="AC99" s="31" t="s">
        <v>721</v>
      </c>
      <c r="AD99" s="57" t="str">
        <f t="shared" ca="1" si="7"/>
        <v xml:space="preserve">45 Tahun 10 Bulan </v>
      </c>
      <c r="AE99" s="33" t="s">
        <v>722</v>
      </c>
      <c r="AF99" s="34"/>
      <c r="AG99" s="22" t="s">
        <v>330</v>
      </c>
      <c r="AH99" s="22"/>
      <c r="AI99" s="22"/>
      <c r="AJ99" s="22"/>
      <c r="AK99" s="33"/>
      <c r="AL99" s="22" t="s">
        <v>728</v>
      </c>
    </row>
    <row r="100" spans="1:39" ht="14.45" customHeight="1" x14ac:dyDescent="0.25">
      <c r="A100" s="17">
        <v>3</v>
      </c>
      <c r="B100" s="18"/>
      <c r="C100" s="19" t="s">
        <v>723</v>
      </c>
      <c r="D100" s="20" t="s">
        <v>724</v>
      </c>
      <c r="E100" s="22" t="s">
        <v>56</v>
      </c>
      <c r="F100" s="22" t="s">
        <v>41</v>
      </c>
      <c r="G100" s="23" t="s">
        <v>42</v>
      </c>
      <c r="H100" s="22" t="s">
        <v>43</v>
      </c>
      <c r="I100" s="22" t="s">
        <v>44</v>
      </c>
      <c r="J100" s="22" t="s">
        <v>325</v>
      </c>
      <c r="K100" s="24">
        <v>45505</v>
      </c>
      <c r="L100" s="25" t="s">
        <v>725</v>
      </c>
      <c r="M100" s="26">
        <v>42278</v>
      </c>
      <c r="N100" s="26">
        <v>44470</v>
      </c>
      <c r="O100" s="27" t="s">
        <v>719</v>
      </c>
      <c r="P100" s="28" t="s">
        <v>726</v>
      </c>
      <c r="Q100" s="29">
        <v>42627</v>
      </c>
      <c r="R100" s="26">
        <v>44470</v>
      </c>
      <c r="S100" s="33" t="s">
        <v>403</v>
      </c>
      <c r="T100" s="33"/>
      <c r="U100" s="23"/>
      <c r="V100" s="23"/>
      <c r="W100" s="30">
        <v>39083</v>
      </c>
      <c r="X100" s="30">
        <v>42552</v>
      </c>
      <c r="Y100" s="30">
        <v>42644</v>
      </c>
      <c r="Z100" s="31" t="str">
        <f ca="1">DATEDIF(X100,TODAY(),"y")&amp;" Tahun "&amp;DATEDIF(X100,TODAY(),"ym")&amp;" Bulan "&amp;DATEDIF(X100,TODAY(),"md")&amp;" Hari"</f>
        <v>9 Tahun 3 Bulan 30 Hari</v>
      </c>
      <c r="AA100" s="31" t="s">
        <v>60</v>
      </c>
      <c r="AB100" s="32">
        <v>28450</v>
      </c>
      <c r="AC100" s="31" t="s">
        <v>727</v>
      </c>
      <c r="AD100" s="22" t="str">
        <f t="shared" ca="1" si="7"/>
        <v xml:space="preserve">47 Tahun 11 Bulan </v>
      </c>
      <c r="AE100" s="33" t="s">
        <v>722</v>
      </c>
      <c r="AF100" s="34"/>
      <c r="AG100" s="22" t="s">
        <v>330</v>
      </c>
      <c r="AH100" s="58"/>
      <c r="AI100" s="58"/>
      <c r="AJ100" s="58"/>
      <c r="AK100" s="33" t="s">
        <v>485</v>
      </c>
      <c r="AL100" s="22"/>
    </row>
    <row r="101" spans="1:39" ht="14.45" customHeight="1" x14ac:dyDescent="0.25">
      <c r="A101" s="107">
        <v>4</v>
      </c>
      <c r="B101" s="18"/>
      <c r="C101" s="19" t="s">
        <v>729</v>
      </c>
      <c r="D101" s="20" t="s">
        <v>730</v>
      </c>
      <c r="E101" s="58" t="s">
        <v>56</v>
      </c>
      <c r="F101" s="58" t="s">
        <v>238</v>
      </c>
      <c r="G101" s="33" t="s">
        <v>3872</v>
      </c>
      <c r="H101" s="22" t="s">
        <v>476</v>
      </c>
      <c r="I101" s="22" t="s">
        <v>44</v>
      </c>
      <c r="J101" s="22" t="s">
        <v>343</v>
      </c>
      <c r="K101" s="24">
        <v>45383</v>
      </c>
      <c r="L101" s="25"/>
      <c r="M101" s="26"/>
      <c r="N101" s="26"/>
      <c r="O101" s="27"/>
      <c r="P101" s="28"/>
      <c r="Q101" s="26"/>
      <c r="R101" s="26"/>
      <c r="S101" s="33" t="s">
        <v>403</v>
      </c>
      <c r="T101" s="33"/>
      <c r="U101" s="33"/>
      <c r="V101" s="33"/>
      <c r="W101" s="30">
        <v>45383</v>
      </c>
      <c r="X101" s="77">
        <v>43525</v>
      </c>
      <c r="Y101" s="77">
        <v>43525</v>
      </c>
      <c r="Z101" s="55" t="str">
        <f ca="1">DATEDIF(X101,TODAY(),"y")&amp;" Tahun "&amp;DATEDIF(X101,TODAY(),"ym")&amp;" Bulan "&amp;DATEDIF(X101,TODAY(),"md")&amp;" Hari"</f>
        <v>6 Tahun 7 Bulan 30 Hari</v>
      </c>
      <c r="AA101" s="55" t="s">
        <v>76</v>
      </c>
      <c r="AB101" s="56">
        <v>29312</v>
      </c>
      <c r="AC101" s="32" t="s">
        <v>731</v>
      </c>
      <c r="AD101" s="57" t="str">
        <f t="shared" ca="1" si="7"/>
        <v xml:space="preserve">45 Tahun 6 Bulan </v>
      </c>
      <c r="AE101" s="33" t="s">
        <v>722</v>
      </c>
      <c r="AF101" s="71"/>
      <c r="AG101" s="22" t="s">
        <v>330</v>
      </c>
      <c r="AH101" s="22"/>
      <c r="AI101" s="22"/>
      <c r="AJ101" s="22"/>
      <c r="AK101" s="33" t="s">
        <v>200</v>
      </c>
      <c r="AL101" s="36"/>
    </row>
    <row r="102" spans="1:39" ht="14.45" customHeight="1" x14ac:dyDescent="0.25">
      <c r="A102" s="17">
        <v>1</v>
      </c>
      <c r="B102" s="18"/>
      <c r="C102" s="19" t="s">
        <v>5708</v>
      </c>
      <c r="D102" s="20" t="s">
        <v>732</v>
      </c>
      <c r="E102" s="21" t="s">
        <v>56</v>
      </c>
      <c r="F102" s="22" t="s">
        <v>192</v>
      </c>
      <c r="G102" s="23" t="s">
        <v>227</v>
      </c>
      <c r="H102" s="22" t="s">
        <v>228</v>
      </c>
      <c r="I102" s="22" t="s">
        <v>155</v>
      </c>
      <c r="J102" s="22" t="s">
        <v>378</v>
      </c>
      <c r="K102" s="24" t="s">
        <v>195</v>
      </c>
      <c r="L102" s="22"/>
      <c r="M102" s="22"/>
      <c r="N102" s="22"/>
      <c r="O102" s="22"/>
      <c r="P102" s="22"/>
      <c r="Q102" s="22"/>
      <c r="R102" s="22"/>
      <c r="S102" s="23" t="s">
        <v>403</v>
      </c>
      <c r="T102" s="23"/>
      <c r="U102" s="23"/>
      <c r="V102" s="23"/>
      <c r="W102" s="69">
        <v>45809</v>
      </c>
      <c r="X102" s="69">
        <v>45810</v>
      </c>
      <c r="Y102" s="69">
        <v>45810</v>
      </c>
      <c r="Z102" s="31" t="str">
        <f ca="1">DATEDIF(X102,TODAY(),"y")&amp;" Tahun "&amp;DATEDIF(X102,TODAY(),"ym")&amp;" Bulan "&amp;DATEDIF(X102,TODAY(),"md")&amp;" Hari"</f>
        <v>0 Tahun 4 Bulan 29 Hari</v>
      </c>
      <c r="AA102" s="23" t="s">
        <v>733</v>
      </c>
      <c r="AB102" s="32">
        <v>34249</v>
      </c>
      <c r="AC102" s="32" t="s">
        <v>734</v>
      </c>
      <c r="AD102" s="22" t="str">
        <f t="shared" ca="1" si="7"/>
        <v xml:space="preserve">32 Tahun 0 Bulan </v>
      </c>
      <c r="AE102" s="33" t="s">
        <v>722</v>
      </c>
      <c r="AF102" s="34"/>
      <c r="AG102" s="22" t="s">
        <v>330</v>
      </c>
      <c r="AH102" s="22"/>
      <c r="AI102" s="22"/>
      <c r="AJ102" s="22"/>
      <c r="AK102" s="33"/>
      <c r="AL102" s="21" t="s">
        <v>743</v>
      </c>
      <c r="AM102" s="108"/>
    </row>
    <row r="103" spans="1:39" ht="14.45" customHeight="1" x14ac:dyDescent="0.25">
      <c r="A103" s="17">
        <v>2</v>
      </c>
      <c r="B103" s="18"/>
      <c r="C103" s="19" t="s">
        <v>735</v>
      </c>
      <c r="D103" s="20" t="s">
        <v>736</v>
      </c>
      <c r="E103" s="58" t="s">
        <v>40</v>
      </c>
      <c r="F103" s="58" t="s">
        <v>41</v>
      </c>
      <c r="G103" s="23" t="s">
        <v>102</v>
      </c>
      <c r="H103" s="22" t="s">
        <v>103</v>
      </c>
      <c r="I103" s="22" t="s">
        <v>44</v>
      </c>
      <c r="J103" s="22" t="s">
        <v>343</v>
      </c>
      <c r="K103" s="24">
        <v>44287</v>
      </c>
      <c r="L103" s="25" t="s">
        <v>737</v>
      </c>
      <c r="M103" s="26">
        <v>41597</v>
      </c>
      <c r="N103" s="26">
        <v>43423</v>
      </c>
      <c r="O103" s="27" t="s">
        <v>409</v>
      </c>
      <c r="P103" s="28" t="s">
        <v>738</v>
      </c>
      <c r="Q103" s="26">
        <v>42348</v>
      </c>
      <c r="R103" s="26">
        <v>43423</v>
      </c>
      <c r="S103" s="33" t="s">
        <v>739</v>
      </c>
      <c r="T103" s="33"/>
      <c r="U103" s="33"/>
      <c r="V103" s="33"/>
      <c r="W103" s="30">
        <v>43101</v>
      </c>
      <c r="X103" s="30">
        <v>43101</v>
      </c>
      <c r="Y103" s="30">
        <v>42186</v>
      </c>
      <c r="Z103" s="55" t="str">
        <f ca="1">DATEDIF(W103,TODAY(),"y")&amp;" Tahun "&amp;DATEDIF(W103,TODAY(),"ym")&amp;" Bulan "&amp;DATEDIF(W103,TODAY(),"md")&amp;" Hari"</f>
        <v>7 Tahun 9 Bulan 30 Hari</v>
      </c>
      <c r="AA103" s="66" t="s">
        <v>97</v>
      </c>
      <c r="AB103" s="56">
        <v>30716</v>
      </c>
      <c r="AC103" s="31" t="s">
        <v>740</v>
      </c>
      <c r="AD103" s="57" t="str">
        <f t="shared" ca="1" si="7"/>
        <v xml:space="preserve">41 Tahun 8 Bulan </v>
      </c>
      <c r="AE103" s="33" t="s">
        <v>741</v>
      </c>
      <c r="AF103" s="34" t="s">
        <v>742</v>
      </c>
      <c r="AG103" s="22" t="s">
        <v>330</v>
      </c>
      <c r="AH103" s="58"/>
      <c r="AI103" s="58"/>
      <c r="AJ103" s="58"/>
      <c r="AK103" s="33"/>
      <c r="AL103" s="21"/>
      <c r="AM103" s="108"/>
    </row>
    <row r="104" spans="1:39" ht="14.45" customHeight="1" x14ac:dyDescent="0.25">
      <c r="A104" s="17">
        <v>3</v>
      </c>
      <c r="B104" s="18"/>
      <c r="C104" s="19" t="s">
        <v>744</v>
      </c>
      <c r="D104" s="42" t="s">
        <v>745</v>
      </c>
      <c r="E104" s="58" t="s">
        <v>40</v>
      </c>
      <c r="F104" s="58" t="s">
        <v>41</v>
      </c>
      <c r="G104" s="33" t="s">
        <v>227</v>
      </c>
      <c r="H104" s="22" t="s">
        <v>228</v>
      </c>
      <c r="I104" s="22" t="s">
        <v>44</v>
      </c>
      <c r="J104" s="22" t="s">
        <v>378</v>
      </c>
      <c r="K104" s="24">
        <v>44621</v>
      </c>
      <c r="L104" s="25"/>
      <c r="M104" s="26"/>
      <c r="N104" s="26"/>
      <c r="O104" s="27"/>
      <c r="P104" s="28"/>
      <c r="Q104" s="26"/>
      <c r="R104" s="26"/>
      <c r="S104" s="33" t="s">
        <v>746</v>
      </c>
      <c r="T104" s="33"/>
      <c r="U104" s="33"/>
      <c r="V104" s="33"/>
      <c r="W104" s="30">
        <v>44621</v>
      </c>
      <c r="X104" s="30">
        <v>44621</v>
      </c>
      <c r="Y104" s="30">
        <v>44621</v>
      </c>
      <c r="Z104" s="55" t="str">
        <f ca="1">DATEDIF(W104,TODAY(),"y")&amp;" Tahun "&amp;DATEDIF(W104,TODAY(),"ym")&amp;" Bulan "&amp;DATEDIF(W104,TODAY(),"md")&amp;" Hari"</f>
        <v>3 Tahun 7 Bulan 30 Hari</v>
      </c>
      <c r="AA104" s="66" t="s">
        <v>747</v>
      </c>
      <c r="AB104" s="56">
        <v>32316</v>
      </c>
      <c r="AC104" s="31" t="s">
        <v>748</v>
      </c>
      <c r="AD104" s="57" t="str">
        <f t="shared" ca="1" si="7"/>
        <v xml:space="preserve">37 Tahun 4 Bulan </v>
      </c>
      <c r="AE104" s="33" t="s">
        <v>741</v>
      </c>
      <c r="AF104" s="71"/>
      <c r="AG104" s="22" t="s">
        <v>330</v>
      </c>
      <c r="AH104" s="58"/>
      <c r="AI104" s="58"/>
      <c r="AJ104" s="58"/>
      <c r="AK104" s="33" t="s">
        <v>485</v>
      </c>
      <c r="AL104" s="21"/>
      <c r="AM104" s="108"/>
    </row>
    <row r="105" spans="1:39" ht="14.45" customHeight="1" x14ac:dyDescent="0.25">
      <c r="A105" s="17">
        <v>4</v>
      </c>
      <c r="B105" s="18"/>
      <c r="C105" s="19" t="s">
        <v>749</v>
      </c>
      <c r="D105" s="42" t="s">
        <v>750</v>
      </c>
      <c r="E105" s="58" t="s">
        <v>40</v>
      </c>
      <c r="F105" s="58" t="s">
        <v>238</v>
      </c>
      <c r="G105" s="33" t="s">
        <v>3872</v>
      </c>
      <c r="H105" s="22" t="s">
        <v>476</v>
      </c>
      <c r="I105" s="22" t="s">
        <v>44</v>
      </c>
      <c r="J105" s="22" t="s">
        <v>343</v>
      </c>
      <c r="K105" s="24">
        <v>45383</v>
      </c>
      <c r="L105" s="25"/>
      <c r="M105" s="26"/>
      <c r="N105" s="26"/>
      <c r="O105" s="27"/>
      <c r="P105" s="28"/>
      <c r="Q105" s="26"/>
      <c r="R105" s="26"/>
      <c r="S105" s="33" t="s">
        <v>746</v>
      </c>
      <c r="T105" s="33"/>
      <c r="U105" s="33"/>
      <c r="V105" s="33"/>
      <c r="W105" s="30">
        <v>45383</v>
      </c>
      <c r="X105" s="30">
        <v>45383</v>
      </c>
      <c r="Y105" s="30">
        <v>45383</v>
      </c>
      <c r="Z105" s="55" t="str">
        <f ca="1">DATEDIF(W105,TODAY(),"y")&amp;" Tahun "&amp;DATEDIF(W105,TODAY(),"ym")&amp;" Bulan "&amp;DATEDIF(W105,TODAY(),"md")&amp;" Hari"</f>
        <v>1 Tahun 6 Bulan 30 Hari</v>
      </c>
      <c r="AA105" s="66" t="s">
        <v>751</v>
      </c>
      <c r="AB105" s="56">
        <v>32404</v>
      </c>
      <c r="AC105" s="31" t="s">
        <v>752</v>
      </c>
      <c r="AD105" s="57" t="str">
        <f t="shared" ca="1" si="7"/>
        <v xml:space="preserve">37 Tahun 1 Bulan </v>
      </c>
      <c r="AE105" s="33" t="s">
        <v>741</v>
      </c>
      <c r="AF105" s="71"/>
      <c r="AG105" s="22" t="s">
        <v>330</v>
      </c>
      <c r="AH105" s="58"/>
      <c r="AI105" s="58"/>
      <c r="AJ105" s="58"/>
      <c r="AK105" s="33" t="s">
        <v>755</v>
      </c>
      <c r="AL105" s="21"/>
      <c r="AM105" s="108"/>
    </row>
    <row r="106" spans="1:39" ht="14.45" customHeight="1" x14ac:dyDescent="0.25">
      <c r="A106" s="17">
        <v>1</v>
      </c>
      <c r="B106" s="18"/>
      <c r="C106" s="19" t="s">
        <v>5709</v>
      </c>
      <c r="D106" s="109" t="s">
        <v>753</v>
      </c>
      <c r="E106" s="58" t="s">
        <v>56</v>
      </c>
      <c r="F106" s="58" t="s">
        <v>41</v>
      </c>
      <c r="G106" s="33" t="s">
        <v>137</v>
      </c>
      <c r="H106" s="22" t="s">
        <v>138</v>
      </c>
      <c r="I106" s="22" t="s">
        <v>44</v>
      </c>
      <c r="J106" s="22" t="s">
        <v>343</v>
      </c>
      <c r="K106" s="24">
        <v>45931</v>
      </c>
      <c r="L106" s="25"/>
      <c r="M106" s="26"/>
      <c r="N106" s="26"/>
      <c r="O106" s="27"/>
      <c r="P106" s="28"/>
      <c r="Q106" s="26"/>
      <c r="R106" s="26"/>
      <c r="S106" s="33" t="s">
        <v>746</v>
      </c>
      <c r="T106" s="33"/>
      <c r="U106" s="33"/>
      <c r="V106" s="33"/>
      <c r="W106" s="30">
        <v>40513</v>
      </c>
      <c r="X106" s="30">
        <v>45659</v>
      </c>
      <c r="Y106" s="30">
        <v>45659</v>
      </c>
      <c r="Z106" s="55" t="str">
        <f ca="1">DATEDIF(W106,TODAY(),"y")&amp;" Tahun "&amp;DATEDIF(W106,TODAY(),"ym")&amp;" Bulan "&amp;DATEDIF(W106,TODAY(),"md")&amp;" Hari"</f>
        <v>14 Tahun 10 Bulan 30 Hari</v>
      </c>
      <c r="AA106" s="66" t="s">
        <v>563</v>
      </c>
      <c r="AB106" s="56">
        <v>29952</v>
      </c>
      <c r="AC106" s="31" t="s">
        <v>754</v>
      </c>
      <c r="AD106" s="57" t="str">
        <f t="shared" ca="1" si="7"/>
        <v xml:space="preserve">43 Tahun 9 Bulan </v>
      </c>
      <c r="AE106" s="33" t="s">
        <v>741</v>
      </c>
      <c r="AF106" s="71"/>
      <c r="AG106" s="22" t="s">
        <v>330</v>
      </c>
      <c r="AH106" s="22"/>
      <c r="AI106" s="22"/>
      <c r="AJ106" s="22"/>
      <c r="AK106" s="33"/>
      <c r="AL106" s="22" t="s">
        <v>763</v>
      </c>
    </row>
    <row r="107" spans="1:39" ht="14.45" customHeight="1" x14ac:dyDescent="0.25">
      <c r="A107" s="17">
        <v>2</v>
      </c>
      <c r="B107" s="18"/>
      <c r="C107" s="19" t="s">
        <v>756</v>
      </c>
      <c r="D107" s="20" t="s">
        <v>757</v>
      </c>
      <c r="E107" s="22" t="s">
        <v>40</v>
      </c>
      <c r="F107" s="22" t="s">
        <v>41</v>
      </c>
      <c r="G107" s="23" t="s">
        <v>137</v>
      </c>
      <c r="H107" s="22" t="s">
        <v>138</v>
      </c>
      <c r="I107" s="22" t="s">
        <v>44</v>
      </c>
      <c r="J107" s="22" t="s">
        <v>343</v>
      </c>
      <c r="K107" s="24">
        <v>45566</v>
      </c>
      <c r="L107" s="25" t="s">
        <v>758</v>
      </c>
      <c r="M107" s="26">
        <v>42688</v>
      </c>
      <c r="N107" s="26">
        <v>44653</v>
      </c>
      <c r="O107" s="27" t="s">
        <v>47</v>
      </c>
      <c r="P107" s="28" t="s">
        <v>759</v>
      </c>
      <c r="Q107" s="26">
        <v>42725</v>
      </c>
      <c r="R107" s="26">
        <v>44653</v>
      </c>
      <c r="S107" s="23" t="s">
        <v>760</v>
      </c>
      <c r="T107" s="33"/>
      <c r="U107" s="23"/>
      <c r="V107" s="23"/>
      <c r="W107" s="30">
        <v>43101</v>
      </c>
      <c r="X107" s="30">
        <v>43101</v>
      </c>
      <c r="Y107" s="30">
        <v>42675</v>
      </c>
      <c r="Z107" s="31" t="str">
        <f ca="1">DATEDIF(W107,TODAY(),"y")&amp;" Tahun "&amp;DATEDIF(W107,TODAY(),"ym")&amp;" Bulan "&amp;DATEDIF(W107,TODAY(),"md")&amp;" Hari"</f>
        <v>7 Tahun 9 Bulan 30 Hari</v>
      </c>
      <c r="AA107" s="31" t="s">
        <v>97</v>
      </c>
      <c r="AB107" s="32">
        <v>31504</v>
      </c>
      <c r="AC107" s="31" t="s">
        <v>761</v>
      </c>
      <c r="AD107" s="22" t="str">
        <f t="shared" ca="1" si="7"/>
        <v xml:space="preserve">39 Tahun 6 Bulan </v>
      </c>
      <c r="AE107" s="33" t="s">
        <v>762</v>
      </c>
      <c r="AF107" s="34"/>
      <c r="AG107" s="22" t="s">
        <v>330</v>
      </c>
      <c r="AH107" s="38"/>
      <c r="AI107" s="38"/>
      <c r="AJ107" s="38"/>
      <c r="AK107" s="38"/>
      <c r="AL107" s="38"/>
      <c r="AM107" s="47"/>
    </row>
    <row r="108" spans="1:39" ht="14.45" customHeight="1" x14ac:dyDescent="0.25">
      <c r="A108" s="17">
        <v>3</v>
      </c>
      <c r="B108" s="38">
        <v>1289</v>
      </c>
      <c r="C108" s="19" t="s">
        <v>764</v>
      </c>
      <c r="D108" s="62" t="s">
        <v>765</v>
      </c>
      <c r="E108" s="35" t="s">
        <v>40</v>
      </c>
      <c r="F108" s="35" t="s">
        <v>41</v>
      </c>
      <c r="G108" s="23" t="s">
        <v>137</v>
      </c>
      <c r="H108" s="22" t="s">
        <v>138</v>
      </c>
      <c r="I108" s="22" t="s">
        <v>44</v>
      </c>
      <c r="J108" s="22" t="s">
        <v>343</v>
      </c>
      <c r="K108" s="24">
        <v>45870</v>
      </c>
      <c r="L108" s="25" t="s">
        <v>766</v>
      </c>
      <c r="M108" s="26">
        <v>43161</v>
      </c>
      <c r="N108" s="26">
        <v>45212</v>
      </c>
      <c r="O108" s="27" t="s">
        <v>47</v>
      </c>
      <c r="P108" s="28" t="s">
        <v>767</v>
      </c>
      <c r="Q108" s="29">
        <v>43185</v>
      </c>
      <c r="R108" s="26">
        <v>45212</v>
      </c>
      <c r="S108" s="38" t="s">
        <v>768</v>
      </c>
      <c r="T108" s="38"/>
      <c r="U108" s="38"/>
      <c r="V108" s="38"/>
      <c r="W108" s="37">
        <v>43497</v>
      </c>
      <c r="X108" s="37">
        <v>43191</v>
      </c>
      <c r="Y108" s="37">
        <v>43191</v>
      </c>
      <c r="Z108" s="31" t="str">
        <f ca="1">DATEDIF(X108,TODAY(),"y")&amp;" Tahun "&amp;DATEDIF(X108,TODAY(),"ym")&amp;" Bulan "&amp;DATEDIF(X108,TODAY(),"md")&amp;" Hari"</f>
        <v>7 Tahun 6 Bulan 30 Hari</v>
      </c>
      <c r="AA108" s="63" t="s">
        <v>60</v>
      </c>
      <c r="AB108" s="39">
        <v>31698</v>
      </c>
      <c r="AC108" s="31" t="s">
        <v>769</v>
      </c>
      <c r="AD108" s="38" t="str">
        <f t="shared" ca="1" si="7"/>
        <v xml:space="preserve">39 Tahun 0 Bulan </v>
      </c>
      <c r="AE108" s="33" t="s">
        <v>762</v>
      </c>
      <c r="AF108" s="96"/>
      <c r="AG108" s="22" t="s">
        <v>330</v>
      </c>
      <c r="AH108" s="58"/>
      <c r="AI108" s="58"/>
      <c r="AJ108" s="58"/>
      <c r="AK108" s="33" t="s">
        <v>676</v>
      </c>
      <c r="AL108" s="36"/>
    </row>
    <row r="109" spans="1:39" ht="14.45" customHeight="1" x14ac:dyDescent="0.25">
      <c r="A109" s="17">
        <v>1</v>
      </c>
      <c r="B109" s="78">
        <v>1371</v>
      </c>
      <c r="C109" s="19" t="s">
        <v>5710</v>
      </c>
      <c r="D109" s="20" t="s">
        <v>770</v>
      </c>
      <c r="E109" s="58" t="s">
        <v>40</v>
      </c>
      <c r="F109" s="58" t="s">
        <v>41</v>
      </c>
      <c r="G109" s="33" t="s">
        <v>102</v>
      </c>
      <c r="H109" s="22" t="s">
        <v>103</v>
      </c>
      <c r="I109" s="22" t="s">
        <v>44</v>
      </c>
      <c r="J109" s="22" t="s">
        <v>378</v>
      </c>
      <c r="K109" s="24">
        <v>45505</v>
      </c>
      <c r="L109" s="25"/>
      <c r="M109" s="26"/>
      <c r="N109" s="26"/>
      <c r="O109" s="27"/>
      <c r="P109" s="28"/>
      <c r="Q109" s="29"/>
      <c r="R109" s="26"/>
      <c r="S109" s="23" t="s">
        <v>771</v>
      </c>
      <c r="T109" s="23"/>
      <c r="U109" s="23"/>
      <c r="V109" s="23"/>
      <c r="W109" s="30">
        <v>44166</v>
      </c>
      <c r="X109" s="30">
        <v>44197</v>
      </c>
      <c r="Y109" s="30">
        <v>44197</v>
      </c>
      <c r="Z109" s="55" t="str">
        <f ca="1">DATEDIF(X109,TODAY(),"y")&amp;" Tahun "&amp;DATEDIF(X109,TODAY(),"ym")&amp;" Bulan "&amp;DATEDIF(X109,TODAY(),"md")&amp;" Hari"</f>
        <v>4 Tahun 9 Bulan 30 Hari</v>
      </c>
      <c r="AA109" s="55" t="s">
        <v>437</v>
      </c>
      <c r="AB109" s="56">
        <v>32123</v>
      </c>
      <c r="AC109" s="32" t="s">
        <v>772</v>
      </c>
      <c r="AD109" s="57" t="str">
        <f t="shared" ca="1" si="7"/>
        <v xml:space="preserve">37 Tahun 10 Bulan </v>
      </c>
      <c r="AE109" s="33" t="s">
        <v>762</v>
      </c>
      <c r="AF109" s="71"/>
      <c r="AG109" s="22" t="s">
        <v>330</v>
      </c>
      <c r="AH109" s="65"/>
      <c r="AI109" s="65"/>
      <c r="AJ109" s="65"/>
      <c r="AK109" s="33" t="s">
        <v>112</v>
      </c>
      <c r="AL109" s="38"/>
      <c r="AM109" s="47"/>
    </row>
    <row r="110" spans="1:39" ht="14.45" customHeight="1" x14ac:dyDescent="0.25">
      <c r="A110" s="17">
        <v>2</v>
      </c>
      <c r="B110" s="38">
        <v>1351</v>
      </c>
      <c r="C110" s="19" t="s">
        <v>773</v>
      </c>
      <c r="D110" s="62" t="s">
        <v>774</v>
      </c>
      <c r="E110" s="92" t="s">
        <v>56</v>
      </c>
      <c r="F110" s="92" t="s">
        <v>41</v>
      </c>
      <c r="G110" s="23" t="s">
        <v>227</v>
      </c>
      <c r="H110" s="22" t="s">
        <v>228</v>
      </c>
      <c r="I110" s="22" t="s">
        <v>44</v>
      </c>
      <c r="J110" s="22" t="s">
        <v>378</v>
      </c>
      <c r="K110" s="110">
        <v>44621</v>
      </c>
      <c r="L110" s="25" t="s">
        <v>775</v>
      </c>
      <c r="M110" s="26">
        <v>42444</v>
      </c>
      <c r="N110" s="26">
        <v>44406</v>
      </c>
      <c r="O110" s="27" t="s">
        <v>513</v>
      </c>
      <c r="P110" s="28" t="s">
        <v>776</v>
      </c>
      <c r="Q110" s="29">
        <v>43166</v>
      </c>
      <c r="R110" s="26">
        <v>44406</v>
      </c>
      <c r="S110" s="38" t="s">
        <v>777</v>
      </c>
      <c r="T110" s="38"/>
      <c r="U110" s="38"/>
      <c r="V110" s="38"/>
      <c r="W110" s="110">
        <v>44621</v>
      </c>
      <c r="X110" s="37">
        <v>43101</v>
      </c>
      <c r="Y110" s="37">
        <v>43101</v>
      </c>
      <c r="Z110" s="55" t="str">
        <f ca="1">DATEDIF(X110,TODAY(),"y")&amp;" Tahun "&amp;DATEDIF(X110,TODAY(),"ym")&amp;" Bulan "&amp;DATEDIF(X110,TODAY(),"md")&amp;" Hari"</f>
        <v>7 Tahun 9 Bulan 30 Hari</v>
      </c>
      <c r="AA110" s="93" t="s">
        <v>778</v>
      </c>
      <c r="AB110" s="94">
        <v>30161</v>
      </c>
      <c r="AC110" s="111" t="s">
        <v>779</v>
      </c>
      <c r="AD110" s="90" t="str">
        <f t="shared" ca="1" si="7"/>
        <v xml:space="preserve">43 Tahun 3 Bulan </v>
      </c>
      <c r="AE110" s="38" t="s">
        <v>329</v>
      </c>
      <c r="AF110" s="64" t="s">
        <v>780</v>
      </c>
      <c r="AG110" s="22" t="s">
        <v>330</v>
      </c>
      <c r="AH110" s="22"/>
      <c r="AI110" s="22"/>
      <c r="AJ110" s="22"/>
      <c r="AK110" s="33"/>
      <c r="AL110" s="36"/>
    </row>
    <row r="111" spans="1:39" ht="14.45" customHeight="1" x14ac:dyDescent="0.25">
      <c r="A111" s="17">
        <v>1</v>
      </c>
      <c r="B111" s="18"/>
      <c r="C111" s="19" t="s">
        <v>781</v>
      </c>
      <c r="D111" s="20" t="s">
        <v>782</v>
      </c>
      <c r="E111" s="21" t="s">
        <v>40</v>
      </c>
      <c r="F111" s="22" t="s">
        <v>41</v>
      </c>
      <c r="G111" s="23" t="s">
        <v>57</v>
      </c>
      <c r="H111" s="22" t="s">
        <v>58</v>
      </c>
      <c r="I111" s="22" t="s">
        <v>44</v>
      </c>
      <c r="J111" s="22" t="s">
        <v>45</v>
      </c>
      <c r="K111" s="24">
        <v>45200</v>
      </c>
      <c r="L111" s="25" t="s">
        <v>783</v>
      </c>
      <c r="M111" s="26">
        <v>42067</v>
      </c>
      <c r="N111" s="26">
        <v>43937</v>
      </c>
      <c r="O111" s="27" t="s">
        <v>513</v>
      </c>
      <c r="P111" s="28" t="s">
        <v>784</v>
      </c>
      <c r="Q111" s="29">
        <v>42101</v>
      </c>
      <c r="R111" s="26">
        <v>43937</v>
      </c>
      <c r="S111" s="33" t="s">
        <v>785</v>
      </c>
      <c r="T111" s="33"/>
      <c r="U111" s="33"/>
      <c r="V111" s="33"/>
      <c r="W111" s="30">
        <v>39459</v>
      </c>
      <c r="X111" s="30">
        <v>40199</v>
      </c>
      <c r="Y111" s="30">
        <v>41792</v>
      </c>
      <c r="Z111" s="31" t="str">
        <f ca="1">DATEDIF(W111,TODAY(),"y")&amp;" Tahun "&amp;DATEDIF(W111,TODAY(),"ym")&amp;" Bulan "&amp;DATEDIF(W111,TODAY(),"md")&amp;" Hari"</f>
        <v>17 Tahun 9 Bulan 19 Hari</v>
      </c>
      <c r="AA111" s="31" t="s">
        <v>50</v>
      </c>
      <c r="AB111" s="32">
        <v>27023</v>
      </c>
      <c r="AC111" s="31" t="s">
        <v>786</v>
      </c>
      <c r="AD111" s="22" t="str">
        <f t="shared" ca="1" si="7"/>
        <v xml:space="preserve">51 Tahun 10 Bulan </v>
      </c>
      <c r="AE111" s="38" t="s">
        <v>329</v>
      </c>
      <c r="AF111" s="96" t="s">
        <v>787</v>
      </c>
      <c r="AG111" s="22" t="s">
        <v>330</v>
      </c>
      <c r="AH111" s="22"/>
      <c r="AI111" s="22"/>
      <c r="AJ111" s="22"/>
      <c r="AK111" s="33"/>
      <c r="AL111" s="36"/>
    </row>
    <row r="112" spans="1:39" ht="14.45" customHeight="1" x14ac:dyDescent="0.25">
      <c r="A112" s="17">
        <v>2</v>
      </c>
      <c r="B112" s="18"/>
      <c r="C112" s="19" t="s">
        <v>788</v>
      </c>
      <c r="D112" s="20" t="s">
        <v>789</v>
      </c>
      <c r="E112" s="21" t="s">
        <v>40</v>
      </c>
      <c r="F112" s="22" t="s">
        <v>41</v>
      </c>
      <c r="G112" s="38" t="s">
        <v>57</v>
      </c>
      <c r="H112" s="35" t="s">
        <v>58</v>
      </c>
      <c r="I112" s="22" t="s">
        <v>44</v>
      </c>
      <c r="J112" s="22" t="s">
        <v>325</v>
      </c>
      <c r="K112" s="24">
        <v>44470</v>
      </c>
      <c r="L112" s="25" t="s">
        <v>790</v>
      </c>
      <c r="M112" s="26">
        <v>43179</v>
      </c>
      <c r="N112" s="26">
        <v>45295</v>
      </c>
      <c r="O112" s="112" t="s">
        <v>791</v>
      </c>
      <c r="P112" s="28" t="s">
        <v>792</v>
      </c>
      <c r="Q112" s="29">
        <v>43166</v>
      </c>
      <c r="R112" s="26">
        <v>45295</v>
      </c>
      <c r="S112" s="33" t="s">
        <v>793</v>
      </c>
      <c r="T112" s="33"/>
      <c r="U112" s="33"/>
      <c r="V112" s="33"/>
      <c r="W112" s="30">
        <v>39783</v>
      </c>
      <c r="X112" s="30">
        <v>40026</v>
      </c>
      <c r="Y112" s="30">
        <v>41791</v>
      </c>
      <c r="Z112" s="31" t="str">
        <f ca="1">DATEDIF(W112,TODAY(),"y")&amp;" Tahun "&amp;DATEDIF(W112,TODAY(),"ym")&amp;" Bulan "&amp;DATEDIF(W112,TODAY(),"md")&amp;" Hari"</f>
        <v>16 Tahun 10 Bulan 30 Hari</v>
      </c>
      <c r="AA112" s="31" t="s">
        <v>60</v>
      </c>
      <c r="AB112" s="32">
        <v>29224</v>
      </c>
      <c r="AC112" s="31" t="s">
        <v>794</v>
      </c>
      <c r="AD112" s="22" t="str">
        <f t="shared" ca="1" si="7"/>
        <v xml:space="preserve">45 Tahun 9 Bulan </v>
      </c>
      <c r="AE112" s="33" t="s">
        <v>795</v>
      </c>
      <c r="AF112" s="34" t="s">
        <v>796</v>
      </c>
      <c r="AG112" s="22" t="s">
        <v>330</v>
      </c>
      <c r="AH112" s="58"/>
      <c r="AI112" s="58"/>
      <c r="AJ112" s="58"/>
      <c r="AK112" s="33" t="s">
        <v>485</v>
      </c>
      <c r="AL112" s="36"/>
    </row>
    <row r="113" spans="1:39" ht="14.45" customHeight="1" x14ac:dyDescent="0.25">
      <c r="A113" s="17">
        <v>3</v>
      </c>
      <c r="B113" s="18"/>
      <c r="C113" s="19" t="s">
        <v>798</v>
      </c>
      <c r="D113" s="20" t="s">
        <v>799</v>
      </c>
      <c r="E113" s="22" t="s">
        <v>40</v>
      </c>
      <c r="F113" s="22" t="s">
        <v>41</v>
      </c>
      <c r="G113" s="23" t="s">
        <v>102</v>
      </c>
      <c r="H113" s="22" t="s">
        <v>103</v>
      </c>
      <c r="I113" s="22" t="s">
        <v>44</v>
      </c>
      <c r="J113" s="22" t="s">
        <v>343</v>
      </c>
      <c r="K113" s="24">
        <v>43252</v>
      </c>
      <c r="L113" s="25" t="s">
        <v>800</v>
      </c>
      <c r="M113" s="26">
        <v>42853</v>
      </c>
      <c r="N113" s="26">
        <v>44896</v>
      </c>
      <c r="O113" s="27" t="s">
        <v>489</v>
      </c>
      <c r="P113" s="28" t="s">
        <v>801</v>
      </c>
      <c r="Q113" s="29">
        <v>43012</v>
      </c>
      <c r="R113" s="26">
        <v>44896</v>
      </c>
      <c r="S113" s="33" t="s">
        <v>793</v>
      </c>
      <c r="T113" s="33"/>
      <c r="U113" s="33"/>
      <c r="V113" s="33"/>
      <c r="W113" s="30">
        <v>42095</v>
      </c>
      <c r="X113" s="30">
        <v>42095</v>
      </c>
      <c r="Y113" s="30">
        <v>42095</v>
      </c>
      <c r="Z113" s="31" t="str">
        <f ca="1">DATEDIF(W113,TODAY(),"y")&amp;" Tahun "&amp;DATEDIF(W113,TODAY(),"ym")&amp;" Bulan "&amp;DATEDIF(W113,TODAY(),"md")&amp;" Hari"</f>
        <v>10 Tahun 6 Bulan 30 Hari</v>
      </c>
      <c r="AA113" s="31" t="s">
        <v>50</v>
      </c>
      <c r="AB113" s="32">
        <v>29556</v>
      </c>
      <c r="AC113" s="31" t="s">
        <v>802</v>
      </c>
      <c r="AD113" s="22" t="str">
        <f t="shared" ca="1" si="7"/>
        <v xml:space="preserve">44 Tahun 10 Bulan </v>
      </c>
      <c r="AE113" s="33" t="s">
        <v>795</v>
      </c>
      <c r="AF113" s="34" t="s">
        <v>803</v>
      </c>
      <c r="AG113" s="22" t="s">
        <v>330</v>
      </c>
      <c r="AH113" s="22"/>
      <c r="AI113" s="22"/>
      <c r="AJ113" s="22"/>
      <c r="AK113" s="33" t="s">
        <v>804</v>
      </c>
      <c r="AL113" s="22"/>
    </row>
    <row r="114" spans="1:39" ht="14.45" customHeight="1" x14ac:dyDescent="0.25">
      <c r="A114" s="17">
        <v>4</v>
      </c>
      <c r="B114" s="18"/>
      <c r="C114" s="19" t="s">
        <v>5711</v>
      </c>
      <c r="D114" s="20" t="s">
        <v>805</v>
      </c>
      <c r="E114" s="21" t="s">
        <v>56</v>
      </c>
      <c r="F114" s="22" t="s">
        <v>192</v>
      </c>
      <c r="G114" s="23" t="s">
        <v>227</v>
      </c>
      <c r="H114" s="22" t="s">
        <v>228</v>
      </c>
      <c r="I114" s="22" t="s">
        <v>155</v>
      </c>
      <c r="J114" s="22" t="s">
        <v>378</v>
      </c>
      <c r="K114" s="24" t="s">
        <v>195</v>
      </c>
      <c r="L114" s="22"/>
      <c r="M114" s="22"/>
      <c r="N114" s="22"/>
      <c r="O114" s="22"/>
      <c r="P114" s="22"/>
      <c r="Q114" s="22"/>
      <c r="R114" s="22"/>
      <c r="S114" s="23" t="s">
        <v>793</v>
      </c>
      <c r="T114" s="23"/>
      <c r="U114" s="23"/>
      <c r="V114" s="23"/>
      <c r="W114" s="69">
        <v>45809</v>
      </c>
      <c r="X114" s="69">
        <v>45810</v>
      </c>
      <c r="Y114" s="69">
        <v>45810</v>
      </c>
      <c r="Z114" s="31" t="str">
        <f ca="1">DATEDIF(X114,TODAY(),"y")&amp;" Tahun "&amp;DATEDIF(X114,TODAY(),"ym")&amp;" Bulan "&amp;DATEDIF(X114,TODAY(),"md")&amp;" Hari"</f>
        <v>0 Tahun 4 Bulan 29 Hari</v>
      </c>
      <c r="AA114" s="98" t="s">
        <v>806</v>
      </c>
      <c r="AB114" s="32">
        <v>31967</v>
      </c>
      <c r="AC114" s="32" t="s">
        <v>807</v>
      </c>
      <c r="AD114" s="22" t="str">
        <f t="shared" ca="1" si="7"/>
        <v xml:space="preserve">38 Tahun 3 Bulan </v>
      </c>
      <c r="AE114" s="33" t="s">
        <v>795</v>
      </c>
      <c r="AF114" s="34"/>
      <c r="AG114" s="22" t="s">
        <v>330</v>
      </c>
      <c r="AH114" s="22"/>
      <c r="AI114" s="22"/>
      <c r="AJ114" s="22"/>
      <c r="AK114" s="33" t="s">
        <v>200</v>
      </c>
      <c r="AL114" s="36"/>
    </row>
    <row r="115" spans="1:39" ht="14.45" customHeight="1" x14ac:dyDescent="0.25">
      <c r="A115" s="107">
        <v>1</v>
      </c>
      <c r="B115" s="18"/>
      <c r="C115" s="19" t="s">
        <v>808</v>
      </c>
      <c r="D115" s="20" t="s">
        <v>809</v>
      </c>
      <c r="E115" s="21" t="s">
        <v>40</v>
      </c>
      <c r="F115" s="22" t="s">
        <v>41</v>
      </c>
      <c r="G115" s="38" t="s">
        <v>115</v>
      </c>
      <c r="H115" s="35" t="s">
        <v>116</v>
      </c>
      <c r="I115" s="22" t="s">
        <v>44</v>
      </c>
      <c r="J115" s="22" t="s">
        <v>325</v>
      </c>
      <c r="K115" s="24">
        <v>45931</v>
      </c>
      <c r="L115" s="25" t="s">
        <v>810</v>
      </c>
      <c r="M115" s="26">
        <v>41842</v>
      </c>
      <c r="N115" s="26">
        <v>43571</v>
      </c>
      <c r="O115" s="27" t="s">
        <v>434</v>
      </c>
      <c r="P115" s="28" t="s">
        <v>811</v>
      </c>
      <c r="Q115" s="29">
        <v>42226</v>
      </c>
      <c r="R115" s="26">
        <v>43571</v>
      </c>
      <c r="S115" s="38" t="s">
        <v>812</v>
      </c>
      <c r="T115" s="33">
        <v>2020</v>
      </c>
      <c r="U115" s="33"/>
      <c r="V115" s="33"/>
      <c r="W115" s="30">
        <v>35490</v>
      </c>
      <c r="X115" s="30">
        <v>35674</v>
      </c>
      <c r="Y115" s="30">
        <v>40756</v>
      </c>
      <c r="Z115" s="31" t="str">
        <f ca="1">DATEDIF(W115,TODAY(),"y")&amp;" Tahun "&amp;DATEDIF(W115,TODAY(),"ym")&amp;" Bulan "&amp;DATEDIF(W115,TODAY(),"md")&amp;" Hari"</f>
        <v>28 Tahun 7 Bulan 30 Hari</v>
      </c>
      <c r="AA115" s="31" t="s">
        <v>697</v>
      </c>
      <c r="AB115" s="32">
        <v>24548</v>
      </c>
      <c r="AC115" s="31" t="s">
        <v>813</v>
      </c>
      <c r="AD115" s="22" t="str">
        <f t="shared" ref="AD115:AD122" ca="1" si="8">DATEDIF(AB115,TODAY(),"y")&amp;" Tahun "&amp;DATEDIF(AB115,TODAY(),"ym")&amp;" Bulan "</f>
        <v xml:space="preserve">58 Tahun 7 Bulan </v>
      </c>
      <c r="AE115" s="33" t="s">
        <v>814</v>
      </c>
      <c r="AF115" s="34"/>
      <c r="AG115" s="22" t="s">
        <v>330</v>
      </c>
      <c r="AH115" s="22"/>
      <c r="AI115" s="22"/>
      <c r="AJ115" s="22"/>
      <c r="AK115" s="33"/>
      <c r="AL115" s="36"/>
    </row>
    <row r="116" spans="1:39" ht="14.45" customHeight="1" x14ac:dyDescent="0.25">
      <c r="A116" s="17">
        <v>2</v>
      </c>
      <c r="B116" s="18"/>
      <c r="C116" s="19" t="s">
        <v>5712</v>
      </c>
      <c r="D116" s="20" t="s">
        <v>817</v>
      </c>
      <c r="E116" s="22" t="s">
        <v>40</v>
      </c>
      <c r="F116" s="22" t="s">
        <v>41</v>
      </c>
      <c r="G116" s="33" t="s">
        <v>137</v>
      </c>
      <c r="H116" s="22" t="s">
        <v>138</v>
      </c>
      <c r="I116" s="22" t="s">
        <v>44</v>
      </c>
      <c r="J116" s="22" t="s">
        <v>343</v>
      </c>
      <c r="K116" s="24">
        <v>45870</v>
      </c>
      <c r="L116" s="25" t="s">
        <v>818</v>
      </c>
      <c r="M116" s="26">
        <v>42681</v>
      </c>
      <c r="N116" s="26">
        <v>44571</v>
      </c>
      <c r="O116" s="27" t="s">
        <v>434</v>
      </c>
      <c r="P116" s="28" t="s">
        <v>819</v>
      </c>
      <c r="Q116" s="26">
        <v>42706</v>
      </c>
      <c r="R116" s="26">
        <v>44550</v>
      </c>
      <c r="S116" s="33" t="s">
        <v>5713</v>
      </c>
      <c r="T116" s="33"/>
      <c r="U116" s="23"/>
      <c r="V116" s="23"/>
      <c r="W116" s="30">
        <v>43497</v>
      </c>
      <c r="X116" s="30">
        <v>42597</v>
      </c>
      <c r="Y116" s="30">
        <v>42597</v>
      </c>
      <c r="Z116" s="31" t="str">
        <f ca="1">DATEDIF(X116,TODAY(),"y")&amp;" Tahun "&amp;DATEDIF(X116,TODAY(),"ym")&amp;" Bulan "&amp;DATEDIF(X116,TODAY(),"md")&amp;" Hari"</f>
        <v>9 Tahun 2 Bulan 16 Hari</v>
      </c>
      <c r="AA116" s="31" t="s">
        <v>260</v>
      </c>
      <c r="AB116" s="32">
        <v>30691</v>
      </c>
      <c r="AC116" s="31" t="s">
        <v>820</v>
      </c>
      <c r="AD116" s="22" t="str">
        <f t="shared" ca="1" si="8"/>
        <v xml:space="preserve">41 Tahun 9 Bulan </v>
      </c>
      <c r="AE116" s="33" t="s">
        <v>814</v>
      </c>
      <c r="AF116" s="34"/>
      <c r="AG116" s="22" t="s">
        <v>330</v>
      </c>
      <c r="AH116" s="22"/>
      <c r="AI116" s="22"/>
      <c r="AJ116" s="22"/>
      <c r="AK116" s="33"/>
      <c r="AL116" s="36"/>
    </row>
    <row r="117" spans="1:39" ht="14.45" customHeight="1" x14ac:dyDescent="0.25">
      <c r="A117" s="107">
        <v>3</v>
      </c>
      <c r="B117" s="18"/>
      <c r="C117" s="19" t="s">
        <v>822</v>
      </c>
      <c r="D117" s="20" t="s">
        <v>823</v>
      </c>
      <c r="E117" s="21" t="s">
        <v>56</v>
      </c>
      <c r="F117" s="22" t="s">
        <v>41</v>
      </c>
      <c r="G117" s="33" t="s">
        <v>137</v>
      </c>
      <c r="H117" s="22" t="s">
        <v>138</v>
      </c>
      <c r="I117" s="22" t="s">
        <v>44</v>
      </c>
      <c r="J117" s="22" t="s">
        <v>343</v>
      </c>
      <c r="K117" s="24">
        <v>45017</v>
      </c>
      <c r="L117" s="25" t="s">
        <v>824</v>
      </c>
      <c r="M117" s="26">
        <v>43227</v>
      </c>
      <c r="N117" s="26">
        <v>45363</v>
      </c>
      <c r="O117" s="27" t="s">
        <v>434</v>
      </c>
      <c r="P117" s="28"/>
      <c r="Q117" s="29"/>
      <c r="R117" s="26"/>
      <c r="S117" s="33" t="s">
        <v>816</v>
      </c>
      <c r="T117" s="33"/>
      <c r="U117" s="33"/>
      <c r="V117" s="33"/>
      <c r="W117" s="30">
        <v>37956</v>
      </c>
      <c r="X117" s="30">
        <v>37653</v>
      </c>
      <c r="Y117" s="30">
        <v>43832</v>
      </c>
      <c r="Z117" s="31" t="str">
        <f ca="1">DATEDIF(W117,TODAY(),"y")&amp;" Tahun "&amp;DATEDIF(W117,TODAY(),"ym")&amp;" Bulan "&amp;DATEDIF(W117,TODAY(),"md")&amp;" Hari"</f>
        <v>21 Tahun 10 Bulan 30 Hari</v>
      </c>
      <c r="AA117" s="31" t="s">
        <v>76</v>
      </c>
      <c r="AB117" s="32">
        <v>26004</v>
      </c>
      <c r="AC117" s="32" t="s">
        <v>825</v>
      </c>
      <c r="AD117" s="22" t="str">
        <f t="shared" ca="1" si="8"/>
        <v xml:space="preserve">54 Tahun 7 Bulan </v>
      </c>
      <c r="AE117" s="33" t="s">
        <v>814</v>
      </c>
      <c r="AF117" s="96"/>
      <c r="AG117" s="22" t="s">
        <v>330</v>
      </c>
      <c r="AH117" s="22"/>
      <c r="AI117" s="22"/>
      <c r="AJ117" s="22"/>
      <c r="AK117" s="33"/>
      <c r="AL117" s="22" t="s">
        <v>821</v>
      </c>
    </row>
    <row r="118" spans="1:39" ht="14.45" customHeight="1" x14ac:dyDescent="0.25">
      <c r="A118" s="17">
        <v>4</v>
      </c>
      <c r="B118" s="38">
        <v>1286</v>
      </c>
      <c r="C118" s="19" t="s">
        <v>826</v>
      </c>
      <c r="D118" s="62" t="s">
        <v>827</v>
      </c>
      <c r="E118" s="92" t="s">
        <v>40</v>
      </c>
      <c r="F118" s="35" t="s">
        <v>41</v>
      </c>
      <c r="G118" s="38" t="s">
        <v>115</v>
      </c>
      <c r="H118" s="35" t="s">
        <v>116</v>
      </c>
      <c r="I118" s="35" t="s">
        <v>44</v>
      </c>
      <c r="J118" s="35" t="s">
        <v>45</v>
      </c>
      <c r="K118" s="24">
        <v>45505</v>
      </c>
      <c r="L118" s="25" t="s">
        <v>828</v>
      </c>
      <c r="M118" s="26">
        <v>42810</v>
      </c>
      <c r="N118" s="26">
        <v>44667</v>
      </c>
      <c r="O118" s="27" t="s">
        <v>434</v>
      </c>
      <c r="P118" s="28" t="s">
        <v>829</v>
      </c>
      <c r="Q118" s="29">
        <v>43154</v>
      </c>
      <c r="R118" s="26">
        <v>44667</v>
      </c>
      <c r="S118" s="38" t="s">
        <v>812</v>
      </c>
      <c r="T118" s="38"/>
      <c r="U118" s="38"/>
      <c r="V118" s="38"/>
      <c r="W118" s="37">
        <v>36861</v>
      </c>
      <c r="X118" s="37">
        <v>43132</v>
      </c>
      <c r="Y118" s="37" t="s">
        <v>830</v>
      </c>
      <c r="Z118" s="55" t="str">
        <f ca="1">DATEDIF(W118,TODAY(),"y")&amp;" Tahun "&amp;DATEDIF(W118,TODAY(),"ym")&amp;" Bulan "&amp;DATEDIF(W118,TODAY(),"md")&amp;" Hari"</f>
        <v>24 Tahun 10 Bulan 30 Hari</v>
      </c>
      <c r="AA118" s="93" t="s">
        <v>50</v>
      </c>
      <c r="AB118" s="94">
        <v>25674</v>
      </c>
      <c r="AC118" s="63" t="s">
        <v>831</v>
      </c>
      <c r="AD118" s="57" t="str">
        <f t="shared" ca="1" si="8"/>
        <v xml:space="preserve">55 Tahun 6 Bulan </v>
      </c>
      <c r="AE118" s="38" t="s">
        <v>814</v>
      </c>
      <c r="AF118" s="64" t="s">
        <v>832</v>
      </c>
      <c r="AG118" s="22" t="s">
        <v>330</v>
      </c>
      <c r="AH118" s="22"/>
      <c r="AI118" s="22"/>
      <c r="AJ118" s="22"/>
      <c r="AK118" s="33"/>
      <c r="AL118" s="22"/>
    </row>
    <row r="119" spans="1:39" ht="14.45" customHeight="1" x14ac:dyDescent="0.25">
      <c r="A119" s="107">
        <v>5</v>
      </c>
      <c r="B119" s="38">
        <v>1368</v>
      </c>
      <c r="C119" s="19" t="s">
        <v>833</v>
      </c>
      <c r="D119" s="62" t="s">
        <v>834</v>
      </c>
      <c r="E119" s="92" t="s">
        <v>40</v>
      </c>
      <c r="F119" s="35" t="s">
        <v>41</v>
      </c>
      <c r="G119" s="38" t="s">
        <v>115</v>
      </c>
      <c r="H119" s="35" t="s">
        <v>116</v>
      </c>
      <c r="I119" s="35" t="s">
        <v>44</v>
      </c>
      <c r="J119" s="35" t="s">
        <v>325</v>
      </c>
      <c r="K119" s="24">
        <v>45566</v>
      </c>
      <c r="L119" s="25"/>
      <c r="M119" s="26"/>
      <c r="N119" s="26"/>
      <c r="O119" s="27" t="s">
        <v>434</v>
      </c>
      <c r="P119" s="28"/>
      <c r="Q119" s="29"/>
      <c r="R119" s="26"/>
      <c r="S119" s="33" t="s">
        <v>816</v>
      </c>
      <c r="T119" s="38"/>
      <c r="U119" s="38"/>
      <c r="V119" s="38"/>
      <c r="W119" s="37">
        <v>38808</v>
      </c>
      <c r="X119" s="37">
        <v>43857</v>
      </c>
      <c r="Y119" s="37">
        <v>43857</v>
      </c>
      <c r="Z119" s="93" t="str">
        <f ca="1">DATEDIF(X119,TODAY(),"y")&amp;" Tahun "&amp;DATEDIF(X119,TODAY(),"ym")&amp;" Bulan "&amp;DATEDIF(X119,TODAY(),"md")&amp;" Hari"</f>
        <v>5 Tahun 9 Bulan 4 Hari</v>
      </c>
      <c r="AA119" s="93" t="s">
        <v>76</v>
      </c>
      <c r="AB119" s="94">
        <v>28419</v>
      </c>
      <c r="AC119" s="31" t="s">
        <v>835</v>
      </c>
      <c r="AD119" s="57" t="str">
        <f t="shared" ca="1" si="8"/>
        <v xml:space="preserve">48 Tahun 0 Bulan </v>
      </c>
      <c r="AE119" s="38" t="s">
        <v>814</v>
      </c>
      <c r="AF119" s="96"/>
      <c r="AG119" s="22" t="s">
        <v>330</v>
      </c>
      <c r="AH119" s="65"/>
      <c r="AI119" s="65"/>
      <c r="AJ119" s="65"/>
      <c r="AK119" s="38" t="s">
        <v>224</v>
      </c>
      <c r="AL119" s="38"/>
      <c r="AM119" s="47"/>
    </row>
    <row r="120" spans="1:39" ht="14.45" customHeight="1" x14ac:dyDescent="0.25">
      <c r="A120" s="17">
        <v>6</v>
      </c>
      <c r="B120" s="38">
        <v>1352</v>
      </c>
      <c r="C120" s="19" t="s">
        <v>836</v>
      </c>
      <c r="D120" s="62" t="s">
        <v>837</v>
      </c>
      <c r="E120" s="35" t="s">
        <v>56</v>
      </c>
      <c r="F120" s="35" t="s">
        <v>41</v>
      </c>
      <c r="G120" s="33" t="s">
        <v>102</v>
      </c>
      <c r="H120" s="22" t="s">
        <v>103</v>
      </c>
      <c r="I120" s="35" t="s">
        <v>44</v>
      </c>
      <c r="J120" s="22" t="s">
        <v>343</v>
      </c>
      <c r="K120" s="24">
        <v>45505</v>
      </c>
      <c r="L120" s="25" t="s">
        <v>838</v>
      </c>
      <c r="M120" s="26">
        <v>43192</v>
      </c>
      <c r="N120" s="26">
        <v>45301</v>
      </c>
      <c r="O120" s="27" t="s">
        <v>839</v>
      </c>
      <c r="P120" s="28" t="s">
        <v>840</v>
      </c>
      <c r="Q120" s="29">
        <v>43216</v>
      </c>
      <c r="R120" s="26">
        <v>45301</v>
      </c>
      <c r="S120" s="38" t="s">
        <v>841</v>
      </c>
      <c r="T120" s="38"/>
      <c r="U120" s="38"/>
      <c r="V120" s="38"/>
      <c r="W120" s="30">
        <v>44166</v>
      </c>
      <c r="X120" s="37">
        <v>43160</v>
      </c>
      <c r="Y120" s="37">
        <v>43160</v>
      </c>
      <c r="Z120" s="63" t="str">
        <f ca="1">DATEDIF(X120,TODAY(),"y")&amp;" Tahun "&amp;DATEDIF(X120,TODAY(),"ym")&amp;" Bulan "&amp;DATEDIF(X120,TODAY(),"md")&amp;" Hari"</f>
        <v>7 Tahun 7 Bulan 30 Hari</v>
      </c>
      <c r="AA120" s="63" t="s">
        <v>842</v>
      </c>
      <c r="AB120" s="39">
        <v>31787</v>
      </c>
      <c r="AC120" s="31" t="s">
        <v>843</v>
      </c>
      <c r="AD120" s="22" t="str">
        <f t="shared" ca="1" si="8"/>
        <v xml:space="preserve">38 Tahun 9 Bulan </v>
      </c>
      <c r="AE120" s="38" t="s">
        <v>814</v>
      </c>
      <c r="AF120" s="96"/>
      <c r="AG120" s="22" t="s">
        <v>330</v>
      </c>
      <c r="AH120" s="38"/>
      <c r="AI120" s="38"/>
      <c r="AJ120" s="38"/>
      <c r="AK120" s="38" t="s">
        <v>224</v>
      </c>
      <c r="AL120" s="38"/>
      <c r="AM120" s="47"/>
    </row>
    <row r="121" spans="1:39" ht="14.45" customHeight="1" x14ac:dyDescent="0.25">
      <c r="A121" s="107">
        <v>7</v>
      </c>
      <c r="B121" s="38"/>
      <c r="C121" s="19" t="s">
        <v>844</v>
      </c>
      <c r="D121" s="62" t="s">
        <v>845</v>
      </c>
      <c r="E121" s="92" t="s">
        <v>56</v>
      </c>
      <c r="F121" s="58" t="s">
        <v>238</v>
      </c>
      <c r="G121" s="38" t="s">
        <v>3872</v>
      </c>
      <c r="H121" s="35" t="s">
        <v>476</v>
      </c>
      <c r="I121" s="35" t="s">
        <v>44</v>
      </c>
      <c r="J121" s="35" t="s">
        <v>343</v>
      </c>
      <c r="K121" s="24">
        <v>45383</v>
      </c>
      <c r="L121" s="25"/>
      <c r="M121" s="26"/>
      <c r="N121" s="26"/>
      <c r="O121" s="27"/>
      <c r="P121" s="28"/>
      <c r="Q121" s="29"/>
      <c r="R121" s="26"/>
      <c r="S121" s="33" t="s">
        <v>816</v>
      </c>
      <c r="T121" s="38"/>
      <c r="U121" s="38"/>
      <c r="V121" s="38"/>
      <c r="W121" s="37">
        <v>45383</v>
      </c>
      <c r="X121" s="37">
        <v>45048</v>
      </c>
      <c r="Y121" s="37">
        <v>45048</v>
      </c>
      <c r="Z121" s="31" t="str">
        <f ca="1">DATEDIF(X121,TODAY(),"y")&amp;" Tahun "&amp;DATEDIF(X121,TODAY(),"ym")&amp;" Bulan "&amp;DATEDIF(X121,TODAY(),"md")&amp;" Hari"</f>
        <v>2 Tahun 5 Bulan 29 Hari</v>
      </c>
      <c r="AA121" s="93" t="s">
        <v>846</v>
      </c>
      <c r="AB121" s="94">
        <v>32954</v>
      </c>
      <c r="AC121" s="31" t="s">
        <v>847</v>
      </c>
      <c r="AD121" s="57" t="str">
        <f t="shared" ca="1" si="8"/>
        <v xml:space="preserve">35 Tahun 7 Bulan </v>
      </c>
      <c r="AE121" s="38" t="s">
        <v>814</v>
      </c>
      <c r="AF121" s="96"/>
      <c r="AG121" s="22" t="s">
        <v>330</v>
      </c>
      <c r="AH121" s="38"/>
      <c r="AI121" s="38"/>
      <c r="AJ121" s="38"/>
      <c r="AK121" s="38" t="s">
        <v>112</v>
      </c>
      <c r="AL121" s="38"/>
      <c r="AM121" s="47"/>
    </row>
    <row r="122" spans="1:39" ht="14.45" customHeight="1" x14ac:dyDescent="0.25">
      <c r="A122" s="17">
        <v>8</v>
      </c>
      <c r="B122" s="18"/>
      <c r="C122" s="19" t="s">
        <v>5714</v>
      </c>
      <c r="D122" s="20" t="s">
        <v>848</v>
      </c>
      <c r="E122" s="21" t="s">
        <v>40</v>
      </c>
      <c r="F122" s="22" t="s">
        <v>192</v>
      </c>
      <c r="G122" s="23" t="s">
        <v>227</v>
      </c>
      <c r="H122" s="22" t="s">
        <v>228</v>
      </c>
      <c r="I122" s="22" t="s">
        <v>155</v>
      </c>
      <c r="J122" s="22" t="s">
        <v>378</v>
      </c>
      <c r="K122" s="24" t="s">
        <v>195</v>
      </c>
      <c r="L122" s="22"/>
      <c r="M122" s="22"/>
      <c r="N122" s="22"/>
      <c r="O122" s="22"/>
      <c r="P122" s="22"/>
      <c r="Q122" s="22"/>
      <c r="R122" s="22"/>
      <c r="S122" s="23" t="s">
        <v>816</v>
      </c>
      <c r="T122" s="23"/>
      <c r="U122" s="23"/>
      <c r="V122" s="23"/>
      <c r="W122" s="69">
        <v>45809</v>
      </c>
      <c r="X122" s="69">
        <v>45810</v>
      </c>
      <c r="Y122" s="69">
        <v>45810</v>
      </c>
      <c r="Z122" s="31" t="str">
        <f ca="1">DATEDIF(X122,TODAY(),"y")&amp;" Tahun "&amp;DATEDIF(X122,TODAY(),"ym")&amp;" Bulan "&amp;DATEDIF(X122,TODAY(),"md")&amp;" Hari"</f>
        <v>0 Tahun 4 Bulan 29 Hari</v>
      </c>
      <c r="AA122" s="98" t="s">
        <v>849</v>
      </c>
      <c r="AB122" s="32">
        <v>33596</v>
      </c>
      <c r="AC122" s="32" t="s">
        <v>850</v>
      </c>
      <c r="AD122" s="22" t="str">
        <f t="shared" ca="1" si="8"/>
        <v xml:space="preserve">33 Tahun 10 Bulan </v>
      </c>
      <c r="AE122" s="33" t="s">
        <v>814</v>
      </c>
      <c r="AF122" s="34"/>
      <c r="AG122" s="22" t="s">
        <v>330</v>
      </c>
      <c r="AH122" s="38"/>
      <c r="AI122" s="38"/>
      <c r="AJ122" s="38"/>
      <c r="AK122" s="33" t="s">
        <v>485</v>
      </c>
      <c r="AL122" s="38"/>
      <c r="AM122" s="47"/>
    </row>
    <row r="123" spans="1:39" ht="14.45" customHeight="1" x14ac:dyDescent="0.25">
      <c r="A123" s="107">
        <v>9</v>
      </c>
      <c r="B123" s="18"/>
      <c r="C123" s="19" t="s">
        <v>851</v>
      </c>
      <c r="D123" s="20" t="s">
        <v>852</v>
      </c>
      <c r="E123" s="21" t="s">
        <v>56</v>
      </c>
      <c r="F123" s="22" t="s">
        <v>41</v>
      </c>
      <c r="G123" s="23" t="s">
        <v>115</v>
      </c>
      <c r="H123" s="22" t="s">
        <v>116</v>
      </c>
      <c r="I123" s="22" t="s">
        <v>44</v>
      </c>
      <c r="J123" s="22" t="s">
        <v>45</v>
      </c>
      <c r="K123" s="24">
        <v>45200</v>
      </c>
      <c r="L123" s="25" t="s">
        <v>853</v>
      </c>
      <c r="M123" s="26">
        <v>42270</v>
      </c>
      <c r="N123" s="26">
        <v>44097</v>
      </c>
      <c r="O123" s="27" t="s">
        <v>854</v>
      </c>
      <c r="P123" s="28" t="s">
        <v>855</v>
      </c>
      <c r="Q123" s="29">
        <v>42360</v>
      </c>
      <c r="R123" s="26">
        <v>44097</v>
      </c>
      <c r="S123" s="33" t="s">
        <v>398</v>
      </c>
      <c r="T123" s="33"/>
      <c r="U123" s="33"/>
      <c r="V123" s="33"/>
      <c r="W123" s="30">
        <v>39783</v>
      </c>
      <c r="X123" s="30">
        <v>40087</v>
      </c>
      <c r="Y123" s="30">
        <v>41791</v>
      </c>
      <c r="Z123" s="31" t="str">
        <f ca="1">DATEDIF(W123,TODAY(),"y")&amp;" Tahun "&amp;DATEDIF(W123,TODAY(),"ym")&amp;" Bulan "&amp;DATEDIF(W123,TODAY(),"md")&amp;" Hari"</f>
        <v>16 Tahun 10 Bulan 30 Hari</v>
      </c>
      <c r="AA123" s="31" t="s">
        <v>97</v>
      </c>
      <c r="AB123" s="32">
        <v>28397</v>
      </c>
      <c r="AC123" s="31" t="s">
        <v>856</v>
      </c>
      <c r="AD123" s="22" t="str">
        <f t="shared" ref="AD123:AD138" ca="1" si="9">DATEDIF(AB123,TODAY(),"y")&amp;" Tahun "&amp;DATEDIF(AB123,TODAY(),"ym")&amp;" Bulan "</f>
        <v xml:space="preserve">48 Tahun 1 Bulan </v>
      </c>
      <c r="AE123" s="38" t="s">
        <v>857</v>
      </c>
      <c r="AF123" s="96" t="s">
        <v>858</v>
      </c>
      <c r="AG123" s="22" t="s">
        <v>330</v>
      </c>
      <c r="AH123" s="22"/>
      <c r="AI123" s="22"/>
      <c r="AJ123" s="22"/>
      <c r="AK123" s="33" t="s">
        <v>200</v>
      </c>
      <c r="AL123" s="36"/>
    </row>
    <row r="124" spans="1:39" ht="14.45" customHeight="1" x14ac:dyDescent="0.25">
      <c r="A124" s="17">
        <v>1</v>
      </c>
      <c r="B124" s="76"/>
      <c r="C124" s="19" t="s">
        <v>859</v>
      </c>
      <c r="D124" s="20" t="s">
        <v>860</v>
      </c>
      <c r="E124" s="58" t="s">
        <v>40</v>
      </c>
      <c r="F124" s="22" t="s">
        <v>41</v>
      </c>
      <c r="G124" s="33" t="s">
        <v>137</v>
      </c>
      <c r="H124" s="22" t="s">
        <v>138</v>
      </c>
      <c r="I124" s="22" t="s">
        <v>44</v>
      </c>
      <c r="J124" s="22" t="s">
        <v>343</v>
      </c>
      <c r="K124" s="24">
        <v>44835</v>
      </c>
      <c r="L124" s="53"/>
      <c r="M124" s="26"/>
      <c r="N124" s="26"/>
      <c r="O124" s="27" t="s">
        <v>854</v>
      </c>
      <c r="P124" s="28"/>
      <c r="Q124" s="29"/>
      <c r="R124" s="26"/>
      <c r="S124" s="38" t="s">
        <v>398</v>
      </c>
      <c r="T124" s="33"/>
      <c r="U124" s="33"/>
      <c r="V124" s="33"/>
      <c r="W124" s="30">
        <v>40148</v>
      </c>
      <c r="X124" s="30">
        <v>41974</v>
      </c>
      <c r="Y124" s="30">
        <v>43835</v>
      </c>
      <c r="Z124" s="55" t="str">
        <f ca="1">DATEDIF(W124,TODAY(),"y")&amp;" Tahun "&amp;DATEDIF(W124,TODAY(),"ym")&amp;" Bulan "&amp;DATEDIF(W124,TODAY(),"md")&amp;" Hari"</f>
        <v>15 Tahun 10 Bulan 30 Hari</v>
      </c>
      <c r="AA124" s="55" t="s">
        <v>861</v>
      </c>
      <c r="AB124" s="56">
        <v>29558</v>
      </c>
      <c r="AC124" s="31" t="s">
        <v>862</v>
      </c>
      <c r="AD124" s="57" t="str">
        <f t="shared" ca="1" si="9"/>
        <v xml:space="preserve">44 Tahun 10 Bulan </v>
      </c>
      <c r="AE124" s="38" t="s">
        <v>857</v>
      </c>
      <c r="AF124" s="34"/>
      <c r="AG124" s="22" t="s">
        <v>330</v>
      </c>
      <c r="AH124" s="22"/>
      <c r="AI124" s="22"/>
      <c r="AJ124" s="22"/>
      <c r="AK124" s="33"/>
      <c r="AL124" s="36"/>
    </row>
    <row r="125" spans="1:39" ht="14.45" customHeight="1" x14ac:dyDescent="0.25">
      <c r="A125" s="17">
        <v>2</v>
      </c>
      <c r="B125" s="76"/>
      <c r="C125" s="19" t="s">
        <v>863</v>
      </c>
      <c r="D125" s="20" t="s">
        <v>864</v>
      </c>
      <c r="E125" s="92" t="s">
        <v>40</v>
      </c>
      <c r="F125" s="22" t="s">
        <v>41</v>
      </c>
      <c r="G125" s="33" t="s">
        <v>227</v>
      </c>
      <c r="H125" s="22" t="s">
        <v>228</v>
      </c>
      <c r="I125" s="22" t="s">
        <v>44</v>
      </c>
      <c r="J125" s="22" t="s">
        <v>378</v>
      </c>
      <c r="K125" s="24">
        <v>44621</v>
      </c>
      <c r="L125" s="53"/>
      <c r="M125" s="26"/>
      <c r="N125" s="26"/>
      <c r="O125" s="27"/>
      <c r="P125" s="28"/>
      <c r="Q125" s="29"/>
      <c r="R125" s="26"/>
      <c r="S125" s="38" t="s">
        <v>865</v>
      </c>
      <c r="T125" s="33"/>
      <c r="U125" s="33"/>
      <c r="V125" s="33"/>
      <c r="W125" s="30">
        <v>44621</v>
      </c>
      <c r="X125" s="30">
        <v>44621</v>
      </c>
      <c r="Y125" s="30">
        <v>44621</v>
      </c>
      <c r="Z125" s="55" t="str">
        <f ca="1">DATEDIF(W125,TODAY(),"y")&amp;" Tahun "&amp;DATEDIF(W125,TODAY(),"ym")&amp;" Bulan "&amp;DATEDIF(W125,TODAY(),"md")&amp;" Hari"</f>
        <v>3 Tahun 7 Bulan 30 Hari</v>
      </c>
      <c r="AA125" s="55" t="s">
        <v>866</v>
      </c>
      <c r="AB125" s="56">
        <v>31816</v>
      </c>
      <c r="AC125" s="31" t="s">
        <v>867</v>
      </c>
      <c r="AD125" s="57" t="str">
        <f t="shared" ca="1" si="9"/>
        <v xml:space="preserve">38 Tahun 8 Bulan </v>
      </c>
      <c r="AE125" s="38" t="s">
        <v>857</v>
      </c>
      <c r="AF125" s="34"/>
      <c r="AG125" s="22" t="s">
        <v>330</v>
      </c>
      <c r="AH125" s="22"/>
      <c r="AI125" s="22"/>
      <c r="AJ125" s="22"/>
      <c r="AK125" s="33"/>
      <c r="AL125" s="22"/>
    </row>
    <row r="126" spans="1:39" ht="14.45" customHeight="1" x14ac:dyDescent="0.25">
      <c r="A126" s="17">
        <v>3</v>
      </c>
      <c r="B126" s="76"/>
      <c r="C126" s="19" t="s">
        <v>868</v>
      </c>
      <c r="D126" s="20" t="s">
        <v>869</v>
      </c>
      <c r="E126" s="35" t="s">
        <v>56</v>
      </c>
      <c r="F126" s="58" t="s">
        <v>623</v>
      </c>
      <c r="G126" s="33" t="s">
        <v>3872</v>
      </c>
      <c r="H126" s="22" t="s">
        <v>3872</v>
      </c>
      <c r="I126" s="22"/>
      <c r="J126" s="22"/>
      <c r="K126" s="24"/>
      <c r="L126" s="53"/>
      <c r="M126" s="26"/>
      <c r="N126" s="26"/>
      <c r="O126" s="27"/>
      <c r="P126" s="28"/>
      <c r="Q126" s="29"/>
      <c r="R126" s="26"/>
      <c r="S126" s="38" t="s">
        <v>398</v>
      </c>
      <c r="T126" s="33"/>
      <c r="U126" s="33"/>
      <c r="V126" s="33"/>
      <c r="W126" s="30"/>
      <c r="X126" s="30">
        <v>41974</v>
      </c>
      <c r="Y126" s="30">
        <v>41974</v>
      </c>
      <c r="Z126" s="31" t="str">
        <f ca="1">DATEDIF(X126,TODAY(),"y")&amp;" Tahun "&amp;DATEDIF(X126,TODAY(),"ym")&amp;" Bulan "&amp;DATEDIF(X126,TODAY(),"md")&amp;" Hari"</f>
        <v>10 Tahun 10 Bulan 30 Hari</v>
      </c>
      <c r="AA126" s="55" t="s">
        <v>636</v>
      </c>
      <c r="AB126" s="56">
        <v>30305</v>
      </c>
      <c r="AC126" s="31" t="s">
        <v>870</v>
      </c>
      <c r="AD126" s="57" t="str">
        <f t="shared" ca="1" si="9"/>
        <v xml:space="preserve">42 Tahun 10 Bulan </v>
      </c>
      <c r="AE126" s="38" t="s">
        <v>857</v>
      </c>
      <c r="AF126" s="34"/>
      <c r="AG126" s="22" t="s">
        <v>330</v>
      </c>
      <c r="AH126" s="22"/>
      <c r="AI126" s="22"/>
      <c r="AJ126" s="22"/>
      <c r="AK126" s="33"/>
      <c r="AL126" s="22"/>
    </row>
    <row r="127" spans="1:39" ht="14.45" customHeight="1" x14ac:dyDescent="0.25">
      <c r="A127" s="17">
        <v>4</v>
      </c>
      <c r="B127" s="18"/>
      <c r="C127" s="19" t="s">
        <v>871</v>
      </c>
      <c r="D127" s="20" t="s">
        <v>872</v>
      </c>
      <c r="E127" s="21" t="s">
        <v>40</v>
      </c>
      <c r="F127" s="22" t="s">
        <v>41</v>
      </c>
      <c r="G127" s="38" t="s">
        <v>42</v>
      </c>
      <c r="H127" s="35" t="s">
        <v>43</v>
      </c>
      <c r="I127" s="60" t="s">
        <v>44</v>
      </c>
      <c r="J127" s="60" t="s">
        <v>45</v>
      </c>
      <c r="K127" s="24">
        <v>45870</v>
      </c>
      <c r="L127" s="25" t="s">
        <v>873</v>
      </c>
      <c r="M127" s="26">
        <v>42619</v>
      </c>
      <c r="N127" s="26">
        <v>44627</v>
      </c>
      <c r="O127" s="27" t="s">
        <v>443</v>
      </c>
      <c r="P127" s="28" t="s">
        <v>874</v>
      </c>
      <c r="Q127" s="26">
        <v>42710</v>
      </c>
      <c r="R127" s="26">
        <v>44627</v>
      </c>
      <c r="S127" s="33" t="s">
        <v>445</v>
      </c>
      <c r="T127" s="33"/>
      <c r="U127" s="33"/>
      <c r="V127" s="33"/>
      <c r="W127" s="30">
        <v>39448</v>
      </c>
      <c r="X127" s="30">
        <v>39569</v>
      </c>
      <c r="Y127" s="30">
        <v>41792</v>
      </c>
      <c r="Z127" s="31" t="str">
        <f ca="1">DATEDIF(W127,TODAY(),"y")&amp;" Tahun "&amp;DATEDIF(W127,TODAY(),"ym")&amp;" Bulan "&amp;DATEDIF(W127,TODAY(),"md")&amp;" Hari"</f>
        <v>17 Tahun 9 Bulan 30 Hari</v>
      </c>
      <c r="AA127" s="31" t="s">
        <v>875</v>
      </c>
      <c r="AB127" s="32">
        <v>24538</v>
      </c>
      <c r="AC127" s="31" t="s">
        <v>876</v>
      </c>
      <c r="AD127" s="22" t="str">
        <f t="shared" ca="1" si="9"/>
        <v xml:space="preserve">58 Tahun 7 Bulan </v>
      </c>
      <c r="AE127" s="33" t="s">
        <v>877</v>
      </c>
      <c r="AF127" s="34"/>
      <c r="AG127" s="22" t="s">
        <v>330</v>
      </c>
      <c r="AH127" s="22"/>
      <c r="AI127" s="22"/>
      <c r="AJ127" s="22"/>
      <c r="AK127" s="33"/>
      <c r="AL127" s="22"/>
    </row>
    <row r="128" spans="1:39" ht="14.45" customHeight="1" x14ac:dyDescent="0.25">
      <c r="A128" s="17">
        <v>1</v>
      </c>
      <c r="B128" s="18"/>
      <c r="C128" s="19" t="s">
        <v>878</v>
      </c>
      <c r="D128" s="20" t="s">
        <v>879</v>
      </c>
      <c r="E128" s="22" t="s">
        <v>56</v>
      </c>
      <c r="F128" s="22" t="s">
        <v>66</v>
      </c>
      <c r="G128" s="23" t="s">
        <v>3872</v>
      </c>
      <c r="H128" s="22" t="s">
        <v>3872</v>
      </c>
      <c r="I128" s="22"/>
      <c r="J128" s="22"/>
      <c r="K128" s="30"/>
      <c r="L128" s="25" t="s">
        <v>880</v>
      </c>
      <c r="M128" s="26">
        <v>42478</v>
      </c>
      <c r="N128" s="26">
        <v>44336</v>
      </c>
      <c r="O128" s="27" t="s">
        <v>443</v>
      </c>
      <c r="P128" s="28" t="s">
        <v>881</v>
      </c>
      <c r="Q128" s="29">
        <v>42593</v>
      </c>
      <c r="R128" s="26">
        <v>44336</v>
      </c>
      <c r="S128" s="33" t="s">
        <v>445</v>
      </c>
      <c r="T128" s="33"/>
      <c r="U128" s="23"/>
      <c r="V128" s="23"/>
      <c r="W128" s="30"/>
      <c r="X128" s="30">
        <v>42552</v>
      </c>
      <c r="Y128" s="30">
        <v>42552</v>
      </c>
      <c r="Z128" s="31" t="str">
        <f ca="1">DATEDIF(X128,TODAY(),"y")&amp;" Tahun "&amp;DATEDIF(X128,TODAY(),"ym")&amp;" Bulan "&amp;DATEDIF(X128,TODAY(),"md")&amp;" Hari"</f>
        <v>9 Tahun 3 Bulan 30 Hari</v>
      </c>
      <c r="AA128" s="31" t="s">
        <v>882</v>
      </c>
      <c r="AB128" s="32">
        <v>30091</v>
      </c>
      <c r="AC128" s="31" t="s">
        <v>883</v>
      </c>
      <c r="AD128" s="22" t="str">
        <f t="shared" ca="1" si="9"/>
        <v xml:space="preserve">43 Tahun 5 Bulan </v>
      </c>
      <c r="AE128" s="33" t="s">
        <v>877</v>
      </c>
      <c r="AF128" s="34"/>
      <c r="AG128" s="22" t="s">
        <v>330</v>
      </c>
      <c r="AH128" s="22"/>
      <c r="AI128" s="22"/>
      <c r="AJ128" s="22"/>
      <c r="AK128" s="33"/>
      <c r="AL128" s="36"/>
    </row>
    <row r="129" spans="1:39" ht="14.45" customHeight="1" x14ac:dyDescent="0.25">
      <c r="A129" s="17">
        <v>2</v>
      </c>
      <c r="B129" s="18"/>
      <c r="C129" s="19" t="s">
        <v>884</v>
      </c>
      <c r="D129" s="20" t="s">
        <v>885</v>
      </c>
      <c r="E129" s="21" t="s">
        <v>40</v>
      </c>
      <c r="F129" s="22" t="s">
        <v>41</v>
      </c>
      <c r="G129" s="23" t="s">
        <v>137</v>
      </c>
      <c r="H129" s="22" t="s">
        <v>138</v>
      </c>
      <c r="I129" s="22" t="s">
        <v>44</v>
      </c>
      <c r="J129" s="22" t="s">
        <v>343</v>
      </c>
      <c r="K129" s="24">
        <v>45200</v>
      </c>
      <c r="L129" s="25" t="s">
        <v>886</v>
      </c>
      <c r="M129" s="26">
        <v>42978</v>
      </c>
      <c r="N129" s="26">
        <v>44851</v>
      </c>
      <c r="O129" s="27" t="s">
        <v>443</v>
      </c>
      <c r="P129" s="28" t="s">
        <v>887</v>
      </c>
      <c r="Q129" s="29">
        <v>43125</v>
      </c>
      <c r="R129" s="26">
        <v>44851</v>
      </c>
      <c r="S129" s="23" t="s">
        <v>888</v>
      </c>
      <c r="T129" s="23"/>
      <c r="U129" s="23"/>
      <c r="V129" s="23"/>
      <c r="W129" s="30">
        <v>43101</v>
      </c>
      <c r="X129" s="30">
        <v>43101</v>
      </c>
      <c r="Y129" s="30">
        <v>43101</v>
      </c>
      <c r="Z129" s="31" t="str">
        <f ca="1">DATEDIF(W129,TODAY(),"y")&amp;" Tahun "&amp;DATEDIF(W129,TODAY(),"ym")&amp;" Bulan "&amp;DATEDIF(W129,TODAY(),"md")&amp;" Hari"</f>
        <v>7 Tahun 9 Bulan 30 Hari</v>
      </c>
      <c r="AA129" s="31" t="s">
        <v>563</v>
      </c>
      <c r="AB129" s="32">
        <v>31337</v>
      </c>
      <c r="AC129" s="31" t="s">
        <v>889</v>
      </c>
      <c r="AD129" s="22" t="str">
        <f t="shared" ca="1" si="9"/>
        <v xml:space="preserve">40 Tahun 0 Bulan </v>
      </c>
      <c r="AE129" s="33" t="s">
        <v>877</v>
      </c>
      <c r="AF129" s="34"/>
      <c r="AG129" s="22" t="s">
        <v>330</v>
      </c>
      <c r="AH129" s="22"/>
      <c r="AI129" s="22"/>
      <c r="AJ129" s="22"/>
      <c r="AK129" s="33"/>
      <c r="AL129" s="22"/>
    </row>
    <row r="130" spans="1:39" ht="14.45" customHeight="1" x14ac:dyDescent="0.25">
      <c r="A130" s="17">
        <v>3</v>
      </c>
      <c r="B130" s="18"/>
      <c r="C130" s="19" t="s">
        <v>890</v>
      </c>
      <c r="D130" s="20" t="s">
        <v>891</v>
      </c>
      <c r="E130" s="21" t="s">
        <v>40</v>
      </c>
      <c r="F130" s="22" t="s">
        <v>41</v>
      </c>
      <c r="G130" s="23" t="s">
        <v>57</v>
      </c>
      <c r="H130" s="22" t="s">
        <v>58</v>
      </c>
      <c r="I130" s="22" t="s">
        <v>44</v>
      </c>
      <c r="J130" s="22" t="s">
        <v>325</v>
      </c>
      <c r="K130" s="24">
        <v>45870</v>
      </c>
      <c r="L130" s="25" t="s">
        <v>892</v>
      </c>
      <c r="M130" s="26">
        <v>43069</v>
      </c>
      <c r="N130" s="26" t="s">
        <v>893</v>
      </c>
      <c r="O130" s="27" t="s">
        <v>443</v>
      </c>
      <c r="P130" s="28" t="s">
        <v>894</v>
      </c>
      <c r="Q130" s="29">
        <v>41436</v>
      </c>
      <c r="R130" s="26">
        <v>43109</v>
      </c>
      <c r="S130" s="23" t="s">
        <v>445</v>
      </c>
      <c r="T130" s="23">
        <v>2019</v>
      </c>
      <c r="U130" s="23"/>
      <c r="V130" s="23"/>
      <c r="W130" s="30">
        <v>40148</v>
      </c>
      <c r="X130" s="30">
        <v>40269</v>
      </c>
      <c r="Y130" s="30">
        <v>43497</v>
      </c>
      <c r="Z130" s="31" t="str">
        <f ca="1">DATEDIF(W130,TODAY(),"y")&amp;" Tahun "&amp;DATEDIF(W130,TODAY(),"ym")&amp;" Bulan "&amp;DATEDIF(W130,TODAY(),"md")&amp;" Hari"</f>
        <v>15 Tahun 10 Bulan 30 Hari</v>
      </c>
      <c r="AA130" s="31" t="s">
        <v>76</v>
      </c>
      <c r="AB130" s="32">
        <v>30501</v>
      </c>
      <c r="AC130" s="31" t="s">
        <v>895</v>
      </c>
      <c r="AD130" s="22" t="str">
        <f t="shared" ca="1" si="9"/>
        <v xml:space="preserve">42 Tahun 3 Bulan </v>
      </c>
      <c r="AE130" s="33" t="s">
        <v>877</v>
      </c>
      <c r="AF130" s="34"/>
      <c r="AG130" s="22" t="s">
        <v>330</v>
      </c>
      <c r="AH130" s="22"/>
      <c r="AI130" s="22"/>
      <c r="AJ130" s="22"/>
      <c r="AK130" s="33"/>
      <c r="AL130" s="36"/>
    </row>
    <row r="131" spans="1:39" ht="14.45" customHeight="1" x14ac:dyDescent="0.25">
      <c r="A131" s="17">
        <v>4</v>
      </c>
      <c r="B131" s="18"/>
      <c r="C131" s="19" t="s">
        <v>5715</v>
      </c>
      <c r="D131" s="20" t="s">
        <v>896</v>
      </c>
      <c r="E131" s="21" t="s">
        <v>56</v>
      </c>
      <c r="F131" s="22" t="s">
        <v>192</v>
      </c>
      <c r="G131" s="23" t="s">
        <v>227</v>
      </c>
      <c r="H131" s="22" t="s">
        <v>228</v>
      </c>
      <c r="I131" s="22" t="s">
        <v>155</v>
      </c>
      <c r="J131" s="22" t="s">
        <v>378</v>
      </c>
      <c r="K131" s="24" t="s">
        <v>195</v>
      </c>
      <c r="L131" s="22"/>
      <c r="M131" s="22"/>
      <c r="N131" s="22"/>
      <c r="O131" s="22"/>
      <c r="P131" s="22"/>
      <c r="Q131" s="22"/>
      <c r="R131" s="22"/>
      <c r="S131" s="23" t="s">
        <v>445</v>
      </c>
      <c r="T131" s="23"/>
      <c r="U131" s="23"/>
      <c r="V131" s="23"/>
      <c r="W131" s="69">
        <v>45809</v>
      </c>
      <c r="X131" s="69">
        <v>45810</v>
      </c>
      <c r="Y131" s="69">
        <v>45810</v>
      </c>
      <c r="Z131" s="31" t="str">
        <f ca="1">DATEDIF(X131,TODAY(),"y")&amp;" Tahun "&amp;DATEDIF(X131,TODAY(),"ym")&amp;" Bulan "&amp;DATEDIF(X131,TODAY(),"md")&amp;" Hari"</f>
        <v>0 Tahun 4 Bulan 29 Hari</v>
      </c>
      <c r="AA131" s="98" t="s">
        <v>897</v>
      </c>
      <c r="AB131" s="32">
        <v>33186</v>
      </c>
      <c r="AC131" s="32" t="s">
        <v>898</v>
      </c>
      <c r="AD131" s="22" t="str">
        <f t="shared" ca="1" si="9"/>
        <v xml:space="preserve">34 Tahun 11 Bulan </v>
      </c>
      <c r="AE131" s="33" t="s">
        <v>877</v>
      </c>
      <c r="AF131" s="34"/>
      <c r="AG131" s="22" t="s">
        <v>330</v>
      </c>
      <c r="AH131" s="22"/>
      <c r="AI131" s="22"/>
      <c r="AJ131" s="22"/>
      <c r="AK131" s="33"/>
      <c r="AL131" s="36"/>
    </row>
    <row r="132" spans="1:39" ht="14.45" customHeight="1" x14ac:dyDescent="0.25">
      <c r="A132" s="17">
        <v>5</v>
      </c>
      <c r="B132" s="18"/>
      <c r="C132" s="19" t="s">
        <v>899</v>
      </c>
      <c r="D132" s="20" t="s">
        <v>900</v>
      </c>
      <c r="E132" s="21" t="s">
        <v>40</v>
      </c>
      <c r="F132" s="22" t="s">
        <v>41</v>
      </c>
      <c r="G132" s="23" t="s">
        <v>42</v>
      </c>
      <c r="H132" s="22" t="s">
        <v>43</v>
      </c>
      <c r="I132" s="22" t="s">
        <v>44</v>
      </c>
      <c r="J132" s="22" t="s">
        <v>325</v>
      </c>
      <c r="K132" s="24">
        <v>45323</v>
      </c>
      <c r="L132" s="25" t="s">
        <v>901</v>
      </c>
      <c r="M132" s="26">
        <v>42465</v>
      </c>
      <c r="N132" s="26">
        <v>44419</v>
      </c>
      <c r="O132" s="27" t="s">
        <v>451</v>
      </c>
      <c r="P132" s="28" t="s">
        <v>902</v>
      </c>
      <c r="Q132" s="29">
        <v>42492</v>
      </c>
      <c r="R132" s="26">
        <v>44419</v>
      </c>
      <c r="S132" s="33" t="s">
        <v>453</v>
      </c>
      <c r="T132" s="33"/>
      <c r="U132" s="33"/>
      <c r="V132" s="33"/>
      <c r="W132" s="30">
        <v>37956</v>
      </c>
      <c r="X132" s="30">
        <v>37956</v>
      </c>
      <c r="Y132" s="30">
        <v>42941</v>
      </c>
      <c r="Z132" s="31" t="str">
        <f ca="1">DATEDIF(W132,TODAY(),"y")&amp;" Tahun "&amp;DATEDIF(W132,TODAY(),"ym")&amp;" Bulan "&amp;DATEDIF(W132,TODAY(),"md")&amp;" Hari"</f>
        <v>21 Tahun 10 Bulan 30 Hari</v>
      </c>
      <c r="AA132" s="31" t="s">
        <v>260</v>
      </c>
      <c r="AB132" s="32">
        <v>26522</v>
      </c>
      <c r="AC132" s="32" t="s">
        <v>903</v>
      </c>
      <c r="AD132" s="22" t="str">
        <f t="shared" ca="1" si="9"/>
        <v xml:space="preserve">53 Tahun 2 Bulan </v>
      </c>
      <c r="AE132" s="33" t="s">
        <v>904</v>
      </c>
      <c r="AF132" s="34"/>
      <c r="AG132" s="22" t="s">
        <v>330</v>
      </c>
      <c r="AH132" s="22"/>
      <c r="AI132" s="22"/>
      <c r="AJ132" s="22"/>
      <c r="AK132" s="33" t="s">
        <v>200</v>
      </c>
      <c r="AL132" s="36"/>
    </row>
    <row r="133" spans="1:39" ht="14.45" customHeight="1" x14ac:dyDescent="0.25">
      <c r="A133" s="17">
        <v>1</v>
      </c>
      <c r="B133" s="18"/>
      <c r="C133" s="19" t="s">
        <v>905</v>
      </c>
      <c r="D133" s="20" t="s">
        <v>906</v>
      </c>
      <c r="E133" s="21" t="s">
        <v>40</v>
      </c>
      <c r="F133" s="22" t="s">
        <v>41</v>
      </c>
      <c r="G133" s="23" t="s">
        <v>115</v>
      </c>
      <c r="H133" s="22" t="s">
        <v>116</v>
      </c>
      <c r="I133" s="22" t="s">
        <v>44</v>
      </c>
      <c r="J133" s="22" t="s">
        <v>45</v>
      </c>
      <c r="K133" s="24">
        <v>45566</v>
      </c>
      <c r="L133" s="25" t="s">
        <v>907</v>
      </c>
      <c r="M133" s="26">
        <v>43010</v>
      </c>
      <c r="N133" s="26">
        <v>45049</v>
      </c>
      <c r="O133" s="27" t="s">
        <v>451</v>
      </c>
      <c r="P133" s="28" t="s">
        <v>908</v>
      </c>
      <c r="Q133" s="29">
        <v>43185</v>
      </c>
      <c r="R133" s="26">
        <v>45049</v>
      </c>
      <c r="S133" s="33" t="s">
        <v>909</v>
      </c>
      <c r="T133" s="33"/>
      <c r="U133" s="33"/>
      <c r="V133" s="33"/>
      <c r="W133" s="30">
        <v>39448</v>
      </c>
      <c r="X133" s="30">
        <v>39569</v>
      </c>
      <c r="Y133" s="30">
        <v>41792</v>
      </c>
      <c r="Z133" s="31" t="str">
        <f ca="1">DATEDIF(W133,TODAY(),"y")&amp;" Tahun "&amp;DATEDIF(W133,TODAY(),"ym")&amp;" Bulan "&amp;DATEDIF(W133,TODAY(),"md")&amp;" Hari"</f>
        <v>17 Tahun 9 Bulan 30 Hari</v>
      </c>
      <c r="AA133" s="31" t="s">
        <v>97</v>
      </c>
      <c r="AB133" s="32">
        <v>26056</v>
      </c>
      <c r="AC133" s="31" t="s">
        <v>910</v>
      </c>
      <c r="AD133" s="22" t="str">
        <f t="shared" ca="1" si="9"/>
        <v xml:space="preserve">54 Tahun 5 Bulan </v>
      </c>
      <c r="AE133" s="33" t="s">
        <v>904</v>
      </c>
      <c r="AF133" s="34" t="s">
        <v>911</v>
      </c>
      <c r="AG133" s="22" t="s">
        <v>330</v>
      </c>
      <c r="AH133" s="22"/>
      <c r="AI133" s="22"/>
      <c r="AJ133" s="22"/>
      <c r="AK133" s="33"/>
      <c r="AL133" s="36"/>
    </row>
    <row r="134" spans="1:39" ht="14.45" customHeight="1" x14ac:dyDescent="0.25">
      <c r="A134" s="17">
        <v>2</v>
      </c>
      <c r="B134" s="76"/>
      <c r="C134" s="19" t="s">
        <v>912</v>
      </c>
      <c r="D134" s="20" t="s">
        <v>913</v>
      </c>
      <c r="E134" s="52" t="s">
        <v>56</v>
      </c>
      <c r="F134" s="58" t="s">
        <v>41</v>
      </c>
      <c r="G134" s="89" t="s">
        <v>137</v>
      </c>
      <c r="H134" s="22" t="s">
        <v>138</v>
      </c>
      <c r="I134" s="22" t="s">
        <v>44</v>
      </c>
      <c r="J134" s="22" t="s">
        <v>343</v>
      </c>
      <c r="K134" s="24">
        <v>45870</v>
      </c>
      <c r="L134" s="53" t="s">
        <v>914</v>
      </c>
      <c r="M134" s="26">
        <v>42384</v>
      </c>
      <c r="N134" s="26">
        <v>44211</v>
      </c>
      <c r="O134" s="27" t="s">
        <v>451</v>
      </c>
      <c r="P134" s="53" t="s">
        <v>915</v>
      </c>
      <c r="Q134" s="26">
        <v>43096</v>
      </c>
      <c r="R134" s="26">
        <v>44211</v>
      </c>
      <c r="S134" s="33" t="s">
        <v>453</v>
      </c>
      <c r="T134" s="33">
        <v>2015</v>
      </c>
      <c r="U134" s="33"/>
      <c r="V134" s="33"/>
      <c r="W134" s="30">
        <v>43497</v>
      </c>
      <c r="X134" s="30">
        <v>43040</v>
      </c>
      <c r="Y134" s="30">
        <v>43040</v>
      </c>
      <c r="Z134" s="31" t="str">
        <f ca="1">DATEDIF(X134,TODAY(),"y")&amp;" Tahun "&amp;DATEDIF(X134,TODAY(),"ym")&amp;" Bulan "&amp;DATEDIF(X134,TODAY(),"md")&amp;" Hari"</f>
        <v>7 Tahun 11 Bulan 30 Hari</v>
      </c>
      <c r="AA134" s="55" t="s">
        <v>76</v>
      </c>
      <c r="AB134" s="56">
        <v>30839</v>
      </c>
      <c r="AC134" s="56" t="s">
        <v>916</v>
      </c>
      <c r="AD134" s="22" t="str">
        <f t="shared" ca="1" si="9"/>
        <v xml:space="preserve">41 Tahun 4 Bulan </v>
      </c>
      <c r="AE134" s="33" t="s">
        <v>904</v>
      </c>
      <c r="AG134" s="22" t="s">
        <v>330</v>
      </c>
      <c r="AH134" s="22"/>
      <c r="AI134" s="22"/>
      <c r="AJ134" s="22"/>
      <c r="AK134" s="33"/>
      <c r="AL134" s="36"/>
    </row>
    <row r="135" spans="1:39" ht="14.45" customHeight="1" x14ac:dyDescent="0.25">
      <c r="A135" s="17">
        <v>3</v>
      </c>
      <c r="B135" s="76"/>
      <c r="C135" s="19" t="s">
        <v>917</v>
      </c>
      <c r="D135" s="20" t="s">
        <v>918</v>
      </c>
      <c r="E135" s="52" t="s">
        <v>40</v>
      </c>
      <c r="F135" s="58" t="s">
        <v>41</v>
      </c>
      <c r="G135" s="23" t="s">
        <v>42</v>
      </c>
      <c r="H135" s="22" t="s">
        <v>43</v>
      </c>
      <c r="I135" s="58" t="s">
        <v>44</v>
      </c>
      <c r="J135" s="22" t="s">
        <v>45</v>
      </c>
      <c r="K135" s="24">
        <v>45505</v>
      </c>
      <c r="L135" s="25" t="s">
        <v>919</v>
      </c>
      <c r="M135" s="26">
        <v>42039</v>
      </c>
      <c r="N135" s="26">
        <v>43923</v>
      </c>
      <c r="O135" s="27" t="s">
        <v>468</v>
      </c>
      <c r="P135" s="28" t="s">
        <v>426</v>
      </c>
      <c r="Q135" s="29">
        <v>42968</v>
      </c>
      <c r="R135" s="26">
        <v>44718</v>
      </c>
      <c r="S135" s="33" t="s">
        <v>920</v>
      </c>
      <c r="T135" s="33"/>
      <c r="U135" s="33"/>
      <c r="V135" s="33"/>
      <c r="W135" s="30">
        <v>39783</v>
      </c>
      <c r="X135" s="30">
        <v>40210</v>
      </c>
      <c r="Y135" s="22"/>
      <c r="Z135" s="55" t="str">
        <f ca="1">DATEDIF(W135,TODAY(),"y")&amp;" Tahun "&amp;DATEDIF(W135,TODAY(),"ym")&amp;" Bulan "&amp;DATEDIF(W135,TODAY(),"md")&amp;" Hari"</f>
        <v>16 Tahun 10 Bulan 30 Hari</v>
      </c>
      <c r="AA135" s="55" t="s">
        <v>128</v>
      </c>
      <c r="AB135" s="56">
        <v>27032</v>
      </c>
      <c r="AC135" s="31" t="s">
        <v>921</v>
      </c>
      <c r="AD135" s="57" t="str">
        <f t="shared" ca="1" si="9"/>
        <v xml:space="preserve">51 Tahun 9 Bulan </v>
      </c>
      <c r="AE135" s="33" t="s">
        <v>922</v>
      </c>
      <c r="AF135" s="71"/>
      <c r="AG135" s="58" t="s">
        <v>330</v>
      </c>
      <c r="AH135" s="58"/>
      <c r="AI135" s="58"/>
      <c r="AJ135" s="58"/>
      <c r="AK135" s="33"/>
      <c r="AL135" s="36"/>
    </row>
    <row r="136" spans="1:39" ht="14.45" customHeight="1" x14ac:dyDescent="0.25">
      <c r="A136" s="115">
        <v>1</v>
      </c>
      <c r="B136" s="18">
        <v>1363</v>
      </c>
      <c r="C136" s="19" t="s">
        <v>923</v>
      </c>
      <c r="D136" s="62" t="s">
        <v>924</v>
      </c>
      <c r="E136" s="35" t="s">
        <v>40</v>
      </c>
      <c r="F136" s="35" t="s">
        <v>41</v>
      </c>
      <c r="G136" s="89" t="s">
        <v>102</v>
      </c>
      <c r="H136" s="22" t="s">
        <v>103</v>
      </c>
      <c r="I136" s="58" t="s">
        <v>44</v>
      </c>
      <c r="J136" s="22" t="s">
        <v>343</v>
      </c>
      <c r="K136" s="24">
        <v>45505</v>
      </c>
      <c r="L136" s="25"/>
      <c r="M136" s="26"/>
      <c r="N136" s="26"/>
      <c r="O136" s="27" t="s">
        <v>468</v>
      </c>
      <c r="P136" s="28"/>
      <c r="Q136" s="29"/>
      <c r="R136" s="26"/>
      <c r="S136" s="38" t="s">
        <v>925</v>
      </c>
      <c r="T136" s="38">
        <v>2019</v>
      </c>
      <c r="U136" s="38"/>
      <c r="V136" s="38"/>
      <c r="W136" s="30">
        <v>44166</v>
      </c>
      <c r="X136" s="37">
        <v>43525</v>
      </c>
      <c r="Y136" s="37">
        <v>43525</v>
      </c>
      <c r="Z136" s="63" t="str">
        <f ca="1">DATEDIF(X136,TODAY(),"y")&amp;" Tahun "&amp;DATEDIF(X136,TODAY(),"ym")&amp;" Bulan "&amp;DATEDIF(X136,TODAY(),"md")&amp;" Hari"</f>
        <v>6 Tahun 7 Bulan 30 Hari</v>
      </c>
      <c r="AA136" s="63" t="s">
        <v>926</v>
      </c>
      <c r="AB136" s="39">
        <v>29665</v>
      </c>
      <c r="AC136" s="31" t="s">
        <v>927</v>
      </c>
      <c r="AD136" s="22" t="str">
        <f t="shared" ca="1" si="9"/>
        <v xml:space="preserve">44 Tahun 7 Bulan </v>
      </c>
      <c r="AE136" s="38" t="s">
        <v>922</v>
      </c>
      <c r="AF136" s="96"/>
      <c r="AG136" s="22" t="s">
        <v>330</v>
      </c>
      <c r="AH136" s="58"/>
      <c r="AI136" s="58"/>
      <c r="AJ136" s="58"/>
      <c r="AK136" s="33"/>
      <c r="AL136" s="36"/>
    </row>
    <row r="137" spans="1:39" ht="14.45" customHeight="1" x14ac:dyDescent="0.25">
      <c r="A137" s="17">
        <v>2</v>
      </c>
      <c r="B137" s="76"/>
      <c r="C137" s="19" t="s">
        <v>928</v>
      </c>
      <c r="D137" s="20" t="s">
        <v>929</v>
      </c>
      <c r="E137" s="35" t="s">
        <v>56</v>
      </c>
      <c r="F137" s="58" t="s">
        <v>623</v>
      </c>
      <c r="G137" s="33" t="s">
        <v>3872</v>
      </c>
      <c r="H137" s="22" t="s">
        <v>3872</v>
      </c>
      <c r="I137" s="22"/>
      <c r="J137" s="22"/>
      <c r="K137" s="24"/>
      <c r="L137" s="53"/>
      <c r="M137" s="26"/>
      <c r="N137" s="26"/>
      <c r="O137" s="27"/>
      <c r="P137" s="28"/>
      <c r="Q137" s="29"/>
      <c r="R137" s="26"/>
      <c r="S137" s="38" t="s">
        <v>930</v>
      </c>
      <c r="T137" s="33"/>
      <c r="U137" s="33"/>
      <c r="V137" s="33"/>
      <c r="W137" s="30"/>
      <c r="X137" s="30">
        <v>41791</v>
      </c>
      <c r="Y137" s="30">
        <v>41791</v>
      </c>
      <c r="Z137" s="31" t="str">
        <f ca="1">DATEDIF(X137,TODAY(),"y")&amp;" Tahun "&amp;DATEDIF(X137,TODAY(),"ym")&amp;" Bulan "&amp;DATEDIF(X137,TODAY(),"md")&amp;" Hari"</f>
        <v>11 Tahun 4 Bulan 30 Hari</v>
      </c>
      <c r="AA137" s="55" t="s">
        <v>97</v>
      </c>
      <c r="AB137" s="56">
        <v>26084</v>
      </c>
      <c r="AC137" s="31" t="s">
        <v>931</v>
      </c>
      <c r="AD137" s="57" t="str">
        <f t="shared" ca="1" si="9"/>
        <v xml:space="preserve">54 Tahun 5 Bulan </v>
      </c>
      <c r="AE137" s="38" t="s">
        <v>932</v>
      </c>
      <c r="AF137" s="34"/>
      <c r="AG137" s="22" t="s">
        <v>330</v>
      </c>
      <c r="AH137" s="38"/>
      <c r="AI137" s="38"/>
      <c r="AJ137" s="38"/>
      <c r="AK137" s="38" t="s">
        <v>112</v>
      </c>
      <c r="AL137" s="38"/>
      <c r="AM137" s="47"/>
    </row>
    <row r="138" spans="1:39" ht="14.45" customHeight="1" x14ac:dyDescent="0.25">
      <c r="A138" s="17">
        <v>1</v>
      </c>
      <c r="B138" s="18"/>
      <c r="C138" s="19" t="s">
        <v>5716</v>
      </c>
      <c r="D138" s="20" t="s">
        <v>933</v>
      </c>
      <c r="E138" s="21" t="s">
        <v>56</v>
      </c>
      <c r="F138" s="22" t="s">
        <v>192</v>
      </c>
      <c r="G138" s="23" t="s">
        <v>227</v>
      </c>
      <c r="H138" s="22" t="s">
        <v>228</v>
      </c>
      <c r="I138" s="22" t="s">
        <v>155</v>
      </c>
      <c r="J138" s="22" t="s">
        <v>378</v>
      </c>
      <c r="K138" s="24" t="s">
        <v>195</v>
      </c>
      <c r="L138" s="22"/>
      <c r="M138" s="22"/>
      <c r="N138" s="22"/>
      <c r="O138" s="22"/>
      <c r="P138" s="22"/>
      <c r="Q138" s="22"/>
      <c r="R138" s="22"/>
      <c r="S138" s="23" t="s">
        <v>480</v>
      </c>
      <c r="T138" s="23"/>
      <c r="U138" s="23"/>
      <c r="V138" s="23"/>
      <c r="W138" s="69">
        <v>45809</v>
      </c>
      <c r="X138" s="69">
        <v>45810</v>
      </c>
      <c r="Y138" s="69">
        <v>45810</v>
      </c>
      <c r="Z138" s="31" t="str">
        <f ca="1">DATEDIF(X138,TODAY(),"y")&amp;" Tahun "&amp;DATEDIF(X138,TODAY(),"ym")&amp;" Bulan "&amp;DATEDIF(X138,TODAY(),"md")&amp;" Hari"</f>
        <v>0 Tahun 4 Bulan 29 Hari</v>
      </c>
      <c r="AA138" s="98" t="s">
        <v>934</v>
      </c>
      <c r="AB138" s="32">
        <v>32294</v>
      </c>
      <c r="AC138" s="32" t="s">
        <v>935</v>
      </c>
      <c r="AD138" s="22" t="str">
        <f t="shared" ca="1" si="9"/>
        <v xml:space="preserve">37 Tahun 5 Bulan </v>
      </c>
      <c r="AE138" s="33" t="s">
        <v>936</v>
      </c>
      <c r="AF138" s="34"/>
      <c r="AG138" s="22" t="s">
        <v>330</v>
      </c>
      <c r="AH138" s="22"/>
      <c r="AI138" s="22"/>
      <c r="AJ138" s="22"/>
      <c r="AK138" s="33"/>
      <c r="AL138" s="22"/>
    </row>
    <row r="139" spans="1:39" ht="14.45" customHeight="1" x14ac:dyDescent="0.25">
      <c r="A139" s="17">
        <v>1</v>
      </c>
      <c r="B139" s="18"/>
      <c r="C139" s="50" t="s">
        <v>937</v>
      </c>
      <c r="D139" s="20" t="s">
        <v>938</v>
      </c>
      <c r="E139" s="21" t="s">
        <v>40</v>
      </c>
      <c r="F139" s="22" t="s">
        <v>41</v>
      </c>
      <c r="G139" s="23" t="s">
        <v>57</v>
      </c>
      <c r="H139" s="22" t="s">
        <v>58</v>
      </c>
      <c r="I139" s="22" t="s">
        <v>44</v>
      </c>
      <c r="J139" s="22" t="s">
        <v>325</v>
      </c>
      <c r="K139" s="24">
        <v>45505</v>
      </c>
      <c r="L139" s="25" t="s">
        <v>939</v>
      </c>
      <c r="M139" s="26">
        <v>43291</v>
      </c>
      <c r="N139" s="26">
        <v>45476</v>
      </c>
      <c r="O139" s="27" t="s">
        <v>489</v>
      </c>
      <c r="P139" s="28" t="s">
        <v>940</v>
      </c>
      <c r="Q139" s="29">
        <v>43291</v>
      </c>
      <c r="R139" s="26">
        <v>45476</v>
      </c>
      <c r="S139" s="33" t="s">
        <v>491</v>
      </c>
      <c r="T139" s="33"/>
      <c r="U139" s="33"/>
      <c r="V139" s="33"/>
      <c r="W139" s="30">
        <v>41671</v>
      </c>
      <c r="X139" s="30">
        <v>41682</v>
      </c>
      <c r="Y139" s="30">
        <v>41682</v>
      </c>
      <c r="Z139" s="31" t="str">
        <f ca="1">DATEDIF(X139,TODAY(),"y")&amp;" Tahun "&amp;DATEDIF(X139,TODAY(),"ym")&amp;" Bulan "&amp;DATEDIF(X139,TODAY(),"md")&amp;" Hari"</f>
        <v>11 Tahun 8 Bulan 19 Hari</v>
      </c>
      <c r="AA139" s="31" t="s">
        <v>76</v>
      </c>
      <c r="AB139" s="32">
        <v>30500</v>
      </c>
      <c r="AC139" s="31" t="s">
        <v>941</v>
      </c>
      <c r="AD139" s="22" t="str">
        <f t="shared" ref="AD139:AD166" ca="1" si="10">DATEDIF(AB139,TODAY(),"y")&amp;" Tahun "&amp;DATEDIF(AB139,TODAY(),"ym")&amp;" Bulan "</f>
        <v xml:space="preserve">42 Tahun 3 Bulan </v>
      </c>
      <c r="AE139" s="33" t="s">
        <v>942</v>
      </c>
      <c r="AF139" s="34"/>
      <c r="AG139" s="22" t="s">
        <v>330</v>
      </c>
      <c r="AH139" s="22"/>
      <c r="AI139" s="22"/>
      <c r="AJ139" s="22"/>
      <c r="AK139" s="33" t="s">
        <v>200</v>
      </c>
      <c r="AL139" s="36"/>
    </row>
    <row r="140" spans="1:39" ht="14.45" customHeight="1" x14ac:dyDescent="0.25">
      <c r="A140" s="17">
        <v>1</v>
      </c>
      <c r="B140" s="18"/>
      <c r="C140" s="50" t="s">
        <v>943</v>
      </c>
      <c r="D140" s="20" t="s">
        <v>944</v>
      </c>
      <c r="E140" s="22" t="s">
        <v>40</v>
      </c>
      <c r="F140" s="22" t="s">
        <v>41</v>
      </c>
      <c r="G140" s="23" t="s">
        <v>57</v>
      </c>
      <c r="H140" s="22" t="s">
        <v>58</v>
      </c>
      <c r="I140" s="22" t="s">
        <v>44</v>
      </c>
      <c r="J140" s="22" t="s">
        <v>325</v>
      </c>
      <c r="K140" s="24">
        <v>45505</v>
      </c>
      <c r="L140" s="25" t="s">
        <v>945</v>
      </c>
      <c r="M140" s="26">
        <v>42689</v>
      </c>
      <c r="N140" s="26">
        <v>44584</v>
      </c>
      <c r="O140" s="27" t="s">
        <v>489</v>
      </c>
      <c r="P140" s="28" t="s">
        <v>946</v>
      </c>
      <c r="Q140" s="29">
        <v>43179</v>
      </c>
      <c r="R140" s="26">
        <v>45097</v>
      </c>
      <c r="S140" s="33" t="s">
        <v>491</v>
      </c>
      <c r="T140" s="33"/>
      <c r="U140" s="33"/>
      <c r="V140" s="33"/>
      <c r="W140" s="30">
        <v>42095</v>
      </c>
      <c r="X140" s="30">
        <v>42095</v>
      </c>
      <c r="Y140" s="30">
        <v>42095</v>
      </c>
      <c r="Z140" s="31" t="str">
        <f ca="1">DATEDIF(W140,TODAY(),"y")&amp;" Tahun "&amp;DATEDIF(W140,TODAY(),"ym")&amp;" Bulan "&amp;DATEDIF(W140,TODAY(),"md")&amp;" Hari"</f>
        <v>10 Tahun 6 Bulan 30 Hari</v>
      </c>
      <c r="AA140" s="31" t="s">
        <v>60</v>
      </c>
      <c r="AB140" s="32">
        <v>31800</v>
      </c>
      <c r="AC140" s="31" t="s">
        <v>947</v>
      </c>
      <c r="AD140" s="22" t="str">
        <f t="shared" ca="1" si="10"/>
        <v xml:space="preserve">38 Tahun 9 Bulan </v>
      </c>
      <c r="AE140" s="33" t="s">
        <v>942</v>
      </c>
      <c r="AF140" s="34" t="s">
        <v>494</v>
      </c>
      <c r="AG140" s="22" t="s">
        <v>330</v>
      </c>
      <c r="AH140" s="22"/>
      <c r="AI140" s="22"/>
      <c r="AJ140" s="22"/>
      <c r="AK140" s="33"/>
      <c r="AL140" s="36"/>
    </row>
    <row r="141" spans="1:39" ht="14.45" customHeight="1" x14ac:dyDescent="0.25">
      <c r="A141" s="17">
        <v>2</v>
      </c>
      <c r="B141" s="18"/>
      <c r="C141" s="50" t="s">
        <v>948</v>
      </c>
      <c r="D141" s="20" t="s">
        <v>949</v>
      </c>
      <c r="E141" s="21" t="s">
        <v>56</v>
      </c>
      <c r="F141" s="22" t="s">
        <v>238</v>
      </c>
      <c r="G141" s="33" t="s">
        <v>3872</v>
      </c>
      <c r="H141" s="22" t="s">
        <v>305</v>
      </c>
      <c r="I141" s="22" t="s">
        <v>44</v>
      </c>
      <c r="J141" s="22" t="s">
        <v>378</v>
      </c>
      <c r="K141" s="22"/>
      <c r="L141" s="25" t="s">
        <v>950</v>
      </c>
      <c r="M141" s="26">
        <v>42892</v>
      </c>
      <c r="N141" s="26">
        <v>44858</v>
      </c>
      <c r="O141" s="27" t="s">
        <v>489</v>
      </c>
      <c r="P141" s="28" t="s">
        <v>951</v>
      </c>
      <c r="Q141" s="29">
        <v>43012</v>
      </c>
      <c r="R141" s="26">
        <v>44858</v>
      </c>
      <c r="S141" s="33" t="s">
        <v>491</v>
      </c>
      <c r="T141" s="33"/>
      <c r="U141" s="33"/>
      <c r="V141" s="33"/>
      <c r="W141" s="77">
        <v>45047</v>
      </c>
      <c r="X141" s="30">
        <v>40817</v>
      </c>
      <c r="Y141" s="30">
        <v>40817</v>
      </c>
      <c r="Z141" s="31" t="str">
        <f ca="1">DATEDIF(X141,TODAY(),"y")&amp;" Tahun "&amp;DATEDIF(X141,TODAY(),"ym")&amp;" Bulan "&amp;DATEDIF(X141,TODAY(),"md")&amp;" Hari"</f>
        <v>14 Tahun 0 Bulan 30 Hari</v>
      </c>
      <c r="AA141" s="31" t="s">
        <v>50</v>
      </c>
      <c r="AB141" s="32">
        <v>31709</v>
      </c>
      <c r="AC141" s="31" t="s">
        <v>952</v>
      </c>
      <c r="AD141" s="22" t="str">
        <f t="shared" ca="1" si="10"/>
        <v xml:space="preserve">39 Tahun 0 Bulan </v>
      </c>
      <c r="AE141" s="33" t="s">
        <v>942</v>
      </c>
      <c r="AF141" s="34"/>
      <c r="AG141" s="22" t="s">
        <v>330</v>
      </c>
      <c r="AH141" s="22"/>
      <c r="AI141" s="22"/>
      <c r="AJ141" s="22"/>
      <c r="AK141" s="33"/>
      <c r="AL141" s="22"/>
    </row>
    <row r="142" spans="1:39" ht="14.45" customHeight="1" x14ac:dyDescent="0.25">
      <c r="A142" s="17">
        <v>3</v>
      </c>
      <c r="B142" s="18"/>
      <c r="C142" s="50" t="s">
        <v>953</v>
      </c>
      <c r="D142" s="20" t="s">
        <v>954</v>
      </c>
      <c r="E142" s="21" t="s">
        <v>56</v>
      </c>
      <c r="F142" s="22" t="s">
        <v>238</v>
      </c>
      <c r="G142" s="33" t="s">
        <v>3872</v>
      </c>
      <c r="H142" s="22" t="s">
        <v>305</v>
      </c>
      <c r="I142" s="22" t="s">
        <v>44</v>
      </c>
      <c r="J142" s="22" t="s">
        <v>378</v>
      </c>
      <c r="K142" s="22"/>
      <c r="L142" s="25" t="s">
        <v>955</v>
      </c>
      <c r="M142" s="26">
        <v>42892</v>
      </c>
      <c r="N142" s="26">
        <v>44976</v>
      </c>
      <c r="O142" s="27" t="s">
        <v>489</v>
      </c>
      <c r="P142" s="28" t="s">
        <v>956</v>
      </c>
      <c r="Q142" s="29">
        <v>43012</v>
      </c>
      <c r="R142" s="26">
        <v>44976</v>
      </c>
      <c r="S142" s="33" t="s">
        <v>491</v>
      </c>
      <c r="T142" s="33"/>
      <c r="U142" s="33"/>
      <c r="V142" s="33"/>
      <c r="W142" s="77">
        <v>45047</v>
      </c>
      <c r="X142" s="30">
        <v>41334</v>
      </c>
      <c r="Y142" s="30">
        <v>41334</v>
      </c>
      <c r="Z142" s="31" t="str">
        <f ca="1">DATEDIF(X142,TODAY(),"y")&amp;" Tahun "&amp;DATEDIF(X142,TODAY(),"ym")&amp;" Bulan "&amp;DATEDIF(X142,TODAY(),"md")&amp;" Hari"</f>
        <v>12 Tahun 7 Bulan 30 Hari</v>
      </c>
      <c r="AA142" s="31" t="s">
        <v>76</v>
      </c>
      <c r="AB142" s="32">
        <v>31462</v>
      </c>
      <c r="AC142" s="31" t="s">
        <v>957</v>
      </c>
      <c r="AD142" s="22" t="str">
        <f t="shared" ca="1" si="10"/>
        <v xml:space="preserve">39 Tahun 8 Bulan </v>
      </c>
      <c r="AE142" s="33" t="s">
        <v>942</v>
      </c>
      <c r="AF142" s="34"/>
      <c r="AG142" s="22" t="s">
        <v>330</v>
      </c>
      <c r="AH142" s="22"/>
      <c r="AI142" s="22"/>
      <c r="AJ142" s="22"/>
      <c r="AK142" s="33" t="s">
        <v>314</v>
      </c>
      <c r="AL142" s="36"/>
    </row>
    <row r="143" spans="1:39" ht="14.45" customHeight="1" x14ac:dyDescent="0.25">
      <c r="A143" s="17">
        <v>4</v>
      </c>
      <c r="B143" s="18"/>
      <c r="C143" s="50" t="s">
        <v>958</v>
      </c>
      <c r="D143" s="20" t="s">
        <v>959</v>
      </c>
      <c r="E143" s="58" t="s">
        <v>40</v>
      </c>
      <c r="F143" s="58" t="s">
        <v>41</v>
      </c>
      <c r="G143" s="23" t="s">
        <v>102</v>
      </c>
      <c r="H143" s="22" t="s">
        <v>103</v>
      </c>
      <c r="I143" s="22" t="s">
        <v>44</v>
      </c>
      <c r="J143" s="22" t="s">
        <v>343</v>
      </c>
      <c r="K143" s="24">
        <v>43252</v>
      </c>
      <c r="L143" s="53" t="s">
        <v>960</v>
      </c>
      <c r="M143" s="26">
        <v>42998</v>
      </c>
      <c r="N143" s="26">
        <v>44983</v>
      </c>
      <c r="O143" s="27" t="s">
        <v>489</v>
      </c>
      <c r="P143" s="53" t="s">
        <v>961</v>
      </c>
      <c r="Q143" s="26">
        <v>43104</v>
      </c>
      <c r="R143" s="26">
        <v>44983</v>
      </c>
      <c r="S143" s="23" t="s">
        <v>491</v>
      </c>
      <c r="T143" s="23"/>
      <c r="U143" s="23"/>
      <c r="V143" s="23"/>
      <c r="W143" s="30">
        <v>42095</v>
      </c>
      <c r="X143" s="30">
        <v>42095</v>
      </c>
      <c r="Y143" s="30">
        <v>42095</v>
      </c>
      <c r="Z143" s="55" t="str">
        <f ca="1">DATEDIF(W143,TODAY(),"y")&amp;" Tahun "&amp;DATEDIF(W143,TODAY(),"ym")&amp;" Bulan "&amp;DATEDIF(W143,TODAY(),"md")&amp;" Hari"</f>
        <v>10 Tahun 6 Bulan 30 Hari</v>
      </c>
      <c r="AA143" s="56" t="s">
        <v>962</v>
      </c>
      <c r="AB143" s="56">
        <v>31469</v>
      </c>
      <c r="AC143" s="31" t="s">
        <v>963</v>
      </c>
      <c r="AD143" s="57" t="str">
        <f t="shared" ca="1" si="10"/>
        <v xml:space="preserve">39 Tahun 8 Bulan </v>
      </c>
      <c r="AE143" s="33" t="s">
        <v>942</v>
      </c>
      <c r="AF143" s="71"/>
      <c r="AG143" s="22" t="s">
        <v>330</v>
      </c>
      <c r="AH143" s="22"/>
      <c r="AI143" s="22"/>
      <c r="AJ143" s="22"/>
      <c r="AK143" s="33" t="s">
        <v>314</v>
      </c>
      <c r="AL143" s="36"/>
    </row>
    <row r="144" spans="1:39" ht="14.45" customHeight="1" x14ac:dyDescent="0.25">
      <c r="A144" s="17">
        <v>5</v>
      </c>
      <c r="B144" s="18"/>
      <c r="C144" s="50" t="s">
        <v>964</v>
      </c>
      <c r="D144" s="20" t="s">
        <v>965</v>
      </c>
      <c r="E144" s="22" t="s">
        <v>40</v>
      </c>
      <c r="F144" s="22" t="s">
        <v>41</v>
      </c>
      <c r="G144" s="23" t="s">
        <v>137</v>
      </c>
      <c r="H144" s="22" t="s">
        <v>138</v>
      </c>
      <c r="I144" s="22" t="s">
        <v>44</v>
      </c>
      <c r="J144" s="22" t="s">
        <v>343</v>
      </c>
      <c r="K144" s="24">
        <v>45200</v>
      </c>
      <c r="L144" s="25" t="s">
        <v>966</v>
      </c>
      <c r="M144" s="26">
        <v>42723</v>
      </c>
      <c r="N144" s="26">
        <v>44591</v>
      </c>
      <c r="O144" s="27" t="s">
        <v>489</v>
      </c>
      <c r="P144" s="28" t="s">
        <v>967</v>
      </c>
      <c r="Q144" s="26">
        <v>42793</v>
      </c>
      <c r="R144" s="26">
        <v>44591</v>
      </c>
      <c r="S144" s="33" t="s">
        <v>491</v>
      </c>
      <c r="T144" s="33"/>
      <c r="U144" s="33"/>
      <c r="V144" s="33"/>
      <c r="W144" s="30">
        <v>43101</v>
      </c>
      <c r="X144" s="30">
        <v>43101</v>
      </c>
      <c r="Y144" s="30">
        <v>42739</v>
      </c>
      <c r="Z144" s="31" t="str">
        <f ca="1">DATEDIF(W144,TODAY(),"y")&amp;" Tahun "&amp;DATEDIF(W144,TODAY(),"ym")&amp;" Bulan "&amp;DATEDIF(W144,TODAY(),"md")&amp;" Hari"</f>
        <v>7 Tahun 9 Bulan 30 Hari</v>
      </c>
      <c r="AA144" s="31" t="s">
        <v>968</v>
      </c>
      <c r="AB144" s="32">
        <v>32903</v>
      </c>
      <c r="AC144" s="31" t="s">
        <v>969</v>
      </c>
      <c r="AD144" s="22" t="str">
        <f t="shared" ca="1" si="10"/>
        <v xml:space="preserve">35 Tahun 9 Bulan </v>
      </c>
      <c r="AE144" s="33" t="s">
        <v>942</v>
      </c>
      <c r="AF144" s="34"/>
      <c r="AG144" s="22" t="s">
        <v>330</v>
      </c>
      <c r="AH144" s="22"/>
      <c r="AI144" s="22"/>
      <c r="AJ144" s="58"/>
      <c r="AK144" s="33"/>
      <c r="AL144" s="22"/>
    </row>
    <row r="145" spans="1:39" ht="14.45" customHeight="1" x14ac:dyDescent="0.25">
      <c r="A145" s="17">
        <v>6</v>
      </c>
      <c r="B145" s="18"/>
      <c r="C145" s="50" t="s">
        <v>971</v>
      </c>
      <c r="D145" s="20" t="s">
        <v>972</v>
      </c>
      <c r="E145" s="22" t="s">
        <v>40</v>
      </c>
      <c r="F145" s="22" t="s">
        <v>41</v>
      </c>
      <c r="G145" s="89" t="s">
        <v>227</v>
      </c>
      <c r="H145" s="22" t="s">
        <v>228</v>
      </c>
      <c r="I145" s="22" t="s">
        <v>44</v>
      </c>
      <c r="J145" s="22" t="s">
        <v>378</v>
      </c>
      <c r="K145" s="30">
        <v>44621</v>
      </c>
      <c r="L145" s="25" t="s">
        <v>973</v>
      </c>
      <c r="M145" s="26">
        <v>42177</v>
      </c>
      <c r="N145" s="26">
        <v>44004</v>
      </c>
      <c r="O145" s="27" t="s">
        <v>489</v>
      </c>
      <c r="P145" s="28" t="s">
        <v>974</v>
      </c>
      <c r="Q145" s="26">
        <v>42793</v>
      </c>
      <c r="R145" s="26">
        <v>44004</v>
      </c>
      <c r="S145" s="33" t="s">
        <v>491</v>
      </c>
      <c r="T145" s="33"/>
      <c r="U145" s="33"/>
      <c r="V145" s="33"/>
      <c r="W145" s="30">
        <v>44621</v>
      </c>
      <c r="X145" s="30">
        <v>42739</v>
      </c>
      <c r="Y145" s="30">
        <v>42739</v>
      </c>
      <c r="Z145" s="31" t="str">
        <f ca="1">DATEDIF(X145,TODAY(),"y")&amp;" Tahun "&amp;DATEDIF(X145,TODAY(),"ym")&amp;" Bulan "&amp;DATEDIF(X145,TODAY(),"md")&amp;" Hari"</f>
        <v>8 Tahun 9 Bulan 27 Hari</v>
      </c>
      <c r="AA145" s="31" t="s">
        <v>76</v>
      </c>
      <c r="AB145" s="32">
        <v>32595</v>
      </c>
      <c r="AC145" s="31" t="s">
        <v>975</v>
      </c>
      <c r="AD145" s="22" t="str">
        <f t="shared" ca="1" si="10"/>
        <v xml:space="preserve">36 Tahun 7 Bulan </v>
      </c>
      <c r="AE145" s="33" t="s">
        <v>942</v>
      </c>
      <c r="AF145" s="34"/>
      <c r="AG145" s="22" t="s">
        <v>330</v>
      </c>
      <c r="AH145" s="22"/>
      <c r="AI145" s="22"/>
      <c r="AJ145" s="22"/>
      <c r="AK145" s="33"/>
      <c r="AL145" s="22" t="s">
        <v>970</v>
      </c>
    </row>
    <row r="146" spans="1:39" ht="14.45" customHeight="1" x14ac:dyDescent="0.25">
      <c r="A146" s="17">
        <v>7</v>
      </c>
      <c r="B146" s="18"/>
      <c r="C146" s="50" t="s">
        <v>977</v>
      </c>
      <c r="D146" s="20" t="s">
        <v>978</v>
      </c>
      <c r="E146" s="22" t="s">
        <v>56</v>
      </c>
      <c r="F146" s="22" t="s">
        <v>41</v>
      </c>
      <c r="G146" s="89" t="s">
        <v>227</v>
      </c>
      <c r="H146" s="22" t="s">
        <v>228</v>
      </c>
      <c r="I146" s="22" t="s">
        <v>44</v>
      </c>
      <c r="J146" s="22" t="s">
        <v>378</v>
      </c>
      <c r="K146" s="30">
        <v>44621</v>
      </c>
      <c r="L146" s="25" t="s">
        <v>979</v>
      </c>
      <c r="M146" s="26">
        <v>42185</v>
      </c>
      <c r="N146" s="26">
        <v>44012</v>
      </c>
      <c r="O146" s="27" t="s">
        <v>489</v>
      </c>
      <c r="P146" s="28" t="s">
        <v>980</v>
      </c>
      <c r="Q146" s="26">
        <v>42793</v>
      </c>
      <c r="R146" s="26">
        <v>44012</v>
      </c>
      <c r="S146" s="33" t="s">
        <v>491</v>
      </c>
      <c r="T146" s="33"/>
      <c r="U146" s="33"/>
      <c r="V146" s="33"/>
      <c r="W146" s="30">
        <v>44621</v>
      </c>
      <c r="X146" s="30">
        <v>42739</v>
      </c>
      <c r="Y146" s="30">
        <v>42739</v>
      </c>
      <c r="Z146" s="31" t="str">
        <f ca="1">DATEDIF(X146,TODAY(),"y")&amp;" Tahun "&amp;DATEDIF(X146,TODAY(),"ym")&amp;" Bulan "&amp;DATEDIF(X146,TODAY(),"md")&amp;" Hari"</f>
        <v>8 Tahun 9 Bulan 27 Hari</v>
      </c>
      <c r="AA146" s="31" t="s">
        <v>563</v>
      </c>
      <c r="AB146" s="32">
        <v>32390</v>
      </c>
      <c r="AC146" s="31" t="s">
        <v>981</v>
      </c>
      <c r="AD146" s="22" t="str">
        <f t="shared" ca="1" si="10"/>
        <v xml:space="preserve">37 Tahun 1 Bulan </v>
      </c>
      <c r="AE146" s="33" t="s">
        <v>942</v>
      </c>
      <c r="AF146" s="34" t="s">
        <v>982</v>
      </c>
      <c r="AG146" s="22" t="s">
        <v>330</v>
      </c>
      <c r="AH146" s="22"/>
      <c r="AI146" s="22"/>
      <c r="AJ146" s="22"/>
      <c r="AK146" s="33" t="s">
        <v>573</v>
      </c>
      <c r="AL146" s="22" t="s">
        <v>976</v>
      </c>
    </row>
    <row r="147" spans="1:39" ht="14.45" customHeight="1" x14ac:dyDescent="0.25">
      <c r="A147" s="17">
        <v>8</v>
      </c>
      <c r="B147" s="18"/>
      <c r="C147" s="50" t="s">
        <v>985</v>
      </c>
      <c r="D147" s="20" t="s">
        <v>986</v>
      </c>
      <c r="E147" s="22" t="s">
        <v>56</v>
      </c>
      <c r="F147" s="22" t="s">
        <v>41</v>
      </c>
      <c r="G147" s="89" t="s">
        <v>227</v>
      </c>
      <c r="H147" s="22" t="s">
        <v>228</v>
      </c>
      <c r="I147" s="22" t="s">
        <v>44</v>
      </c>
      <c r="J147" s="22" t="s">
        <v>378</v>
      </c>
      <c r="K147" s="30">
        <v>44621</v>
      </c>
      <c r="L147" s="25" t="s">
        <v>987</v>
      </c>
      <c r="M147" s="26">
        <v>42546</v>
      </c>
      <c r="N147" s="26">
        <v>44712</v>
      </c>
      <c r="O147" s="27" t="s">
        <v>489</v>
      </c>
      <c r="P147" s="28" t="s">
        <v>988</v>
      </c>
      <c r="Q147" s="26">
        <v>42793</v>
      </c>
      <c r="R147" s="26">
        <v>44712</v>
      </c>
      <c r="S147" s="33" t="s">
        <v>491</v>
      </c>
      <c r="T147" s="33"/>
      <c r="U147" s="33"/>
      <c r="V147" s="33"/>
      <c r="W147" s="30">
        <v>44621</v>
      </c>
      <c r="X147" s="30">
        <v>42739</v>
      </c>
      <c r="Y147" s="30">
        <v>42739</v>
      </c>
      <c r="Z147" s="31" t="str">
        <f ca="1">DATEDIF(X147,TODAY(),"y")&amp;" Tahun "&amp;DATEDIF(X147,TODAY(),"ym")&amp;" Bulan "&amp;DATEDIF(X147,TODAY(),"md")&amp;" Hari"</f>
        <v>8 Tahun 9 Bulan 27 Hari</v>
      </c>
      <c r="AA147" s="31" t="s">
        <v>846</v>
      </c>
      <c r="AB147" s="32">
        <v>33389</v>
      </c>
      <c r="AC147" s="31" t="s">
        <v>989</v>
      </c>
      <c r="AD147" s="22" t="str">
        <f t="shared" ca="1" si="10"/>
        <v xml:space="preserve">34 Tahun 5 Bulan </v>
      </c>
      <c r="AE147" s="33" t="s">
        <v>942</v>
      </c>
      <c r="AF147" s="34"/>
      <c r="AG147" s="22" t="s">
        <v>330</v>
      </c>
      <c r="AH147" s="22"/>
      <c r="AI147" s="22"/>
      <c r="AJ147" s="22"/>
      <c r="AK147" s="33" t="s">
        <v>983</v>
      </c>
      <c r="AL147" s="22" t="s">
        <v>984</v>
      </c>
    </row>
    <row r="148" spans="1:39" ht="14.45" customHeight="1" x14ac:dyDescent="0.25">
      <c r="A148" s="17">
        <v>9</v>
      </c>
      <c r="B148" s="18"/>
      <c r="C148" s="50" t="s">
        <v>992</v>
      </c>
      <c r="D148" s="20" t="s">
        <v>993</v>
      </c>
      <c r="E148" s="22" t="s">
        <v>40</v>
      </c>
      <c r="F148" s="22" t="s">
        <v>66</v>
      </c>
      <c r="G148" s="33" t="s">
        <v>3872</v>
      </c>
      <c r="H148" s="22" t="s">
        <v>3872</v>
      </c>
      <c r="I148" s="22"/>
      <c r="J148" s="22"/>
      <c r="K148" s="30"/>
      <c r="L148" s="25" t="s">
        <v>994</v>
      </c>
      <c r="M148" s="26">
        <v>42723</v>
      </c>
      <c r="N148" s="26">
        <v>44684</v>
      </c>
      <c r="O148" s="27" t="s">
        <v>489</v>
      </c>
      <c r="P148" s="28" t="s">
        <v>995</v>
      </c>
      <c r="Q148" s="26">
        <v>42793</v>
      </c>
      <c r="R148" s="26">
        <v>44684</v>
      </c>
      <c r="S148" s="33" t="s">
        <v>491</v>
      </c>
      <c r="T148" s="33"/>
      <c r="U148" s="33"/>
      <c r="V148" s="33"/>
      <c r="W148" s="30"/>
      <c r="X148" s="30">
        <v>42739</v>
      </c>
      <c r="Y148" s="30">
        <v>42739</v>
      </c>
      <c r="Z148" s="31" t="str">
        <f ca="1">DATEDIF(X148,TODAY(),"y")&amp;" Tahun "&amp;DATEDIF(X148,TODAY(),"ym")&amp;" Bulan "&amp;DATEDIF(X148,TODAY(),"md")&amp;" Hari"</f>
        <v>8 Tahun 9 Bulan 27 Hari</v>
      </c>
      <c r="AA148" s="31" t="s">
        <v>76</v>
      </c>
      <c r="AB148" s="32">
        <v>32996</v>
      </c>
      <c r="AC148" s="31" t="s">
        <v>996</v>
      </c>
      <c r="AD148" s="22" t="str">
        <f t="shared" ca="1" si="10"/>
        <v xml:space="preserve">35 Tahun 5 Bulan </v>
      </c>
      <c r="AE148" s="33" t="s">
        <v>942</v>
      </c>
      <c r="AF148" s="34" t="s">
        <v>997</v>
      </c>
      <c r="AG148" s="22" t="s">
        <v>330</v>
      </c>
      <c r="AH148" s="22"/>
      <c r="AI148" s="22"/>
      <c r="AJ148" s="22"/>
      <c r="AK148" s="33" t="s">
        <v>990</v>
      </c>
      <c r="AL148" s="22" t="s">
        <v>991</v>
      </c>
    </row>
    <row r="149" spans="1:39" ht="14.45" customHeight="1" x14ac:dyDescent="0.25">
      <c r="A149" s="17">
        <v>10</v>
      </c>
      <c r="B149" s="18"/>
      <c r="C149" s="50" t="s">
        <v>999</v>
      </c>
      <c r="D149" s="20" t="s">
        <v>1000</v>
      </c>
      <c r="E149" s="22" t="s">
        <v>56</v>
      </c>
      <c r="F149" s="22" t="s">
        <v>41</v>
      </c>
      <c r="G149" s="23" t="s">
        <v>102</v>
      </c>
      <c r="H149" s="22" t="s">
        <v>103</v>
      </c>
      <c r="I149" s="22" t="s">
        <v>44</v>
      </c>
      <c r="J149" s="22" t="s">
        <v>343</v>
      </c>
      <c r="K149" s="24">
        <v>44287</v>
      </c>
      <c r="L149" s="25" t="s">
        <v>1001</v>
      </c>
      <c r="M149" s="26">
        <v>42697</v>
      </c>
      <c r="N149" s="26">
        <v>44647</v>
      </c>
      <c r="O149" s="27" t="s">
        <v>489</v>
      </c>
      <c r="P149" s="28" t="s">
        <v>1002</v>
      </c>
      <c r="Q149" s="26">
        <v>42793</v>
      </c>
      <c r="R149" s="26">
        <v>44647</v>
      </c>
      <c r="S149" s="33" t="s">
        <v>491</v>
      </c>
      <c r="T149" s="33"/>
      <c r="U149" s="33"/>
      <c r="V149" s="33"/>
      <c r="W149" s="30">
        <v>43101</v>
      </c>
      <c r="X149" s="30">
        <v>43101</v>
      </c>
      <c r="Y149" s="30">
        <v>42739</v>
      </c>
      <c r="Z149" s="31" t="str">
        <f t="shared" ref="Z149:Z154" ca="1" si="11">DATEDIF(W149,TODAY(),"y")&amp;" Tahun "&amp;DATEDIF(W149,TODAY(),"ym")&amp;" Bulan "&amp;DATEDIF(W149,TODAY(),"md")&amp;" Hari"</f>
        <v>7 Tahun 9 Bulan 30 Hari</v>
      </c>
      <c r="AA149" s="31" t="s">
        <v>97</v>
      </c>
      <c r="AB149" s="32">
        <v>33965</v>
      </c>
      <c r="AC149" s="31" t="s">
        <v>1003</v>
      </c>
      <c r="AD149" s="22" t="str">
        <f t="shared" ca="1" si="10"/>
        <v xml:space="preserve">32 Tahun 10 Bulan </v>
      </c>
      <c r="AE149" s="33" t="s">
        <v>942</v>
      </c>
      <c r="AF149" s="34"/>
      <c r="AG149" s="22" t="s">
        <v>330</v>
      </c>
      <c r="AH149" s="22"/>
      <c r="AI149" s="22"/>
      <c r="AJ149" s="22"/>
      <c r="AK149" s="33"/>
      <c r="AL149" s="22" t="s">
        <v>998</v>
      </c>
    </row>
    <row r="150" spans="1:39" ht="14.45" customHeight="1" x14ac:dyDescent="0.25">
      <c r="A150" s="17">
        <v>11</v>
      </c>
      <c r="B150" s="18"/>
      <c r="C150" s="19" t="s">
        <v>1005</v>
      </c>
      <c r="D150" s="20" t="s">
        <v>1006</v>
      </c>
      <c r="E150" s="52" t="s">
        <v>56</v>
      </c>
      <c r="F150" s="58" t="s">
        <v>41</v>
      </c>
      <c r="G150" s="15" t="s">
        <v>137</v>
      </c>
      <c r="H150" s="22" t="s">
        <v>138</v>
      </c>
      <c r="I150" s="22" t="s">
        <v>44</v>
      </c>
      <c r="J150" s="22" t="s">
        <v>343</v>
      </c>
      <c r="K150" s="24">
        <v>45200</v>
      </c>
      <c r="L150" s="25" t="s">
        <v>1007</v>
      </c>
      <c r="M150" s="26">
        <v>42723</v>
      </c>
      <c r="N150" s="26">
        <v>44665</v>
      </c>
      <c r="O150" s="27" t="s">
        <v>489</v>
      </c>
      <c r="P150" s="28" t="s">
        <v>1008</v>
      </c>
      <c r="Q150" s="26">
        <v>43122</v>
      </c>
      <c r="R150" s="26">
        <v>44665</v>
      </c>
      <c r="S150" s="23" t="s">
        <v>491</v>
      </c>
      <c r="T150" s="23"/>
      <c r="U150" s="23"/>
      <c r="V150" s="23"/>
      <c r="W150" s="30">
        <v>43101</v>
      </c>
      <c r="X150" s="30">
        <v>43101</v>
      </c>
      <c r="Y150" s="30">
        <v>43101</v>
      </c>
      <c r="Z150" s="55" t="str">
        <f t="shared" ca="1" si="11"/>
        <v>7 Tahun 9 Bulan 30 Hari</v>
      </c>
      <c r="AA150" s="55" t="s">
        <v>76</v>
      </c>
      <c r="AB150" s="56">
        <v>33342</v>
      </c>
      <c r="AC150" s="32" t="s">
        <v>1009</v>
      </c>
      <c r="AD150" s="57" t="str">
        <f t="shared" ca="1" si="10"/>
        <v xml:space="preserve">34 Tahun 6 Bulan </v>
      </c>
      <c r="AE150" s="23" t="s">
        <v>942</v>
      </c>
      <c r="AF150" s="34"/>
      <c r="AG150" s="22" t="s">
        <v>330</v>
      </c>
      <c r="AH150" s="22"/>
      <c r="AI150" s="22"/>
      <c r="AJ150" s="22"/>
      <c r="AK150" s="33"/>
      <c r="AL150" s="22" t="s">
        <v>1004</v>
      </c>
    </row>
    <row r="151" spans="1:39" ht="14.45" customHeight="1" x14ac:dyDescent="0.25">
      <c r="A151" s="17">
        <v>12</v>
      </c>
      <c r="B151" s="18"/>
      <c r="C151" s="19" t="s">
        <v>1010</v>
      </c>
      <c r="D151" s="20" t="s">
        <v>1011</v>
      </c>
      <c r="E151" s="21" t="s">
        <v>40</v>
      </c>
      <c r="F151" s="22" t="s">
        <v>41</v>
      </c>
      <c r="G151" s="23" t="s">
        <v>137</v>
      </c>
      <c r="H151" s="22" t="s">
        <v>138</v>
      </c>
      <c r="I151" s="22" t="s">
        <v>44</v>
      </c>
      <c r="J151" s="22" t="s">
        <v>343</v>
      </c>
      <c r="K151" s="24">
        <v>45200</v>
      </c>
      <c r="L151" s="25" t="s">
        <v>1012</v>
      </c>
      <c r="M151" s="26">
        <v>42726</v>
      </c>
      <c r="N151" s="26">
        <v>44623</v>
      </c>
      <c r="O151" s="27" t="s">
        <v>489</v>
      </c>
      <c r="P151" s="28" t="s">
        <v>1013</v>
      </c>
      <c r="Q151" s="26">
        <v>43122</v>
      </c>
      <c r="R151" s="26">
        <v>44623</v>
      </c>
      <c r="S151" s="23" t="s">
        <v>491</v>
      </c>
      <c r="T151" s="23"/>
      <c r="U151" s="23"/>
      <c r="V151" s="23"/>
      <c r="W151" s="30">
        <v>43101</v>
      </c>
      <c r="X151" s="30">
        <v>43101</v>
      </c>
      <c r="Y151" s="30">
        <v>43101</v>
      </c>
      <c r="Z151" s="31" t="str">
        <f t="shared" ca="1" si="11"/>
        <v>7 Tahun 9 Bulan 30 Hari</v>
      </c>
      <c r="AA151" s="31" t="s">
        <v>76</v>
      </c>
      <c r="AB151" s="32">
        <v>33300</v>
      </c>
      <c r="AC151" s="32" t="s">
        <v>1014</v>
      </c>
      <c r="AD151" s="22" t="str">
        <f t="shared" ca="1" si="10"/>
        <v xml:space="preserve">34 Tahun 7 Bulan </v>
      </c>
      <c r="AE151" s="23" t="s">
        <v>942</v>
      </c>
      <c r="AF151" s="34"/>
      <c r="AG151" s="22" t="s">
        <v>330</v>
      </c>
      <c r="AH151" s="58"/>
      <c r="AI151" s="58"/>
      <c r="AJ151" s="58"/>
      <c r="AK151" s="33"/>
      <c r="AL151" s="36"/>
    </row>
    <row r="152" spans="1:39" s="47" customFormat="1" ht="14.25" customHeight="1" x14ac:dyDescent="0.25">
      <c r="A152" s="17">
        <v>13</v>
      </c>
      <c r="B152" s="76"/>
      <c r="C152" s="19" t="s">
        <v>1015</v>
      </c>
      <c r="D152" s="20" t="s">
        <v>1016</v>
      </c>
      <c r="E152" s="52" t="s">
        <v>40</v>
      </c>
      <c r="F152" s="22" t="s">
        <v>41</v>
      </c>
      <c r="G152" s="23" t="s">
        <v>137</v>
      </c>
      <c r="H152" s="22" t="s">
        <v>138</v>
      </c>
      <c r="I152" s="22" t="s">
        <v>44</v>
      </c>
      <c r="J152" s="22" t="s">
        <v>343</v>
      </c>
      <c r="K152" s="24">
        <v>45200</v>
      </c>
      <c r="L152" s="25" t="s">
        <v>1017</v>
      </c>
      <c r="M152" s="26">
        <v>42439</v>
      </c>
      <c r="N152" s="26">
        <v>44322</v>
      </c>
      <c r="O152" s="27" t="s">
        <v>489</v>
      </c>
      <c r="P152" s="28" t="s">
        <v>1018</v>
      </c>
      <c r="Q152" s="26">
        <v>43122</v>
      </c>
      <c r="R152" s="26">
        <v>44322</v>
      </c>
      <c r="S152" s="23" t="s">
        <v>491</v>
      </c>
      <c r="T152" s="23"/>
      <c r="U152" s="23"/>
      <c r="V152" s="23"/>
      <c r="W152" s="30">
        <v>43101</v>
      </c>
      <c r="X152" s="30">
        <v>43101</v>
      </c>
      <c r="Y152" s="30">
        <v>43101</v>
      </c>
      <c r="Z152" s="55" t="str">
        <f t="shared" ca="1" si="11"/>
        <v>7 Tahun 9 Bulan 30 Hari</v>
      </c>
      <c r="AA152" s="55" t="s">
        <v>303</v>
      </c>
      <c r="AB152" s="56">
        <v>32634</v>
      </c>
      <c r="AC152" s="32" t="s">
        <v>1019</v>
      </c>
      <c r="AD152" s="57" t="str">
        <f t="shared" ca="1" si="10"/>
        <v xml:space="preserve">36 Tahun 5 Bulan </v>
      </c>
      <c r="AE152" s="23" t="s">
        <v>942</v>
      </c>
      <c r="AF152" s="34"/>
      <c r="AG152" s="22" t="s">
        <v>330</v>
      </c>
      <c r="AH152" s="22"/>
      <c r="AI152" s="22"/>
      <c r="AJ152" s="22"/>
      <c r="AK152" s="33"/>
      <c r="AL152" s="36"/>
      <c r="AM152" s="13"/>
    </row>
    <row r="153" spans="1:39" ht="14.45" customHeight="1" x14ac:dyDescent="0.25">
      <c r="A153" s="17">
        <v>14</v>
      </c>
      <c r="B153" s="76"/>
      <c r="C153" s="19" t="s">
        <v>1020</v>
      </c>
      <c r="D153" s="20" t="s">
        <v>1021</v>
      </c>
      <c r="E153" s="22" t="s">
        <v>56</v>
      </c>
      <c r="F153" s="22" t="s">
        <v>41</v>
      </c>
      <c r="G153" s="89" t="s">
        <v>227</v>
      </c>
      <c r="H153" s="22" t="s">
        <v>228</v>
      </c>
      <c r="I153" s="22" t="s">
        <v>44</v>
      </c>
      <c r="J153" s="22" t="s">
        <v>378</v>
      </c>
      <c r="K153" s="30">
        <v>44621</v>
      </c>
      <c r="L153" s="25" t="s">
        <v>987</v>
      </c>
      <c r="M153" s="26">
        <v>42546</v>
      </c>
      <c r="N153" s="26">
        <v>44712</v>
      </c>
      <c r="O153" s="27" t="s">
        <v>489</v>
      </c>
      <c r="P153" s="28" t="s">
        <v>988</v>
      </c>
      <c r="Q153" s="26">
        <v>42793</v>
      </c>
      <c r="R153" s="26">
        <v>44712</v>
      </c>
      <c r="S153" s="33" t="s">
        <v>491</v>
      </c>
      <c r="T153" s="23"/>
      <c r="U153" s="23"/>
      <c r="V153" s="23"/>
      <c r="W153" s="30">
        <v>44621</v>
      </c>
      <c r="X153" s="30">
        <v>44621</v>
      </c>
      <c r="Y153" s="30">
        <v>44621</v>
      </c>
      <c r="Z153" s="55" t="str">
        <f t="shared" ca="1" si="11"/>
        <v>3 Tahun 7 Bulan 30 Hari</v>
      </c>
      <c r="AA153" s="55" t="s">
        <v>1022</v>
      </c>
      <c r="AB153" s="56">
        <v>34393</v>
      </c>
      <c r="AC153" s="32" t="s">
        <v>1023</v>
      </c>
      <c r="AD153" s="57" t="str">
        <f t="shared" ca="1" si="10"/>
        <v xml:space="preserve">31 Tahun 8 Bulan </v>
      </c>
      <c r="AE153" s="23" t="s">
        <v>942</v>
      </c>
      <c r="AF153" s="34"/>
      <c r="AG153" s="22" t="s">
        <v>330</v>
      </c>
      <c r="AH153" s="22"/>
      <c r="AI153" s="22"/>
      <c r="AJ153" s="60"/>
      <c r="AK153" s="61"/>
      <c r="AL153" s="36"/>
    </row>
    <row r="154" spans="1:39" ht="14.45" customHeight="1" x14ac:dyDescent="0.25">
      <c r="A154" s="17">
        <v>15</v>
      </c>
      <c r="B154" s="76"/>
      <c r="C154" s="19" t="s">
        <v>1024</v>
      </c>
      <c r="D154" s="20" t="s">
        <v>1025</v>
      </c>
      <c r="E154" s="22" t="s">
        <v>56</v>
      </c>
      <c r="F154" s="22" t="s">
        <v>41</v>
      </c>
      <c r="G154" s="89" t="s">
        <v>227</v>
      </c>
      <c r="H154" s="22" t="s">
        <v>228</v>
      </c>
      <c r="I154" s="22" t="s">
        <v>44</v>
      </c>
      <c r="J154" s="22" t="s">
        <v>378</v>
      </c>
      <c r="K154" s="30">
        <v>44621</v>
      </c>
      <c r="L154" s="25" t="s">
        <v>987</v>
      </c>
      <c r="M154" s="26">
        <v>42546</v>
      </c>
      <c r="N154" s="26">
        <v>44712</v>
      </c>
      <c r="O154" s="27" t="s">
        <v>489</v>
      </c>
      <c r="P154" s="28" t="s">
        <v>988</v>
      </c>
      <c r="Q154" s="26">
        <v>42793</v>
      </c>
      <c r="R154" s="26">
        <v>44712</v>
      </c>
      <c r="S154" s="33" t="s">
        <v>491</v>
      </c>
      <c r="T154" s="23"/>
      <c r="U154" s="23"/>
      <c r="V154" s="23"/>
      <c r="W154" s="30">
        <v>44621</v>
      </c>
      <c r="X154" s="30">
        <v>44621</v>
      </c>
      <c r="Y154" s="30">
        <v>44621</v>
      </c>
      <c r="Z154" s="55" t="str">
        <f t="shared" ca="1" si="11"/>
        <v>3 Tahun 7 Bulan 30 Hari</v>
      </c>
      <c r="AA154" s="55" t="s">
        <v>76</v>
      </c>
      <c r="AB154" s="56">
        <v>34350</v>
      </c>
      <c r="AC154" s="32" t="s">
        <v>1026</v>
      </c>
      <c r="AD154" s="57" t="str">
        <f t="shared" ca="1" si="10"/>
        <v xml:space="preserve">31 Tahun 9 Bulan </v>
      </c>
      <c r="AE154" s="23" t="s">
        <v>942</v>
      </c>
      <c r="AF154" s="34" t="s">
        <v>982</v>
      </c>
      <c r="AG154" s="22" t="s">
        <v>330</v>
      </c>
      <c r="AH154" s="58"/>
      <c r="AI154" s="58"/>
      <c r="AJ154" s="87"/>
      <c r="AK154" s="61"/>
      <c r="AL154" s="36"/>
    </row>
    <row r="155" spans="1:39" ht="14.45" customHeight="1" x14ac:dyDescent="0.25">
      <c r="A155" s="17">
        <v>16</v>
      </c>
      <c r="B155" s="76"/>
      <c r="C155" s="19" t="s">
        <v>1027</v>
      </c>
      <c r="D155" s="20" t="s">
        <v>1028</v>
      </c>
      <c r="E155" s="22" t="s">
        <v>56</v>
      </c>
      <c r="F155" s="22" t="s">
        <v>623</v>
      </c>
      <c r="G155" s="89" t="s">
        <v>3872</v>
      </c>
      <c r="H155" s="22" t="s">
        <v>3872</v>
      </c>
      <c r="I155" s="22"/>
      <c r="J155" s="22"/>
      <c r="K155" s="30"/>
      <c r="L155" s="25"/>
      <c r="M155" s="26"/>
      <c r="N155" s="26"/>
      <c r="O155" s="27"/>
      <c r="P155" s="28"/>
      <c r="Q155" s="26"/>
      <c r="R155" s="26"/>
      <c r="S155" s="33" t="s">
        <v>491</v>
      </c>
      <c r="T155" s="23"/>
      <c r="U155" s="23"/>
      <c r="V155" s="23"/>
      <c r="W155" s="30"/>
      <c r="X155" s="30">
        <v>45323</v>
      </c>
      <c r="Y155" s="30">
        <v>45323</v>
      </c>
      <c r="Z155" s="31" t="str">
        <f t="shared" ref="Z155:Z166" ca="1" si="12">DATEDIF(X155,TODAY(),"y")&amp;" Tahun "&amp;DATEDIF(X155,TODAY(),"ym")&amp;" Bulan "&amp;DATEDIF(X155,TODAY(),"md")&amp;" Hari"</f>
        <v>1 Tahun 8 Bulan 30 Hari</v>
      </c>
      <c r="AA155" s="55" t="s">
        <v>297</v>
      </c>
      <c r="AB155" s="56">
        <v>35611</v>
      </c>
      <c r="AC155" s="32" t="s">
        <v>1029</v>
      </c>
      <c r="AD155" s="57" t="str">
        <f t="shared" ca="1" si="10"/>
        <v xml:space="preserve">28 Tahun 4 Bulan </v>
      </c>
      <c r="AE155" s="23" t="s">
        <v>942</v>
      </c>
      <c r="AF155" s="34"/>
      <c r="AG155" s="22" t="s">
        <v>330</v>
      </c>
      <c r="AH155" s="58"/>
      <c r="AI155" s="58"/>
      <c r="AJ155" s="87"/>
      <c r="AK155" s="61"/>
      <c r="AL155" s="36"/>
    </row>
    <row r="156" spans="1:39" ht="14.45" customHeight="1" x14ac:dyDescent="0.25">
      <c r="A156" s="17">
        <v>17</v>
      </c>
      <c r="B156" s="76"/>
      <c r="C156" s="19" t="s">
        <v>1030</v>
      </c>
      <c r="D156" s="20" t="s">
        <v>1031</v>
      </c>
      <c r="E156" s="22" t="s">
        <v>56</v>
      </c>
      <c r="F156" s="22" t="s">
        <v>623</v>
      </c>
      <c r="G156" s="89" t="s">
        <v>3872</v>
      </c>
      <c r="H156" s="22" t="s">
        <v>3872</v>
      </c>
      <c r="I156" s="22"/>
      <c r="J156" s="22"/>
      <c r="K156" s="30"/>
      <c r="L156" s="25"/>
      <c r="M156" s="26"/>
      <c r="N156" s="26"/>
      <c r="O156" s="27"/>
      <c r="P156" s="28"/>
      <c r="Q156" s="26"/>
      <c r="R156" s="26"/>
      <c r="S156" s="33" t="s">
        <v>491</v>
      </c>
      <c r="T156" s="23"/>
      <c r="U156" s="23"/>
      <c r="V156" s="23"/>
      <c r="W156" s="30"/>
      <c r="X156" s="30">
        <v>45323</v>
      </c>
      <c r="Y156" s="30">
        <v>45323</v>
      </c>
      <c r="Z156" s="31" t="str">
        <f t="shared" ca="1" si="12"/>
        <v>1 Tahun 8 Bulan 30 Hari</v>
      </c>
      <c r="AA156" s="55" t="s">
        <v>563</v>
      </c>
      <c r="AB156" s="56">
        <v>36331</v>
      </c>
      <c r="AC156" s="32" t="s">
        <v>1032</v>
      </c>
      <c r="AD156" s="57" t="str">
        <f t="shared" ca="1" si="10"/>
        <v xml:space="preserve">26 Tahun 4 Bulan </v>
      </c>
      <c r="AE156" s="23" t="s">
        <v>942</v>
      </c>
      <c r="AF156" s="34" t="s">
        <v>1033</v>
      </c>
      <c r="AG156" s="22" t="s">
        <v>330</v>
      </c>
      <c r="AH156" s="58"/>
      <c r="AI156" s="58"/>
      <c r="AJ156" s="87"/>
      <c r="AK156" s="61"/>
      <c r="AL156" s="36"/>
    </row>
    <row r="157" spans="1:39" ht="15" x14ac:dyDescent="0.25">
      <c r="A157" s="17">
        <v>18</v>
      </c>
      <c r="B157" s="76"/>
      <c r="C157" s="19" t="s">
        <v>1034</v>
      </c>
      <c r="D157" s="20" t="s">
        <v>1035</v>
      </c>
      <c r="E157" s="22" t="s">
        <v>56</v>
      </c>
      <c r="F157" s="22" t="s">
        <v>623</v>
      </c>
      <c r="G157" s="89" t="s">
        <v>3872</v>
      </c>
      <c r="H157" s="22" t="s">
        <v>3872</v>
      </c>
      <c r="I157" s="22"/>
      <c r="J157" s="22"/>
      <c r="K157" s="30"/>
      <c r="L157" s="25"/>
      <c r="M157" s="26"/>
      <c r="N157" s="26"/>
      <c r="O157" s="27"/>
      <c r="P157" s="28"/>
      <c r="Q157" s="26"/>
      <c r="R157" s="26"/>
      <c r="S157" s="33" t="s">
        <v>491</v>
      </c>
      <c r="T157" s="23"/>
      <c r="U157" s="23"/>
      <c r="V157" s="23"/>
      <c r="W157" s="30"/>
      <c r="X157" s="30">
        <v>45323</v>
      </c>
      <c r="Y157" s="30">
        <v>45323</v>
      </c>
      <c r="Z157" s="31" t="str">
        <f t="shared" ca="1" si="12"/>
        <v>1 Tahun 8 Bulan 30 Hari</v>
      </c>
      <c r="AA157" s="55" t="s">
        <v>563</v>
      </c>
      <c r="AB157" s="56">
        <v>36026</v>
      </c>
      <c r="AC157" s="32" t="s">
        <v>1036</v>
      </c>
      <c r="AD157" s="57" t="str">
        <f t="shared" ca="1" si="10"/>
        <v xml:space="preserve">27 Tahun 2 Bulan </v>
      </c>
      <c r="AE157" s="23" t="s">
        <v>942</v>
      </c>
      <c r="AF157" s="34"/>
      <c r="AG157" s="22" t="s">
        <v>330</v>
      </c>
      <c r="AH157" s="58"/>
      <c r="AI157" s="58"/>
      <c r="AJ157" s="87"/>
      <c r="AK157" s="61"/>
      <c r="AL157" s="36"/>
    </row>
    <row r="158" spans="1:39" ht="14.45" customHeight="1" x14ac:dyDescent="0.25">
      <c r="A158" s="17">
        <v>19</v>
      </c>
      <c r="B158" s="76"/>
      <c r="C158" s="19" t="s">
        <v>1037</v>
      </c>
      <c r="D158" s="20" t="s">
        <v>1038</v>
      </c>
      <c r="E158" s="22" t="s">
        <v>56</v>
      </c>
      <c r="F158" s="22" t="s">
        <v>623</v>
      </c>
      <c r="G158" s="89" t="s">
        <v>3872</v>
      </c>
      <c r="H158" s="22" t="s">
        <v>3872</v>
      </c>
      <c r="I158" s="22"/>
      <c r="J158" s="22"/>
      <c r="K158" s="30"/>
      <c r="L158" s="25"/>
      <c r="M158" s="26"/>
      <c r="N158" s="26"/>
      <c r="O158" s="27"/>
      <c r="P158" s="28"/>
      <c r="Q158" s="26"/>
      <c r="R158" s="26"/>
      <c r="S158" s="33" t="s">
        <v>491</v>
      </c>
      <c r="T158" s="23"/>
      <c r="U158" s="23"/>
      <c r="V158" s="23"/>
      <c r="W158" s="30"/>
      <c r="X158" s="30">
        <v>45323</v>
      </c>
      <c r="Y158" s="30">
        <v>45323</v>
      </c>
      <c r="Z158" s="31" t="str">
        <f t="shared" ca="1" si="12"/>
        <v>1 Tahun 8 Bulan 30 Hari</v>
      </c>
      <c r="AA158" s="55" t="s">
        <v>60</v>
      </c>
      <c r="AB158" s="56">
        <v>34275</v>
      </c>
      <c r="AC158" s="32" t="s">
        <v>1039</v>
      </c>
      <c r="AD158" s="57" t="str">
        <f t="shared" ca="1" si="10"/>
        <v xml:space="preserve">31 Tahun 11 Bulan </v>
      </c>
      <c r="AE158" s="23" t="s">
        <v>942</v>
      </c>
      <c r="AF158" s="34" t="s">
        <v>1040</v>
      </c>
      <c r="AG158" s="22" t="s">
        <v>330</v>
      </c>
      <c r="AH158" s="58"/>
      <c r="AI158" s="58"/>
      <c r="AJ158" s="87"/>
      <c r="AK158" s="61"/>
      <c r="AL158" s="36"/>
    </row>
    <row r="159" spans="1:39" ht="14.45" customHeight="1" x14ac:dyDescent="0.25">
      <c r="A159" s="17">
        <v>20</v>
      </c>
      <c r="B159" s="76"/>
      <c r="C159" s="19" t="s">
        <v>1041</v>
      </c>
      <c r="D159" s="20" t="s">
        <v>1042</v>
      </c>
      <c r="E159" s="22" t="s">
        <v>56</v>
      </c>
      <c r="F159" s="22" t="s">
        <v>623</v>
      </c>
      <c r="G159" s="89" t="s">
        <v>3872</v>
      </c>
      <c r="H159" s="22" t="s">
        <v>3872</v>
      </c>
      <c r="I159" s="22"/>
      <c r="J159" s="22"/>
      <c r="K159" s="30"/>
      <c r="L159" s="25"/>
      <c r="M159" s="26"/>
      <c r="N159" s="26"/>
      <c r="O159" s="27"/>
      <c r="P159" s="28"/>
      <c r="Q159" s="26"/>
      <c r="R159" s="26"/>
      <c r="S159" s="33" t="s">
        <v>491</v>
      </c>
      <c r="T159" s="23"/>
      <c r="U159" s="23"/>
      <c r="V159" s="23"/>
      <c r="W159" s="30"/>
      <c r="X159" s="30">
        <v>45323</v>
      </c>
      <c r="Y159" s="30">
        <v>45323</v>
      </c>
      <c r="Z159" s="31" t="str">
        <f t="shared" ca="1" si="12"/>
        <v>1 Tahun 8 Bulan 30 Hari</v>
      </c>
      <c r="AA159" s="55" t="s">
        <v>97</v>
      </c>
      <c r="AB159" s="56">
        <v>34792</v>
      </c>
      <c r="AC159" s="32" t="s">
        <v>1043</v>
      </c>
      <c r="AD159" s="57" t="str">
        <f t="shared" ca="1" si="10"/>
        <v xml:space="preserve">30 Tahun 6 Bulan </v>
      </c>
      <c r="AE159" s="23" t="s">
        <v>942</v>
      </c>
      <c r="AF159" s="34"/>
      <c r="AG159" s="22" t="s">
        <v>330</v>
      </c>
      <c r="AH159" s="58"/>
      <c r="AI159" s="58"/>
      <c r="AJ159" s="87"/>
      <c r="AK159" s="61"/>
      <c r="AL159" s="36"/>
    </row>
    <row r="160" spans="1:39" ht="14.45" customHeight="1" x14ac:dyDescent="0.25">
      <c r="A160" s="17">
        <v>21</v>
      </c>
      <c r="B160" s="18"/>
      <c r="C160" s="50" t="s">
        <v>5717</v>
      </c>
      <c r="D160" s="20" t="s">
        <v>1044</v>
      </c>
      <c r="E160" s="21" t="s">
        <v>56</v>
      </c>
      <c r="F160" s="22" t="s">
        <v>192</v>
      </c>
      <c r="G160" s="23" t="s">
        <v>227</v>
      </c>
      <c r="H160" s="22" t="s">
        <v>228</v>
      </c>
      <c r="I160" s="22" t="s">
        <v>155</v>
      </c>
      <c r="J160" s="22" t="s">
        <v>378</v>
      </c>
      <c r="K160" s="24" t="s">
        <v>195</v>
      </c>
      <c r="L160" s="22"/>
      <c r="M160" s="22"/>
      <c r="N160" s="22"/>
      <c r="O160" s="22"/>
      <c r="P160" s="22"/>
      <c r="Q160" s="22"/>
      <c r="R160" s="22"/>
      <c r="S160" s="23" t="s">
        <v>491</v>
      </c>
      <c r="T160" s="23"/>
      <c r="U160" s="23"/>
      <c r="V160" s="23"/>
      <c r="W160" s="69">
        <v>45809</v>
      </c>
      <c r="X160" s="69">
        <v>45810</v>
      </c>
      <c r="Y160" s="69">
        <v>45810</v>
      </c>
      <c r="Z160" s="31" t="str">
        <f t="shared" ca="1" si="12"/>
        <v>0 Tahun 4 Bulan 29 Hari</v>
      </c>
      <c r="AA160" s="23" t="s">
        <v>1045</v>
      </c>
      <c r="AB160" s="32">
        <v>34439</v>
      </c>
      <c r="AC160" s="32" t="s">
        <v>1046</v>
      </c>
      <c r="AD160" s="22" t="str">
        <f t="shared" ca="1" si="10"/>
        <v xml:space="preserve">31 Tahun 6 Bulan </v>
      </c>
      <c r="AE160" s="33" t="s">
        <v>942</v>
      </c>
      <c r="AF160" s="34"/>
      <c r="AG160" s="22" t="s">
        <v>330</v>
      </c>
      <c r="AH160" s="58"/>
      <c r="AI160" s="58"/>
      <c r="AJ160" s="87"/>
      <c r="AK160" s="61"/>
      <c r="AL160" s="36"/>
    </row>
    <row r="161" spans="1:38" ht="14.45" customHeight="1" x14ac:dyDescent="0.25">
      <c r="A161" s="17">
        <v>22</v>
      </c>
      <c r="B161" s="18"/>
      <c r="C161" s="50" t="s">
        <v>5718</v>
      </c>
      <c r="D161" s="20" t="s">
        <v>1047</v>
      </c>
      <c r="E161" s="21" t="s">
        <v>56</v>
      </c>
      <c r="F161" s="22" t="s">
        <v>192</v>
      </c>
      <c r="G161" s="23" t="s">
        <v>227</v>
      </c>
      <c r="H161" s="22" t="s">
        <v>228</v>
      </c>
      <c r="I161" s="22" t="s">
        <v>155</v>
      </c>
      <c r="J161" s="22" t="s">
        <v>378</v>
      </c>
      <c r="K161" s="24" t="s">
        <v>195</v>
      </c>
      <c r="L161" s="22"/>
      <c r="M161" s="22"/>
      <c r="N161" s="22"/>
      <c r="O161" s="22"/>
      <c r="P161" s="22"/>
      <c r="Q161" s="22"/>
      <c r="R161" s="22"/>
      <c r="S161" s="23" t="s">
        <v>491</v>
      </c>
      <c r="T161" s="23"/>
      <c r="U161" s="23"/>
      <c r="V161" s="23"/>
      <c r="W161" s="69">
        <v>45809</v>
      </c>
      <c r="X161" s="69">
        <v>45810</v>
      </c>
      <c r="Y161" s="69">
        <v>45810</v>
      </c>
      <c r="Z161" s="31" t="str">
        <f t="shared" ca="1" si="12"/>
        <v>0 Tahun 4 Bulan 29 Hari</v>
      </c>
      <c r="AA161" s="23" t="s">
        <v>1048</v>
      </c>
      <c r="AB161" s="32">
        <v>34484</v>
      </c>
      <c r="AC161" s="32" t="s">
        <v>1049</v>
      </c>
      <c r="AD161" s="22" t="str">
        <f t="shared" ca="1" si="10"/>
        <v xml:space="preserve">31 Tahun 5 Bulan </v>
      </c>
      <c r="AE161" s="33" t="s">
        <v>942</v>
      </c>
      <c r="AF161" s="34"/>
      <c r="AG161" s="22" t="s">
        <v>330</v>
      </c>
      <c r="AH161" s="22"/>
      <c r="AI161" s="22"/>
      <c r="AJ161" s="22"/>
      <c r="AK161" s="33" t="s">
        <v>200</v>
      </c>
      <c r="AL161" s="36"/>
    </row>
    <row r="162" spans="1:38" ht="14.45" customHeight="1" x14ac:dyDescent="0.25">
      <c r="A162" s="17">
        <v>23</v>
      </c>
      <c r="B162" s="18"/>
      <c r="C162" s="50" t="s">
        <v>5719</v>
      </c>
      <c r="D162" s="20" t="s">
        <v>1050</v>
      </c>
      <c r="E162" s="21" t="s">
        <v>56</v>
      </c>
      <c r="F162" s="22" t="s">
        <v>192</v>
      </c>
      <c r="G162" s="23" t="s">
        <v>227</v>
      </c>
      <c r="H162" s="22" t="s">
        <v>228</v>
      </c>
      <c r="I162" s="22" t="s">
        <v>155</v>
      </c>
      <c r="J162" s="22" t="s">
        <v>378</v>
      </c>
      <c r="K162" s="24" t="s">
        <v>195</v>
      </c>
      <c r="L162" s="22"/>
      <c r="M162" s="22"/>
      <c r="N162" s="22"/>
      <c r="O162" s="22"/>
      <c r="P162" s="22"/>
      <c r="Q162" s="22"/>
      <c r="R162" s="22"/>
      <c r="S162" s="23" t="s">
        <v>491</v>
      </c>
      <c r="T162" s="23"/>
      <c r="U162" s="23"/>
      <c r="V162" s="23"/>
      <c r="W162" s="69">
        <v>45809</v>
      </c>
      <c r="X162" s="69">
        <v>45810</v>
      </c>
      <c r="Y162" s="69">
        <v>45810</v>
      </c>
      <c r="Z162" s="31" t="str">
        <f t="shared" ca="1" si="12"/>
        <v>0 Tahun 4 Bulan 29 Hari</v>
      </c>
      <c r="AA162" s="23" t="s">
        <v>1051</v>
      </c>
      <c r="AB162" s="32">
        <v>34635</v>
      </c>
      <c r="AC162" s="32" t="s">
        <v>1052</v>
      </c>
      <c r="AD162" s="22" t="str">
        <f t="shared" ca="1" si="10"/>
        <v xml:space="preserve">31 Tahun 0 Bulan </v>
      </c>
      <c r="AE162" s="33" t="s">
        <v>942</v>
      </c>
      <c r="AF162" s="34"/>
      <c r="AG162" s="22" t="s">
        <v>330</v>
      </c>
      <c r="AH162" s="22"/>
      <c r="AI162" s="22"/>
      <c r="AJ162" s="22"/>
      <c r="AK162" s="33" t="s">
        <v>200</v>
      </c>
      <c r="AL162" s="36"/>
    </row>
    <row r="163" spans="1:38" ht="14.45" customHeight="1" x14ac:dyDescent="0.25">
      <c r="A163" s="17">
        <v>24</v>
      </c>
      <c r="B163" s="18"/>
      <c r="C163" s="50" t="s">
        <v>5720</v>
      </c>
      <c r="D163" s="20" t="s">
        <v>1053</v>
      </c>
      <c r="E163" s="21" t="s">
        <v>40</v>
      </c>
      <c r="F163" s="22" t="s">
        <v>192</v>
      </c>
      <c r="G163" s="23" t="s">
        <v>227</v>
      </c>
      <c r="H163" s="22" t="s">
        <v>228</v>
      </c>
      <c r="I163" s="22" t="s">
        <v>155</v>
      </c>
      <c r="J163" s="22" t="s">
        <v>378</v>
      </c>
      <c r="K163" s="24" t="s">
        <v>195</v>
      </c>
      <c r="L163" s="22"/>
      <c r="M163" s="22"/>
      <c r="N163" s="22"/>
      <c r="O163" s="22"/>
      <c r="P163" s="22"/>
      <c r="Q163" s="22"/>
      <c r="R163" s="22"/>
      <c r="S163" s="23" t="s">
        <v>491</v>
      </c>
      <c r="T163" s="23"/>
      <c r="U163" s="23"/>
      <c r="V163" s="23"/>
      <c r="W163" s="69">
        <v>45809</v>
      </c>
      <c r="X163" s="69">
        <v>45810</v>
      </c>
      <c r="Y163" s="69">
        <v>45810</v>
      </c>
      <c r="Z163" s="31" t="str">
        <f t="shared" ca="1" si="12"/>
        <v>0 Tahun 4 Bulan 29 Hari</v>
      </c>
      <c r="AA163" s="23" t="s">
        <v>203</v>
      </c>
      <c r="AB163" s="32">
        <v>35655</v>
      </c>
      <c r="AC163" s="32" t="s">
        <v>1054</v>
      </c>
      <c r="AD163" s="22" t="str">
        <f t="shared" ca="1" si="10"/>
        <v xml:space="preserve">28 Tahun 2 Bulan </v>
      </c>
      <c r="AE163" s="33" t="s">
        <v>942</v>
      </c>
      <c r="AF163" s="34"/>
      <c r="AG163" s="22" t="s">
        <v>330</v>
      </c>
      <c r="AH163" s="22"/>
      <c r="AI163" s="22"/>
      <c r="AJ163" s="22"/>
      <c r="AK163" s="33" t="s">
        <v>200</v>
      </c>
      <c r="AL163" s="36"/>
    </row>
    <row r="164" spans="1:38" ht="14.45" customHeight="1" x14ac:dyDescent="0.25">
      <c r="A164" s="17">
        <v>25</v>
      </c>
      <c r="B164" s="18"/>
      <c r="C164" s="50" t="s">
        <v>5721</v>
      </c>
      <c r="D164" s="20" t="s">
        <v>1055</v>
      </c>
      <c r="E164" s="21" t="s">
        <v>56</v>
      </c>
      <c r="F164" s="22" t="s">
        <v>192</v>
      </c>
      <c r="G164" s="23" t="s">
        <v>227</v>
      </c>
      <c r="H164" s="22" t="s">
        <v>228</v>
      </c>
      <c r="I164" s="22" t="s">
        <v>155</v>
      </c>
      <c r="J164" s="22" t="s">
        <v>378</v>
      </c>
      <c r="K164" s="24" t="s">
        <v>195</v>
      </c>
      <c r="L164" s="22"/>
      <c r="M164" s="22"/>
      <c r="N164" s="22"/>
      <c r="O164" s="22"/>
      <c r="P164" s="22"/>
      <c r="Q164" s="22"/>
      <c r="R164" s="22"/>
      <c r="S164" s="23" t="s">
        <v>491</v>
      </c>
      <c r="T164" s="23"/>
      <c r="U164" s="23"/>
      <c r="V164" s="23"/>
      <c r="W164" s="69">
        <v>45809</v>
      </c>
      <c r="X164" s="69">
        <v>45810</v>
      </c>
      <c r="Y164" s="69">
        <v>45810</v>
      </c>
      <c r="Z164" s="31" t="str">
        <f t="shared" ca="1" si="12"/>
        <v>0 Tahun 4 Bulan 29 Hari</v>
      </c>
      <c r="AA164" s="23" t="s">
        <v>203</v>
      </c>
      <c r="AB164" s="32">
        <v>35669</v>
      </c>
      <c r="AC164" s="32" t="s">
        <v>1056</v>
      </c>
      <c r="AD164" s="22" t="str">
        <f t="shared" ca="1" si="10"/>
        <v xml:space="preserve">28 Tahun 2 Bulan </v>
      </c>
      <c r="AE164" s="33" t="s">
        <v>942</v>
      </c>
      <c r="AF164" s="34" t="s">
        <v>1057</v>
      </c>
      <c r="AG164" s="22" t="s">
        <v>330</v>
      </c>
      <c r="AH164" s="22"/>
      <c r="AI164" s="22"/>
      <c r="AJ164" s="22"/>
      <c r="AK164" s="33" t="s">
        <v>200</v>
      </c>
      <c r="AL164" s="36"/>
    </row>
    <row r="165" spans="1:38" ht="15" x14ac:dyDescent="0.25">
      <c r="A165" s="17">
        <v>26</v>
      </c>
      <c r="B165" s="18"/>
      <c r="C165" s="50" t="s">
        <v>5722</v>
      </c>
      <c r="D165" s="20" t="s">
        <v>1058</v>
      </c>
      <c r="E165" s="21" t="s">
        <v>40</v>
      </c>
      <c r="F165" s="22" t="s">
        <v>192</v>
      </c>
      <c r="G165" s="23" t="s">
        <v>227</v>
      </c>
      <c r="H165" s="22" t="s">
        <v>228</v>
      </c>
      <c r="I165" s="22" t="s">
        <v>155</v>
      </c>
      <c r="J165" s="22" t="s">
        <v>378</v>
      </c>
      <c r="K165" s="24" t="s">
        <v>195</v>
      </c>
      <c r="L165" s="22"/>
      <c r="M165" s="22"/>
      <c r="N165" s="22"/>
      <c r="O165" s="22"/>
      <c r="P165" s="22"/>
      <c r="Q165" s="22"/>
      <c r="R165" s="22"/>
      <c r="S165" s="23" t="s">
        <v>491</v>
      </c>
      <c r="T165" s="23"/>
      <c r="U165" s="23"/>
      <c r="V165" s="23"/>
      <c r="W165" s="69">
        <v>45809</v>
      </c>
      <c r="X165" s="69">
        <v>45810</v>
      </c>
      <c r="Y165" s="69">
        <v>45810</v>
      </c>
      <c r="Z165" s="31" t="str">
        <f t="shared" ca="1" si="12"/>
        <v>0 Tahun 4 Bulan 29 Hari</v>
      </c>
      <c r="AA165" s="23" t="s">
        <v>1059</v>
      </c>
      <c r="AB165" s="32">
        <v>35955</v>
      </c>
      <c r="AC165" s="32" t="s">
        <v>1060</v>
      </c>
      <c r="AD165" s="22" t="str">
        <f t="shared" ca="1" si="10"/>
        <v xml:space="preserve">27 Tahun 4 Bulan </v>
      </c>
      <c r="AE165" s="33" t="s">
        <v>942</v>
      </c>
      <c r="AF165" s="34"/>
      <c r="AG165" s="22" t="s">
        <v>330</v>
      </c>
      <c r="AH165" s="22"/>
      <c r="AI165" s="22"/>
      <c r="AJ165" s="22"/>
      <c r="AK165" s="33" t="s">
        <v>200</v>
      </c>
      <c r="AL165" s="36"/>
    </row>
    <row r="166" spans="1:38" ht="14.45" customHeight="1" x14ac:dyDescent="0.25">
      <c r="A166" s="17">
        <v>27</v>
      </c>
      <c r="B166" s="18"/>
      <c r="C166" s="50" t="s">
        <v>5723</v>
      </c>
      <c r="D166" s="20" t="s">
        <v>1061</v>
      </c>
      <c r="E166" s="21" t="s">
        <v>40</v>
      </c>
      <c r="F166" s="22" t="s">
        <v>192</v>
      </c>
      <c r="G166" s="23" t="s">
        <v>227</v>
      </c>
      <c r="H166" s="22" t="s">
        <v>228</v>
      </c>
      <c r="I166" s="22" t="s">
        <v>155</v>
      </c>
      <c r="J166" s="22" t="s">
        <v>378</v>
      </c>
      <c r="K166" s="24" t="s">
        <v>195</v>
      </c>
      <c r="L166" s="22"/>
      <c r="M166" s="22"/>
      <c r="N166" s="22"/>
      <c r="O166" s="22"/>
      <c r="P166" s="22"/>
      <c r="Q166" s="22"/>
      <c r="R166" s="22"/>
      <c r="S166" s="23" t="s">
        <v>491</v>
      </c>
      <c r="T166" s="23"/>
      <c r="U166" s="23"/>
      <c r="V166" s="23"/>
      <c r="W166" s="69">
        <v>45809</v>
      </c>
      <c r="X166" s="69">
        <v>45810</v>
      </c>
      <c r="Y166" s="69">
        <v>45810</v>
      </c>
      <c r="Z166" s="31" t="str">
        <f t="shared" ca="1" si="12"/>
        <v>0 Tahun 4 Bulan 29 Hari</v>
      </c>
      <c r="AA166" s="23" t="s">
        <v>934</v>
      </c>
      <c r="AB166" s="32">
        <v>35962</v>
      </c>
      <c r="AC166" s="32" t="s">
        <v>1062</v>
      </c>
      <c r="AD166" s="22" t="str">
        <f t="shared" ca="1" si="10"/>
        <v xml:space="preserve">27 Tahun 4 Bulan </v>
      </c>
      <c r="AE166" s="33" t="s">
        <v>942</v>
      </c>
      <c r="AF166" s="34"/>
      <c r="AG166" s="22" t="s">
        <v>330</v>
      </c>
      <c r="AH166" s="22"/>
      <c r="AI166" s="22"/>
      <c r="AJ166" s="22"/>
      <c r="AK166" s="33" t="s">
        <v>200</v>
      </c>
      <c r="AL166" s="36"/>
    </row>
    <row r="167" spans="1:38" ht="14.45" customHeight="1" x14ac:dyDescent="0.25">
      <c r="A167" s="17">
        <v>28</v>
      </c>
      <c r="B167" s="76"/>
      <c r="C167" s="50" t="s">
        <v>5724</v>
      </c>
      <c r="D167" s="20" t="s">
        <v>5725</v>
      </c>
      <c r="E167" s="52" t="s">
        <v>56</v>
      </c>
      <c r="F167" s="58" t="s">
        <v>238</v>
      </c>
      <c r="G167" s="89" t="s">
        <v>3872</v>
      </c>
      <c r="H167" s="22" t="s">
        <v>1078</v>
      </c>
      <c r="I167" s="58" t="s">
        <v>155</v>
      </c>
      <c r="J167" s="22" t="s">
        <v>5693</v>
      </c>
      <c r="K167" s="22"/>
      <c r="L167" s="22"/>
      <c r="M167" s="22"/>
      <c r="N167" s="22"/>
      <c r="O167" s="22"/>
      <c r="P167" s="22"/>
      <c r="Q167" s="22"/>
      <c r="R167" s="22"/>
      <c r="S167" s="23" t="s">
        <v>1068</v>
      </c>
      <c r="T167" s="23"/>
      <c r="U167" s="23"/>
      <c r="V167" s="23"/>
      <c r="W167" s="77">
        <v>45931</v>
      </c>
      <c r="X167" s="30">
        <v>45261</v>
      </c>
      <c r="Y167" s="30">
        <v>45261</v>
      </c>
      <c r="Z167" s="55" t="str">
        <f ca="1">DATEDIF(X167,TODAY(),"y")&amp;" Tahun "&amp;DATEDIF(X167,TODAY(),"ym")&amp;" Bulan "&amp;DATEDIF(X167,TODAY(),"md")&amp;" Hari"</f>
        <v>1 Tahun 10 Bulan 30 Hari</v>
      </c>
      <c r="AA167" s="55" t="s">
        <v>60</v>
      </c>
      <c r="AB167" s="56">
        <v>31286</v>
      </c>
      <c r="AC167" s="31" t="s">
        <v>5726</v>
      </c>
      <c r="AD167" s="57" t="str">
        <f t="shared" ref="AD167:AD181" ca="1" si="13">DATEDIF(AB167,TODAY(),"y")&amp;" Tahun "&amp;DATEDIF(AB167,TODAY(),"ym")&amp;" Bulan "</f>
        <v xml:space="preserve">40 Tahun 2 Bulan </v>
      </c>
      <c r="AE167" s="33" t="s">
        <v>1069</v>
      </c>
      <c r="AF167" s="71" t="s">
        <v>1070</v>
      </c>
      <c r="AG167" s="58" t="s">
        <v>1066</v>
      </c>
      <c r="AH167" s="22"/>
      <c r="AI167" s="22"/>
      <c r="AJ167" s="22"/>
      <c r="AK167" s="33" t="s">
        <v>200</v>
      </c>
      <c r="AL167" s="36"/>
    </row>
    <row r="168" spans="1:38" ht="14.45" customHeight="1" x14ac:dyDescent="0.25">
      <c r="A168" s="115">
        <v>2</v>
      </c>
      <c r="B168" s="78"/>
      <c r="C168" s="50" t="s">
        <v>5727</v>
      </c>
      <c r="D168" s="62" t="s">
        <v>5728</v>
      </c>
      <c r="E168" s="21" t="s">
        <v>40</v>
      </c>
      <c r="F168" s="22" t="s">
        <v>5691</v>
      </c>
      <c r="G168" s="23" t="s">
        <v>3872</v>
      </c>
      <c r="H168" s="22" t="s">
        <v>5692</v>
      </c>
      <c r="I168" s="22" t="s">
        <v>155</v>
      </c>
      <c r="J168" s="22" t="s">
        <v>5687</v>
      </c>
      <c r="K168" s="30"/>
      <c r="L168" s="25"/>
      <c r="M168" s="29"/>
      <c r="N168" s="26"/>
      <c r="O168" s="27"/>
      <c r="P168" s="28"/>
      <c r="Q168" s="29"/>
      <c r="R168" s="26"/>
      <c r="S168" s="23" t="s">
        <v>251</v>
      </c>
      <c r="T168" s="23"/>
      <c r="U168" s="23"/>
      <c r="V168" s="23"/>
      <c r="W168" s="30">
        <v>45931</v>
      </c>
      <c r="X168" s="30">
        <v>45261</v>
      </c>
      <c r="Y168" s="30">
        <v>45261</v>
      </c>
      <c r="Z168" s="31" t="str">
        <f ca="1">DATEDIF(X168,TODAY(),"y")&amp;" Tahun "&amp;DATEDIF(X168,TODAY(),"ym")&amp;" Bulan "&amp;DATEDIF(X168,TODAY(),"md")&amp;" Hari"</f>
        <v>1 Tahun 10 Bulan 30 Hari</v>
      </c>
      <c r="AA168" s="31" t="s">
        <v>76</v>
      </c>
      <c r="AB168" s="32">
        <v>28522</v>
      </c>
      <c r="AC168" s="31" t="s">
        <v>5729</v>
      </c>
      <c r="AD168" s="22" t="str">
        <f t="shared" ca="1" si="13"/>
        <v xml:space="preserve">47 Tahun 8 Bulan </v>
      </c>
      <c r="AE168" s="33" t="s">
        <v>1341</v>
      </c>
      <c r="AF168" s="34" t="s">
        <v>1065</v>
      </c>
      <c r="AG168" s="58" t="s">
        <v>1066</v>
      </c>
      <c r="AH168" s="58"/>
      <c r="AI168" s="58"/>
      <c r="AJ168" s="58"/>
      <c r="AK168" s="33"/>
      <c r="AL168" s="36"/>
    </row>
    <row r="169" spans="1:38" ht="14.45" customHeight="1" x14ac:dyDescent="0.25">
      <c r="A169" s="115">
        <v>3</v>
      </c>
      <c r="B169" s="117"/>
      <c r="C169" s="50" t="s">
        <v>1071</v>
      </c>
      <c r="D169" s="20" t="s">
        <v>1072</v>
      </c>
      <c r="E169" s="58" t="s">
        <v>56</v>
      </c>
      <c r="F169" s="22" t="s">
        <v>41</v>
      </c>
      <c r="G169" s="23" t="s">
        <v>57</v>
      </c>
      <c r="H169" s="22" t="s">
        <v>58</v>
      </c>
      <c r="I169" s="118" t="s">
        <v>44</v>
      </c>
      <c r="J169" s="22" t="s">
        <v>82</v>
      </c>
      <c r="K169" s="24">
        <v>45017</v>
      </c>
      <c r="L169" s="23"/>
      <c r="M169" s="26"/>
      <c r="N169" s="26"/>
      <c r="O169" s="23"/>
      <c r="P169" s="23"/>
      <c r="Q169" s="23"/>
      <c r="R169" s="26"/>
      <c r="S169" s="33" t="s">
        <v>646</v>
      </c>
      <c r="T169" s="85"/>
      <c r="U169" s="85"/>
      <c r="V169" s="85"/>
      <c r="W169" s="82">
        <v>38384</v>
      </c>
      <c r="X169" s="30">
        <v>41974</v>
      </c>
      <c r="Y169" s="30">
        <v>43966</v>
      </c>
      <c r="Z169" s="55" t="str">
        <f ca="1">DATEDIF(W169,TODAY(),"y")&amp;" Tahun "&amp;DATEDIF(W169,TODAY(),"ym")&amp;" Bulan "&amp;DATEDIF(W169,TODAY(),"md")&amp;" Hari"</f>
        <v>20 Tahun 8 Bulan 30 Hari</v>
      </c>
      <c r="AA169" s="31" t="s">
        <v>76</v>
      </c>
      <c r="AB169" s="119">
        <v>25730</v>
      </c>
      <c r="AC169" s="120" t="s">
        <v>1073</v>
      </c>
      <c r="AD169" s="57" t="str">
        <f t="shared" ca="1" si="13"/>
        <v xml:space="preserve">55 Tahun 4 Bulan </v>
      </c>
      <c r="AE169" s="23" t="s">
        <v>1074</v>
      </c>
      <c r="AF169" s="34"/>
      <c r="AG169" s="58" t="s">
        <v>1075</v>
      </c>
      <c r="AH169" s="58"/>
      <c r="AI169" s="58"/>
      <c r="AJ169" s="58"/>
      <c r="AK169" s="33"/>
      <c r="AL169" s="36"/>
    </row>
    <row r="170" spans="1:38" ht="14.45" customHeight="1" x14ac:dyDescent="0.25">
      <c r="A170" s="115">
        <v>4</v>
      </c>
      <c r="B170" s="18"/>
      <c r="C170" s="50" t="s">
        <v>1076</v>
      </c>
      <c r="D170" s="20" t="s">
        <v>1077</v>
      </c>
      <c r="E170" s="22" t="s">
        <v>56</v>
      </c>
      <c r="F170" s="22" t="s">
        <v>238</v>
      </c>
      <c r="G170" s="23" t="s">
        <v>3872</v>
      </c>
      <c r="H170" s="22" t="s">
        <v>1078</v>
      </c>
      <c r="I170" s="22" t="s">
        <v>44</v>
      </c>
      <c r="J170" s="22" t="s">
        <v>1079</v>
      </c>
      <c r="K170" s="30"/>
      <c r="L170" s="22"/>
      <c r="M170" s="22"/>
      <c r="N170" s="22"/>
      <c r="O170" s="22"/>
      <c r="P170" s="22"/>
      <c r="Q170" s="22"/>
      <c r="R170" s="22"/>
      <c r="S170" s="23" t="s">
        <v>1080</v>
      </c>
      <c r="T170" s="23"/>
      <c r="U170" s="23"/>
      <c r="V170" s="23"/>
      <c r="W170" s="30">
        <v>45139</v>
      </c>
      <c r="X170" s="30">
        <v>42370</v>
      </c>
      <c r="Y170" s="30">
        <v>42371</v>
      </c>
      <c r="Z170" s="31" t="str">
        <f ca="1">DATEDIF(X170,TODAY(),"y")&amp;" Tahun "&amp;DATEDIF(X170,TODAY(),"ym")&amp;" Bulan "&amp;DATEDIF(X170,TODAY(),"md")&amp;" Hari"</f>
        <v>9 Tahun 9 Bulan 30 Hari</v>
      </c>
      <c r="AA170" s="32" t="s">
        <v>563</v>
      </c>
      <c r="AB170" s="32">
        <v>33818</v>
      </c>
      <c r="AC170" s="31" t="s">
        <v>1081</v>
      </c>
      <c r="AD170" s="22" t="str">
        <f t="shared" ca="1" si="13"/>
        <v xml:space="preserve">33 Tahun 2 Bulan </v>
      </c>
      <c r="AE170" s="33" t="s">
        <v>242</v>
      </c>
      <c r="AF170" s="34"/>
      <c r="AG170" s="58" t="s">
        <v>1075</v>
      </c>
      <c r="AH170" s="58"/>
      <c r="AI170" s="58"/>
      <c r="AJ170" s="58"/>
      <c r="AK170" s="33"/>
      <c r="AL170" s="36"/>
    </row>
    <row r="171" spans="1:38" ht="14.45" customHeight="1" x14ac:dyDescent="0.25">
      <c r="A171" s="17">
        <v>1</v>
      </c>
      <c r="B171" s="123"/>
      <c r="C171" s="50" t="s">
        <v>5730</v>
      </c>
      <c r="D171" s="20" t="s">
        <v>1083</v>
      </c>
      <c r="E171" s="22" t="s">
        <v>56</v>
      </c>
      <c r="F171" s="22" t="s">
        <v>238</v>
      </c>
      <c r="G171" s="23" t="s">
        <v>3872</v>
      </c>
      <c r="H171" s="22" t="s">
        <v>239</v>
      </c>
      <c r="I171" s="22" t="s">
        <v>44</v>
      </c>
      <c r="J171" s="22" t="s">
        <v>311</v>
      </c>
      <c r="K171" s="30"/>
      <c r="L171" s="22"/>
      <c r="M171" s="26"/>
      <c r="N171" s="26"/>
      <c r="O171" s="22"/>
      <c r="P171" s="22"/>
      <c r="Q171" s="22"/>
      <c r="R171" s="22"/>
      <c r="S171" s="23" t="s">
        <v>1084</v>
      </c>
      <c r="T171" s="23"/>
      <c r="U171" s="23"/>
      <c r="V171" s="23"/>
      <c r="W171" s="30">
        <v>45047</v>
      </c>
      <c r="X171" s="30">
        <v>45048</v>
      </c>
      <c r="Y171" s="30">
        <v>45048</v>
      </c>
      <c r="Z171" s="31" t="str">
        <f ca="1">DATEDIF(X171,TODAY(),"y")&amp;" Tahun "&amp;DATEDIF(X171,TODAY(),"ym")&amp;" Bulan "&amp;DATEDIF(X171,TODAY(),"md")&amp;" Hari"</f>
        <v>2 Tahun 5 Bulan 29 Hari</v>
      </c>
      <c r="AA171" s="31" t="s">
        <v>297</v>
      </c>
      <c r="AB171" s="32">
        <v>34412</v>
      </c>
      <c r="AC171" s="32" t="s">
        <v>1085</v>
      </c>
      <c r="AD171" s="22" t="str">
        <f t="shared" ca="1" si="13"/>
        <v xml:space="preserve">31 Tahun 7 Bulan </v>
      </c>
      <c r="AE171" s="33" t="s">
        <v>1086</v>
      </c>
      <c r="AF171" s="34"/>
      <c r="AG171" s="58" t="s">
        <v>1075</v>
      </c>
      <c r="AH171" s="118"/>
      <c r="AI171" s="118"/>
      <c r="AJ171" s="121"/>
      <c r="AK171" s="122" t="s">
        <v>224</v>
      </c>
      <c r="AL171" s="22"/>
    </row>
    <row r="172" spans="1:38" ht="14.45" customHeight="1" x14ac:dyDescent="0.25">
      <c r="A172" s="17">
        <v>3</v>
      </c>
      <c r="B172" s="18"/>
      <c r="C172" s="50" t="s">
        <v>1088</v>
      </c>
      <c r="D172" s="20" t="s">
        <v>1089</v>
      </c>
      <c r="E172" s="52" t="s">
        <v>56</v>
      </c>
      <c r="F172" s="22" t="s">
        <v>41</v>
      </c>
      <c r="G172" s="23" t="s">
        <v>42</v>
      </c>
      <c r="H172" s="22" t="s">
        <v>43</v>
      </c>
      <c r="I172" s="22" t="s">
        <v>44</v>
      </c>
      <c r="J172" s="22" t="s">
        <v>148</v>
      </c>
      <c r="K172" s="24">
        <v>45200</v>
      </c>
      <c r="L172" s="28" t="s">
        <v>1090</v>
      </c>
      <c r="M172" s="26">
        <v>42041</v>
      </c>
      <c r="N172" s="26">
        <v>43920</v>
      </c>
      <c r="O172" s="27" t="s">
        <v>148</v>
      </c>
      <c r="P172" s="53" t="s">
        <v>1091</v>
      </c>
      <c r="Q172" s="29">
        <v>43026</v>
      </c>
      <c r="R172" s="26">
        <v>43920</v>
      </c>
      <c r="S172" s="23" t="s">
        <v>84</v>
      </c>
      <c r="T172" s="23"/>
      <c r="U172" s="23"/>
      <c r="V172" s="23"/>
      <c r="W172" s="30">
        <v>36220</v>
      </c>
      <c r="X172" s="30">
        <v>36220</v>
      </c>
      <c r="Y172" s="30">
        <v>43887</v>
      </c>
      <c r="Z172" s="31" t="str">
        <f ca="1">DATEDIF(W172,TODAY(),"y")&amp;" Tahun "&amp;DATEDIF(W172,TODAY(),"ym")&amp;" Bulan "&amp;DATEDIF(W172,TODAY(),"md")&amp;" Hari"</f>
        <v>26 Tahun 7 Bulan 30 Hari</v>
      </c>
      <c r="AA172" s="31" t="s">
        <v>76</v>
      </c>
      <c r="AB172" s="32">
        <v>28214</v>
      </c>
      <c r="AC172" s="31" t="s">
        <v>1092</v>
      </c>
      <c r="AD172" s="57" t="str">
        <f t="shared" ca="1" si="13"/>
        <v xml:space="preserve">48 Tahun 7 Bulan </v>
      </c>
      <c r="AE172" s="33" t="s">
        <v>1093</v>
      </c>
      <c r="AF172" s="34"/>
      <c r="AG172" s="58" t="s">
        <v>1094</v>
      </c>
      <c r="AH172" s="23" t="s">
        <v>1082</v>
      </c>
      <c r="AI172" s="22"/>
      <c r="AJ172" s="22"/>
      <c r="AK172" s="33" t="s">
        <v>314</v>
      </c>
      <c r="AL172" s="22"/>
    </row>
    <row r="173" spans="1:38" ht="14.45" customHeight="1" x14ac:dyDescent="0.25">
      <c r="A173" s="17">
        <v>4</v>
      </c>
      <c r="B173" s="18"/>
      <c r="C173" s="50" t="s">
        <v>1095</v>
      </c>
      <c r="D173" s="20" t="s">
        <v>1096</v>
      </c>
      <c r="E173" s="52" t="s">
        <v>40</v>
      </c>
      <c r="F173" s="58" t="s">
        <v>41</v>
      </c>
      <c r="G173" s="23" t="s">
        <v>42</v>
      </c>
      <c r="H173" s="22" t="s">
        <v>43</v>
      </c>
      <c r="I173" s="22" t="s">
        <v>44</v>
      </c>
      <c r="J173" s="22" t="s">
        <v>148</v>
      </c>
      <c r="K173" s="24">
        <v>45200</v>
      </c>
      <c r="L173" s="53" t="s">
        <v>1097</v>
      </c>
      <c r="M173" s="26">
        <v>43145</v>
      </c>
      <c r="N173" s="26">
        <v>45171</v>
      </c>
      <c r="O173" s="27" t="s">
        <v>148</v>
      </c>
      <c r="P173" s="53" t="s">
        <v>1098</v>
      </c>
      <c r="Q173" s="26">
        <v>43242</v>
      </c>
      <c r="R173" s="26">
        <v>45171</v>
      </c>
      <c r="S173" s="23" t="s">
        <v>84</v>
      </c>
      <c r="T173" s="23"/>
      <c r="U173" s="23"/>
      <c r="V173" s="23"/>
      <c r="W173" s="30">
        <v>35490</v>
      </c>
      <c r="X173" s="30">
        <v>35490</v>
      </c>
      <c r="Y173" s="30">
        <v>41122</v>
      </c>
      <c r="Z173" s="55" t="str">
        <f ca="1">DATEDIF(W173,TODAY(),"y")&amp;" Tahun "&amp;DATEDIF(W173,TODAY(),"ym")&amp;" Bulan "&amp;DATEDIF(W173,TODAY(),"md")&amp;" Hari"</f>
        <v>28 Tahun 7 Bulan 30 Hari</v>
      </c>
      <c r="AA173" s="55" t="s">
        <v>76</v>
      </c>
      <c r="AB173" s="56">
        <v>28735</v>
      </c>
      <c r="AC173" s="32" t="s">
        <v>1099</v>
      </c>
      <c r="AD173" s="57" t="str">
        <f t="shared" ca="1" si="13"/>
        <v xml:space="preserve">47 Tahun 1 Bulan </v>
      </c>
      <c r="AE173" s="33" t="s">
        <v>1100</v>
      </c>
      <c r="AF173" s="71"/>
      <c r="AG173" s="58" t="s">
        <v>1094</v>
      </c>
      <c r="AH173" s="23" t="s">
        <v>1087</v>
      </c>
      <c r="AI173" s="22"/>
      <c r="AJ173" s="22"/>
      <c r="AK173" s="33" t="s">
        <v>308</v>
      </c>
      <c r="AL173" s="22"/>
    </row>
    <row r="174" spans="1:38" ht="14.45" customHeight="1" x14ac:dyDescent="0.25">
      <c r="A174" s="18">
        <v>1</v>
      </c>
      <c r="B174" s="76"/>
      <c r="C174" s="50" t="s">
        <v>1101</v>
      </c>
      <c r="D174" s="20" t="s">
        <v>5731</v>
      </c>
      <c r="E174" s="52" t="s">
        <v>40</v>
      </c>
      <c r="F174" s="58" t="s">
        <v>238</v>
      </c>
      <c r="G174" s="89" t="s">
        <v>3872</v>
      </c>
      <c r="H174" s="22" t="s">
        <v>239</v>
      </c>
      <c r="I174" s="58" t="s">
        <v>44</v>
      </c>
      <c r="J174" s="22" t="s">
        <v>5074</v>
      </c>
      <c r="K174" s="30"/>
      <c r="L174" s="22"/>
      <c r="M174" s="22"/>
      <c r="N174" s="22"/>
      <c r="O174" s="22"/>
      <c r="P174" s="22"/>
      <c r="Q174" s="22"/>
      <c r="R174" s="22"/>
      <c r="S174" s="23" t="s">
        <v>299</v>
      </c>
      <c r="T174" s="23"/>
      <c r="U174" s="23"/>
      <c r="V174" s="23"/>
      <c r="W174" s="30">
        <v>45931</v>
      </c>
      <c r="X174" s="30">
        <v>40330</v>
      </c>
      <c r="Y174" s="30">
        <v>40334</v>
      </c>
      <c r="Z174" s="55" t="str">
        <f ca="1">DATEDIF(X174,TODAY(),"y")&amp;" Tahun "&amp;DATEDIF(X174,TODAY(),"ym")&amp;" Bulan "&amp;DATEDIF(X174,TODAY(),"md")&amp;" Hari"</f>
        <v>15 Tahun 4 Bulan 30 Hari</v>
      </c>
      <c r="AA174" s="55" t="s">
        <v>846</v>
      </c>
      <c r="AB174" s="56">
        <v>31089</v>
      </c>
      <c r="AC174" s="31" t="s">
        <v>5732</v>
      </c>
      <c r="AD174" s="57" t="str">
        <f t="shared" ca="1" si="13"/>
        <v xml:space="preserve">40 Tahun 8 Bulan </v>
      </c>
      <c r="AE174" s="33" t="s">
        <v>242</v>
      </c>
      <c r="AF174" s="71"/>
      <c r="AG174" s="58" t="s">
        <v>1094</v>
      </c>
      <c r="AH174" s="22"/>
      <c r="AI174" s="22"/>
      <c r="AJ174" s="22"/>
      <c r="AK174" s="33"/>
      <c r="AL174" s="36"/>
    </row>
    <row r="175" spans="1:38" ht="14.45" customHeight="1" x14ac:dyDescent="0.25">
      <c r="A175" s="115">
        <v>2</v>
      </c>
      <c r="B175" s="78"/>
      <c r="C175" s="292" t="s">
        <v>5733</v>
      </c>
      <c r="D175" s="124" t="s">
        <v>1103</v>
      </c>
      <c r="E175" s="52" t="s">
        <v>56</v>
      </c>
      <c r="F175" s="58" t="s">
        <v>238</v>
      </c>
      <c r="G175" s="23" t="s">
        <v>3872</v>
      </c>
      <c r="H175" s="22" t="s">
        <v>305</v>
      </c>
      <c r="I175" s="22" t="s">
        <v>44</v>
      </c>
      <c r="J175" s="22" t="s">
        <v>1104</v>
      </c>
      <c r="K175" s="22"/>
      <c r="L175" s="53"/>
      <c r="M175" s="26"/>
      <c r="N175" s="26"/>
      <c r="O175" s="27"/>
      <c r="P175" s="28"/>
      <c r="Q175" s="29"/>
      <c r="R175" s="26"/>
      <c r="S175" s="23" t="s">
        <v>84</v>
      </c>
      <c r="T175" s="23"/>
      <c r="U175" s="23"/>
      <c r="V175" s="23"/>
      <c r="W175" s="77">
        <v>45047</v>
      </c>
      <c r="X175" s="30">
        <v>45048</v>
      </c>
      <c r="Y175" s="30">
        <v>45048</v>
      </c>
      <c r="Z175" s="55" t="str">
        <f ca="1">DATEDIF(X175,TODAY(),"y")&amp;" Tahun "&amp;DATEDIF(X175,TODAY(),"ym")&amp;" Bulan "&amp;DATEDIF(X175,TODAY(),"md")&amp;" Hari"</f>
        <v>2 Tahun 5 Bulan 29 Hari</v>
      </c>
      <c r="AA175" s="125" t="s">
        <v>76</v>
      </c>
      <c r="AB175" s="126">
        <v>32110</v>
      </c>
      <c r="AC175" s="127" t="s">
        <v>1105</v>
      </c>
      <c r="AD175" s="57" t="str">
        <f t="shared" ca="1" si="13"/>
        <v xml:space="preserve">37 Tahun 11 Bulan </v>
      </c>
      <c r="AE175" s="128" t="s">
        <v>1106</v>
      </c>
      <c r="AF175" s="129"/>
      <c r="AG175" s="58" t="s">
        <v>1094</v>
      </c>
      <c r="AH175" s="58"/>
      <c r="AI175" s="58"/>
      <c r="AJ175" s="58"/>
      <c r="AK175" s="33"/>
      <c r="AL175" s="36"/>
    </row>
    <row r="176" spans="1:38" ht="14.45" customHeight="1" x14ac:dyDescent="0.25">
      <c r="A176" s="18">
        <v>3</v>
      </c>
      <c r="B176" s="132"/>
      <c r="C176" s="50" t="s">
        <v>1107</v>
      </c>
      <c r="D176" s="20" t="s">
        <v>1108</v>
      </c>
      <c r="E176" s="21" t="s">
        <v>56</v>
      </c>
      <c r="F176" s="22" t="s">
        <v>41</v>
      </c>
      <c r="G176" s="23" t="s">
        <v>115</v>
      </c>
      <c r="H176" s="22" t="s">
        <v>116</v>
      </c>
      <c r="I176" s="22" t="s">
        <v>44</v>
      </c>
      <c r="J176" s="22" t="s">
        <v>148</v>
      </c>
      <c r="K176" s="24">
        <v>45931</v>
      </c>
      <c r="L176" s="53" t="s">
        <v>1109</v>
      </c>
      <c r="M176" s="26">
        <v>42717</v>
      </c>
      <c r="N176" s="26">
        <v>44397</v>
      </c>
      <c r="O176" s="27" t="s">
        <v>84</v>
      </c>
      <c r="P176" s="53" t="s">
        <v>1110</v>
      </c>
      <c r="Q176" s="26">
        <v>43071</v>
      </c>
      <c r="R176" s="26">
        <v>44397</v>
      </c>
      <c r="S176" s="23" t="s">
        <v>84</v>
      </c>
      <c r="T176" s="23"/>
      <c r="U176" s="23"/>
      <c r="V176" s="23"/>
      <c r="W176" s="30">
        <v>32933</v>
      </c>
      <c r="X176" s="30">
        <v>32933</v>
      </c>
      <c r="Y176" s="30">
        <v>42339</v>
      </c>
      <c r="Z176" s="31" t="str">
        <f ca="1">DATEDIF(W176,TODAY(),"y")&amp;" Tahun "&amp;DATEDIF(W176,TODAY(),"ym")&amp;" Bulan "&amp;DATEDIF(W176,TODAY(),"md")&amp;" Hari"</f>
        <v>35 Tahun 7 Bulan 30 Hari</v>
      </c>
      <c r="AA176" s="31" t="s">
        <v>338</v>
      </c>
      <c r="AB176" s="32">
        <v>24673</v>
      </c>
      <c r="AC176" s="31" t="s">
        <v>1111</v>
      </c>
      <c r="AD176" s="22" t="str">
        <f t="shared" ca="1" si="13"/>
        <v xml:space="preserve">58 Tahun 3 Bulan </v>
      </c>
      <c r="AE176" s="33" t="s">
        <v>1112</v>
      </c>
      <c r="AF176" s="34"/>
      <c r="AG176" s="58" t="s">
        <v>1094</v>
      </c>
      <c r="AH176" s="22"/>
      <c r="AI176" s="22"/>
      <c r="AJ176" s="22"/>
      <c r="AK176" s="33"/>
      <c r="AL176" s="36"/>
    </row>
    <row r="177" spans="1:39" ht="14.45" customHeight="1" x14ac:dyDescent="0.25">
      <c r="A177" s="115">
        <v>4</v>
      </c>
      <c r="B177" s="18"/>
      <c r="C177" s="50" t="s">
        <v>1113</v>
      </c>
      <c r="D177" s="20" t="s">
        <v>1114</v>
      </c>
      <c r="E177" s="52" t="s">
        <v>56</v>
      </c>
      <c r="F177" s="58" t="s">
        <v>41</v>
      </c>
      <c r="G177" s="23" t="s">
        <v>57</v>
      </c>
      <c r="H177" s="22" t="s">
        <v>58</v>
      </c>
      <c r="I177" s="22" t="s">
        <v>44</v>
      </c>
      <c r="J177" s="22" t="s">
        <v>82</v>
      </c>
      <c r="K177" s="24">
        <v>45017</v>
      </c>
      <c r="L177" s="53" t="s">
        <v>1115</v>
      </c>
      <c r="M177" s="26">
        <v>42717</v>
      </c>
      <c r="N177" s="26">
        <v>44356</v>
      </c>
      <c r="O177" s="27" t="s">
        <v>148</v>
      </c>
      <c r="P177" s="53" t="s">
        <v>1116</v>
      </c>
      <c r="Q177" s="29">
        <v>43052</v>
      </c>
      <c r="R177" s="26">
        <v>44356</v>
      </c>
      <c r="S177" s="23" t="s">
        <v>84</v>
      </c>
      <c r="T177" s="23"/>
      <c r="U177" s="23"/>
      <c r="V177" s="23"/>
      <c r="W177" s="30">
        <v>33664</v>
      </c>
      <c r="X177" s="30">
        <v>33664</v>
      </c>
      <c r="Y177" s="30">
        <v>43966</v>
      </c>
      <c r="Z177" s="55" t="str">
        <f ca="1">DATEDIF(W177,TODAY(),"y")&amp;" Tahun "&amp;DATEDIF(W177,TODAY(),"ym")&amp;" Bulan "&amp;DATEDIF(W177,TODAY(),"md")&amp;" Hari"</f>
        <v>33 Tahun 7 Bulan 30 Hari</v>
      </c>
      <c r="AA177" s="55" t="s">
        <v>471</v>
      </c>
      <c r="AB177" s="56">
        <v>26093</v>
      </c>
      <c r="AC177" s="32" t="s">
        <v>1117</v>
      </c>
      <c r="AD177" s="57" t="str">
        <f t="shared" ca="1" si="13"/>
        <v xml:space="preserve">54 Tahun 4 Bulan </v>
      </c>
      <c r="AE177" s="23" t="s">
        <v>1118</v>
      </c>
      <c r="AF177" s="133"/>
      <c r="AG177" s="58" t="s">
        <v>1119</v>
      </c>
      <c r="AH177" s="58"/>
      <c r="AI177" s="58"/>
      <c r="AJ177" s="58"/>
      <c r="AK177" s="33" t="s">
        <v>1102</v>
      </c>
      <c r="AL177" s="36"/>
    </row>
    <row r="178" spans="1:39" ht="14.45" customHeight="1" x14ac:dyDescent="0.25">
      <c r="A178" s="18">
        <v>5</v>
      </c>
      <c r="B178" s="134"/>
      <c r="C178" s="50" t="s">
        <v>1120</v>
      </c>
      <c r="D178" s="62" t="s">
        <v>1121</v>
      </c>
      <c r="E178" s="52" t="s">
        <v>40</v>
      </c>
      <c r="F178" s="22" t="s">
        <v>41</v>
      </c>
      <c r="G178" s="59" t="s">
        <v>193</v>
      </c>
      <c r="H178" s="58" t="s">
        <v>194</v>
      </c>
      <c r="I178" s="58" t="s">
        <v>44</v>
      </c>
      <c r="J178" s="58" t="s">
        <v>1122</v>
      </c>
      <c r="K178" s="24">
        <v>45200</v>
      </c>
      <c r="L178" s="73" t="s">
        <v>1123</v>
      </c>
      <c r="M178" s="26">
        <v>42333</v>
      </c>
      <c r="N178" s="135">
        <v>43937</v>
      </c>
      <c r="O178" s="27" t="s">
        <v>1124</v>
      </c>
      <c r="P178" s="53" t="s">
        <v>1125</v>
      </c>
      <c r="Q178" s="26">
        <v>43192</v>
      </c>
      <c r="R178" s="26">
        <v>43937</v>
      </c>
      <c r="S178" s="23" t="s">
        <v>1126</v>
      </c>
      <c r="T178" s="23"/>
      <c r="U178" s="23"/>
      <c r="V178" s="23"/>
      <c r="W178" s="30">
        <v>43101</v>
      </c>
      <c r="X178" s="30">
        <v>43101</v>
      </c>
      <c r="Y178" s="30">
        <v>43101</v>
      </c>
      <c r="Z178" s="31" t="str">
        <f ca="1">DATEDIF(W178,TODAY(),"y")&amp;" Tahun "&amp;DATEDIF(W178,TODAY(),"ym")&amp;" Bulan "&amp;DATEDIF(W178,TODAY(),"md")&amp;" Hari"</f>
        <v>7 Tahun 9 Bulan 30 Hari</v>
      </c>
      <c r="AA178" s="31"/>
      <c r="AB178" s="32">
        <v>34440</v>
      </c>
      <c r="AC178" s="31"/>
      <c r="AD178" s="57" t="str">
        <f t="shared" ca="1" si="13"/>
        <v xml:space="preserve">31 Tahun 6 Bulan </v>
      </c>
      <c r="AE178" s="85" t="s">
        <v>1127</v>
      </c>
      <c r="AF178" s="71"/>
      <c r="AG178" s="58" t="s">
        <v>1119</v>
      </c>
      <c r="AH178" s="130"/>
      <c r="AI178" s="130"/>
      <c r="AJ178" s="130"/>
      <c r="AK178" s="33" t="s">
        <v>308</v>
      </c>
      <c r="AL178" s="131"/>
      <c r="AM178" s="14"/>
    </row>
    <row r="179" spans="1:39" ht="14.45" customHeight="1" x14ac:dyDescent="0.25">
      <c r="A179" s="115">
        <v>6</v>
      </c>
      <c r="B179" s="18"/>
      <c r="C179" s="50" t="s">
        <v>1128</v>
      </c>
      <c r="D179" s="20" t="s">
        <v>1129</v>
      </c>
      <c r="E179" s="58" t="s">
        <v>56</v>
      </c>
      <c r="F179" s="22" t="s">
        <v>238</v>
      </c>
      <c r="G179" s="23" t="s">
        <v>3872</v>
      </c>
      <c r="H179" s="22" t="s">
        <v>239</v>
      </c>
      <c r="I179" s="22" t="s">
        <v>44</v>
      </c>
      <c r="J179" s="22" t="s">
        <v>311</v>
      </c>
      <c r="K179" s="30"/>
      <c r="L179" s="73" t="s">
        <v>1130</v>
      </c>
      <c r="M179" s="26">
        <v>42670</v>
      </c>
      <c r="N179" s="26">
        <v>44536</v>
      </c>
      <c r="O179" s="54" t="s">
        <v>1131</v>
      </c>
      <c r="P179" s="136"/>
      <c r="Q179" s="74"/>
      <c r="R179" s="74"/>
      <c r="S179" s="33" t="s">
        <v>1132</v>
      </c>
      <c r="T179" s="33"/>
      <c r="U179" s="33"/>
      <c r="V179" s="33"/>
      <c r="W179" s="30">
        <v>45047</v>
      </c>
      <c r="X179" s="30">
        <v>42095</v>
      </c>
      <c r="Y179" s="30">
        <v>42114</v>
      </c>
      <c r="Z179" s="31" t="str">
        <f ca="1">DATEDIF(X179,TODAY(),"y")&amp;" Tahun "&amp;DATEDIF(X179,TODAY(),"ym")&amp;" Bulan "&amp;DATEDIF(X179,TODAY(),"md")&amp;" Hari"</f>
        <v>10 Tahun 6 Bulan 30 Hari</v>
      </c>
      <c r="AA179" s="31" t="s">
        <v>97</v>
      </c>
      <c r="AB179" s="32">
        <v>33578</v>
      </c>
      <c r="AC179" s="31" t="s">
        <v>1133</v>
      </c>
      <c r="AD179" s="57" t="str">
        <f t="shared" ca="1" si="13"/>
        <v xml:space="preserve">33 Tahun 10 Bulan </v>
      </c>
      <c r="AE179" s="33" t="s">
        <v>242</v>
      </c>
      <c r="AF179" s="79"/>
      <c r="AG179" s="58" t="s">
        <v>1119</v>
      </c>
      <c r="AH179" s="22"/>
      <c r="AI179" s="22"/>
      <c r="AJ179" s="22"/>
      <c r="AK179" s="33" t="s">
        <v>1112</v>
      </c>
      <c r="AL179" s="36"/>
    </row>
    <row r="180" spans="1:39" ht="14.45" customHeight="1" x14ac:dyDescent="0.25">
      <c r="A180" s="17">
        <v>1</v>
      </c>
      <c r="B180" s="123"/>
      <c r="C180" s="50" t="s">
        <v>5734</v>
      </c>
      <c r="D180" s="20" t="s">
        <v>1134</v>
      </c>
      <c r="E180" s="22" t="s">
        <v>56</v>
      </c>
      <c r="F180" s="22" t="s">
        <v>238</v>
      </c>
      <c r="G180" s="23" t="s">
        <v>3872</v>
      </c>
      <c r="H180" s="22" t="s">
        <v>239</v>
      </c>
      <c r="I180" s="22" t="s">
        <v>44</v>
      </c>
      <c r="J180" s="22" t="s">
        <v>311</v>
      </c>
      <c r="K180" s="30"/>
      <c r="L180" s="22"/>
      <c r="M180" s="26"/>
      <c r="N180" s="26"/>
      <c r="O180" s="22"/>
      <c r="P180" s="22"/>
      <c r="Q180" s="22"/>
      <c r="R180" s="22"/>
      <c r="S180" s="23" t="s">
        <v>1084</v>
      </c>
      <c r="T180" s="23"/>
      <c r="U180" s="23"/>
      <c r="V180" s="23"/>
      <c r="W180" s="30">
        <v>45047</v>
      </c>
      <c r="X180" s="30">
        <v>45048</v>
      </c>
      <c r="Y180" s="30">
        <v>45048</v>
      </c>
      <c r="Z180" s="31" t="str">
        <f ca="1">DATEDIF(X180,TODAY(),"y")&amp;" Tahun "&amp;DATEDIF(X180,TODAY(),"ym")&amp;" Bulan "&amp;DATEDIF(X180,TODAY(),"md")&amp;" Hari"</f>
        <v>2 Tahun 5 Bulan 29 Hari</v>
      </c>
      <c r="AA180" s="31" t="s">
        <v>97</v>
      </c>
      <c r="AB180" s="32">
        <v>30847</v>
      </c>
      <c r="AC180" s="32" t="s">
        <v>1135</v>
      </c>
      <c r="AD180" s="22" t="str">
        <f t="shared" ca="1" si="13"/>
        <v xml:space="preserve">41 Tahun 4 Bulan </v>
      </c>
      <c r="AE180" s="33" t="s">
        <v>1086</v>
      </c>
      <c r="AF180" s="34"/>
      <c r="AG180" s="58" t="s">
        <v>1119</v>
      </c>
      <c r="AH180" s="58"/>
      <c r="AI180" s="58"/>
      <c r="AJ180" s="58"/>
      <c r="AK180" s="33"/>
      <c r="AL180" s="36"/>
    </row>
    <row r="181" spans="1:39" ht="14.45" customHeight="1" x14ac:dyDescent="0.25">
      <c r="A181" s="115">
        <v>2</v>
      </c>
      <c r="B181" s="18"/>
      <c r="C181" s="50" t="s">
        <v>1136</v>
      </c>
      <c r="D181" s="20" t="s">
        <v>1137</v>
      </c>
      <c r="E181" s="58" t="s">
        <v>40</v>
      </c>
      <c r="F181" s="22" t="s">
        <v>238</v>
      </c>
      <c r="G181" s="23" t="s">
        <v>3872</v>
      </c>
      <c r="H181" s="22" t="s">
        <v>1138</v>
      </c>
      <c r="I181" s="22" t="s">
        <v>44</v>
      </c>
      <c r="J181" s="22" t="s">
        <v>1139</v>
      </c>
      <c r="K181" s="24"/>
      <c r="L181" s="22"/>
      <c r="M181" s="22"/>
      <c r="N181" s="22"/>
      <c r="O181" s="22"/>
      <c r="P181" s="22"/>
      <c r="Q181" s="22"/>
      <c r="R181" s="22"/>
      <c r="S181" s="23" t="s">
        <v>1140</v>
      </c>
      <c r="T181" s="23"/>
      <c r="U181" s="23"/>
      <c r="V181" s="23"/>
      <c r="W181" s="30">
        <v>45383</v>
      </c>
      <c r="X181" s="30">
        <v>45383</v>
      </c>
      <c r="Y181" s="30">
        <v>45383</v>
      </c>
      <c r="Z181" s="55" t="str">
        <f ca="1">DATEDIF(X181,TODAY(),"y")&amp;" Tahun "&amp;DATEDIF(X181,TODAY(),"ym")&amp;" Bulan "&amp;DATEDIF(X181,TODAY(),"md")&amp;" Hari"</f>
        <v>1 Tahun 6 Bulan 30 Hari</v>
      </c>
      <c r="AA181" s="55" t="s">
        <v>1141</v>
      </c>
      <c r="AB181" s="56">
        <v>35194</v>
      </c>
      <c r="AC181" s="31" t="s">
        <v>1142</v>
      </c>
      <c r="AD181" s="57" t="str">
        <f t="shared" ca="1" si="13"/>
        <v xml:space="preserve">29 Tahun 5 Bulan </v>
      </c>
      <c r="AE181" s="33" t="s">
        <v>1143</v>
      </c>
      <c r="AF181" s="71" t="s">
        <v>1144</v>
      </c>
      <c r="AG181" s="58" t="s">
        <v>1119</v>
      </c>
      <c r="AH181" s="58"/>
      <c r="AI181" s="58"/>
      <c r="AJ181" s="58"/>
      <c r="AK181" s="33"/>
      <c r="AL181" s="36"/>
    </row>
    <row r="182" spans="1:39" ht="14.45" customHeight="1" x14ac:dyDescent="0.25">
      <c r="A182" s="17">
        <v>3</v>
      </c>
      <c r="B182" s="18"/>
      <c r="C182" s="50" t="s">
        <v>1146</v>
      </c>
      <c r="D182" s="20" t="s">
        <v>1147</v>
      </c>
      <c r="E182" s="21" t="s">
        <v>40</v>
      </c>
      <c r="F182" s="22" t="s">
        <v>41</v>
      </c>
      <c r="G182" s="23" t="s">
        <v>57</v>
      </c>
      <c r="H182" s="22" t="s">
        <v>58</v>
      </c>
      <c r="I182" s="22" t="s">
        <v>44</v>
      </c>
      <c r="J182" s="22" t="s">
        <v>1148</v>
      </c>
      <c r="K182" s="24">
        <v>45292</v>
      </c>
      <c r="L182" s="73" t="s">
        <v>1149</v>
      </c>
      <c r="M182" s="26">
        <v>41429</v>
      </c>
      <c r="N182" s="26">
        <v>43354</v>
      </c>
      <c r="O182" s="54" t="s">
        <v>84</v>
      </c>
      <c r="P182" s="73"/>
      <c r="Q182" s="74"/>
      <c r="R182" s="43"/>
      <c r="S182" s="23" t="s">
        <v>170</v>
      </c>
      <c r="T182" s="23"/>
      <c r="U182" s="23"/>
      <c r="V182" s="23"/>
      <c r="W182" s="30">
        <v>34029</v>
      </c>
      <c r="X182" s="30">
        <v>34029</v>
      </c>
      <c r="Y182" s="30">
        <v>43966</v>
      </c>
      <c r="Z182" s="31" t="str">
        <f t="shared" ref="Z182:Z199" ca="1" si="14">DATEDIF(W182,TODAY(),"y")&amp;" Tahun "&amp;DATEDIF(W182,TODAY(),"ym")&amp;" Bulan "&amp;DATEDIF(W182,TODAY(),"md")&amp;" Hari"</f>
        <v>32 Tahun 7 Bulan 30 Hari</v>
      </c>
      <c r="AA182" s="31" t="s">
        <v>76</v>
      </c>
      <c r="AB182" s="32">
        <v>26553</v>
      </c>
      <c r="AC182" s="32" t="s">
        <v>1150</v>
      </c>
      <c r="AD182" s="22" t="str">
        <f t="shared" ref="AD182:AD230" ca="1" si="15">DATEDIF(AB182,TODAY(),"y")&amp;" Tahun "&amp;DATEDIF(AB182,TODAY(),"ym")&amp;" Bulan "</f>
        <v xml:space="preserve">53 Tahun 1 Bulan </v>
      </c>
      <c r="AE182" s="23" t="s">
        <v>1151</v>
      </c>
      <c r="AF182" s="34"/>
      <c r="AG182" s="22" t="s">
        <v>1145</v>
      </c>
      <c r="AH182" s="22"/>
      <c r="AI182" s="22"/>
      <c r="AJ182" s="60"/>
      <c r="AK182" s="33" t="s">
        <v>314</v>
      </c>
      <c r="AL182" s="36"/>
    </row>
    <row r="183" spans="1:39" ht="14.45" customHeight="1" x14ac:dyDescent="0.25">
      <c r="A183" s="115">
        <v>4</v>
      </c>
      <c r="B183" s="18"/>
      <c r="C183" s="19" t="s">
        <v>1152</v>
      </c>
      <c r="D183" s="20" t="s">
        <v>1153</v>
      </c>
      <c r="E183" s="21" t="s">
        <v>40</v>
      </c>
      <c r="F183" s="22" t="s">
        <v>41</v>
      </c>
      <c r="G183" s="23" t="s">
        <v>115</v>
      </c>
      <c r="H183" s="22" t="s">
        <v>116</v>
      </c>
      <c r="I183" s="22" t="s">
        <v>44</v>
      </c>
      <c r="J183" s="22" t="s">
        <v>148</v>
      </c>
      <c r="K183" s="24">
        <v>45200</v>
      </c>
      <c r="L183" s="25" t="s">
        <v>1154</v>
      </c>
      <c r="M183" s="26">
        <v>42926</v>
      </c>
      <c r="N183" s="26">
        <v>44731</v>
      </c>
      <c r="O183" s="27" t="s">
        <v>1155</v>
      </c>
      <c r="P183" s="53" t="s">
        <v>1156</v>
      </c>
      <c r="Q183" s="26">
        <v>43071</v>
      </c>
      <c r="R183" s="26">
        <v>44731</v>
      </c>
      <c r="S183" s="23" t="s">
        <v>69</v>
      </c>
      <c r="T183" s="23"/>
      <c r="U183" s="23"/>
      <c r="V183" s="23"/>
      <c r="W183" s="30">
        <v>32203</v>
      </c>
      <c r="X183" s="30">
        <v>32448</v>
      </c>
      <c r="Y183" s="30">
        <v>44197</v>
      </c>
      <c r="Z183" s="31" t="str">
        <f t="shared" ca="1" si="14"/>
        <v>37 Tahun 7 Bulan 30 Hari</v>
      </c>
      <c r="AA183" s="31" t="s">
        <v>76</v>
      </c>
      <c r="AB183" s="32">
        <v>24642</v>
      </c>
      <c r="AC183" s="31" t="s">
        <v>1157</v>
      </c>
      <c r="AD183" s="22" t="str">
        <f t="shared" ca="1" si="15"/>
        <v xml:space="preserve">58 Tahun 4 Bulan </v>
      </c>
      <c r="AE183" s="33" t="s">
        <v>1158</v>
      </c>
      <c r="AF183" s="34"/>
      <c r="AG183" s="22" t="s">
        <v>1145</v>
      </c>
      <c r="AH183" s="22"/>
      <c r="AI183" s="22"/>
      <c r="AJ183" s="22"/>
      <c r="AK183" s="33" t="s">
        <v>308</v>
      </c>
      <c r="AL183" s="22"/>
    </row>
    <row r="184" spans="1:39" ht="14.45" customHeight="1" x14ac:dyDescent="0.25">
      <c r="A184" s="17">
        <v>5</v>
      </c>
      <c r="B184" s="78"/>
      <c r="C184" s="50" t="s">
        <v>1159</v>
      </c>
      <c r="D184" s="20" t="s">
        <v>1160</v>
      </c>
      <c r="E184" s="52" t="s">
        <v>40</v>
      </c>
      <c r="F184" s="58" t="s">
        <v>41</v>
      </c>
      <c r="G184" s="23" t="s">
        <v>57</v>
      </c>
      <c r="H184" s="22" t="s">
        <v>58</v>
      </c>
      <c r="I184" s="22" t="s">
        <v>44</v>
      </c>
      <c r="J184" s="22" t="s">
        <v>148</v>
      </c>
      <c r="K184" s="24">
        <v>42370</v>
      </c>
      <c r="L184" s="53" t="s">
        <v>1161</v>
      </c>
      <c r="M184" s="26">
        <v>42703</v>
      </c>
      <c r="N184" s="26">
        <v>44201</v>
      </c>
      <c r="O184" s="40" t="s">
        <v>1162</v>
      </c>
      <c r="P184" s="53" t="s">
        <v>1163</v>
      </c>
      <c r="Q184" s="29">
        <v>43048</v>
      </c>
      <c r="R184" s="26">
        <v>44201</v>
      </c>
      <c r="S184" s="23" t="s">
        <v>1164</v>
      </c>
      <c r="T184" s="23"/>
      <c r="U184" s="23"/>
      <c r="V184" s="23"/>
      <c r="W184" s="30">
        <v>32568</v>
      </c>
      <c r="X184" s="30">
        <v>32568</v>
      </c>
      <c r="Y184" s="30">
        <v>43887</v>
      </c>
      <c r="Z184" s="55" t="str">
        <f t="shared" ca="1" si="14"/>
        <v>36 Tahun 7 Bulan 30 Hari</v>
      </c>
      <c r="AA184" s="66" t="s">
        <v>76</v>
      </c>
      <c r="AB184" s="56">
        <v>24477</v>
      </c>
      <c r="AC184" s="32" t="s">
        <v>1165</v>
      </c>
      <c r="AD184" s="57" t="str">
        <f t="shared" ca="1" si="15"/>
        <v xml:space="preserve">58 Tahun 9 Bulan </v>
      </c>
      <c r="AE184" s="33" t="s">
        <v>1106</v>
      </c>
      <c r="AF184" s="71"/>
      <c r="AG184" s="22" t="s">
        <v>1145</v>
      </c>
      <c r="AH184" s="58"/>
      <c r="AI184" s="58"/>
      <c r="AJ184" s="58"/>
      <c r="AK184" s="33" t="s">
        <v>485</v>
      </c>
      <c r="AL184" s="36"/>
    </row>
    <row r="185" spans="1:39" ht="14.45" customHeight="1" x14ac:dyDescent="0.25">
      <c r="A185" s="17">
        <v>1</v>
      </c>
      <c r="B185" s="18"/>
      <c r="C185" s="50" t="s">
        <v>1168</v>
      </c>
      <c r="D185" s="20" t="s">
        <v>1169</v>
      </c>
      <c r="E185" s="52" t="s">
        <v>56</v>
      </c>
      <c r="F185" s="22" t="s">
        <v>41</v>
      </c>
      <c r="G185" s="23" t="s">
        <v>137</v>
      </c>
      <c r="H185" s="22" t="s">
        <v>138</v>
      </c>
      <c r="I185" s="22" t="s">
        <v>44</v>
      </c>
      <c r="J185" s="22" t="s">
        <v>1166</v>
      </c>
      <c r="K185" s="24">
        <v>42370</v>
      </c>
      <c r="L185" s="25" t="s">
        <v>1170</v>
      </c>
      <c r="M185" s="26">
        <v>42926</v>
      </c>
      <c r="N185" s="26">
        <v>44682</v>
      </c>
      <c r="O185" s="27" t="s">
        <v>1155</v>
      </c>
      <c r="P185" s="53" t="s">
        <v>1171</v>
      </c>
      <c r="Q185" s="29">
        <v>43052</v>
      </c>
      <c r="R185" s="26">
        <v>44566</v>
      </c>
      <c r="S185" s="23" t="s">
        <v>1172</v>
      </c>
      <c r="T185" s="23"/>
      <c r="U185" s="23"/>
      <c r="V185" s="23"/>
      <c r="W185" s="30">
        <v>32203</v>
      </c>
      <c r="X185" s="30">
        <v>32203</v>
      </c>
      <c r="Y185" s="30">
        <v>43887</v>
      </c>
      <c r="Z185" s="55" t="str">
        <f t="shared" ca="1" si="14"/>
        <v>37 Tahun 7 Bulan 30 Hari</v>
      </c>
      <c r="AA185" s="66" t="s">
        <v>76</v>
      </c>
      <c r="AB185" s="56">
        <v>24842</v>
      </c>
      <c r="AC185" s="32" t="s">
        <v>1173</v>
      </c>
      <c r="AD185" s="57" t="str">
        <f t="shared" ca="1" si="15"/>
        <v xml:space="preserve">57 Tahun 9 Bulan </v>
      </c>
      <c r="AE185" s="33" t="s">
        <v>1106</v>
      </c>
      <c r="AF185" s="71"/>
      <c r="AG185" s="22" t="s">
        <v>1145</v>
      </c>
      <c r="AH185" s="22"/>
      <c r="AI185" s="22"/>
      <c r="AJ185" s="22"/>
      <c r="AK185" s="33"/>
      <c r="AL185" s="36"/>
    </row>
    <row r="186" spans="1:39" ht="14.45" customHeight="1" x14ac:dyDescent="0.25">
      <c r="A186" s="17">
        <v>2</v>
      </c>
      <c r="B186" s="18"/>
      <c r="C186" s="50" t="s">
        <v>1174</v>
      </c>
      <c r="D186" s="20" t="s">
        <v>1175</v>
      </c>
      <c r="E186" s="52" t="s">
        <v>56</v>
      </c>
      <c r="F186" s="58" t="s">
        <v>41</v>
      </c>
      <c r="G186" s="23" t="s">
        <v>42</v>
      </c>
      <c r="H186" s="22" t="s">
        <v>43</v>
      </c>
      <c r="I186" s="22" t="s">
        <v>44</v>
      </c>
      <c r="J186" s="22" t="s">
        <v>148</v>
      </c>
      <c r="K186" s="24">
        <v>45200</v>
      </c>
      <c r="L186" s="53" t="s">
        <v>1176</v>
      </c>
      <c r="M186" s="26">
        <v>43047</v>
      </c>
      <c r="N186" s="26">
        <v>44566</v>
      </c>
      <c r="O186" s="27" t="s">
        <v>84</v>
      </c>
      <c r="P186" s="53" t="s">
        <v>1177</v>
      </c>
      <c r="Q186" s="26">
        <v>43131</v>
      </c>
      <c r="R186" s="26">
        <v>44566</v>
      </c>
      <c r="S186" s="23" t="s">
        <v>84</v>
      </c>
      <c r="T186" s="23"/>
      <c r="U186" s="23"/>
      <c r="V186" s="23"/>
      <c r="W186" s="30">
        <v>35490</v>
      </c>
      <c r="X186" s="30">
        <v>35490</v>
      </c>
      <c r="Y186" s="30">
        <v>42339</v>
      </c>
      <c r="Z186" s="55" t="str">
        <f t="shared" ca="1" si="14"/>
        <v>28 Tahun 7 Bulan 30 Hari</v>
      </c>
      <c r="AA186" s="66" t="s">
        <v>1178</v>
      </c>
      <c r="AB186" s="56">
        <v>25573</v>
      </c>
      <c r="AC186" s="32" t="s">
        <v>1179</v>
      </c>
      <c r="AD186" s="57" t="str">
        <f t="shared" ca="1" si="15"/>
        <v xml:space="preserve">55 Tahun 9 Bulan </v>
      </c>
      <c r="AE186" s="33" t="s">
        <v>1106</v>
      </c>
      <c r="AF186" s="71"/>
      <c r="AG186" s="22" t="s">
        <v>1145</v>
      </c>
      <c r="AH186" s="22"/>
      <c r="AI186" s="22"/>
      <c r="AJ186" s="22"/>
      <c r="AK186" s="33"/>
      <c r="AL186" s="36"/>
    </row>
    <row r="187" spans="1:39" ht="14.45" customHeight="1" x14ac:dyDescent="0.25">
      <c r="A187" s="17">
        <v>3</v>
      </c>
      <c r="B187" s="18"/>
      <c r="C187" s="50" t="s">
        <v>1180</v>
      </c>
      <c r="D187" s="20" t="s">
        <v>1181</v>
      </c>
      <c r="E187" s="52" t="s">
        <v>40</v>
      </c>
      <c r="F187" s="22" t="s">
        <v>41</v>
      </c>
      <c r="G187" s="23" t="s">
        <v>115</v>
      </c>
      <c r="H187" s="22" t="s">
        <v>116</v>
      </c>
      <c r="I187" s="22" t="s">
        <v>44</v>
      </c>
      <c r="J187" s="22" t="s">
        <v>148</v>
      </c>
      <c r="K187" s="24">
        <v>45931</v>
      </c>
      <c r="L187" s="25" t="s">
        <v>1182</v>
      </c>
      <c r="M187" s="26">
        <v>43117</v>
      </c>
      <c r="N187" s="26">
        <v>45085</v>
      </c>
      <c r="O187" s="27" t="s">
        <v>84</v>
      </c>
      <c r="P187" s="22"/>
      <c r="Q187" s="22"/>
      <c r="R187" s="22"/>
      <c r="S187" s="23" t="s">
        <v>84</v>
      </c>
      <c r="T187" s="23"/>
      <c r="U187" s="23"/>
      <c r="V187" s="23"/>
      <c r="W187" s="30">
        <v>33298</v>
      </c>
      <c r="X187" s="30">
        <v>33512</v>
      </c>
      <c r="Y187" s="30">
        <v>41791</v>
      </c>
      <c r="Z187" s="55" t="str">
        <f t="shared" ca="1" si="14"/>
        <v>34 Tahun 7 Bulan 30 Hari</v>
      </c>
      <c r="AA187" s="55" t="s">
        <v>1183</v>
      </c>
      <c r="AB187" s="56">
        <v>25727</v>
      </c>
      <c r="AC187" s="32" t="s">
        <v>1184</v>
      </c>
      <c r="AD187" s="57" t="str">
        <f t="shared" ca="1" si="15"/>
        <v xml:space="preserve">55 Tahun 4 Bulan </v>
      </c>
      <c r="AE187" s="33" t="s">
        <v>1158</v>
      </c>
      <c r="AF187" s="71"/>
      <c r="AG187" s="22" t="s">
        <v>1145</v>
      </c>
      <c r="AH187" s="58"/>
      <c r="AI187" s="58"/>
      <c r="AJ187" s="58"/>
      <c r="AK187" s="33"/>
      <c r="AL187" s="36"/>
    </row>
    <row r="188" spans="1:39" ht="14.45" customHeight="1" x14ac:dyDescent="0.25">
      <c r="A188" s="17">
        <v>4</v>
      </c>
      <c r="B188" s="18"/>
      <c r="C188" s="50" t="s">
        <v>1185</v>
      </c>
      <c r="D188" s="20" t="s">
        <v>1186</v>
      </c>
      <c r="E188" s="52" t="s">
        <v>56</v>
      </c>
      <c r="F188" s="58" t="s">
        <v>41</v>
      </c>
      <c r="G188" s="23" t="s">
        <v>137</v>
      </c>
      <c r="H188" s="22" t="s">
        <v>138</v>
      </c>
      <c r="I188" s="22" t="s">
        <v>44</v>
      </c>
      <c r="J188" s="22" t="s">
        <v>1187</v>
      </c>
      <c r="K188" s="24">
        <v>42826</v>
      </c>
      <c r="L188" s="53" t="s">
        <v>1188</v>
      </c>
      <c r="M188" s="26">
        <v>43049</v>
      </c>
      <c r="N188" s="26">
        <v>44861</v>
      </c>
      <c r="O188" s="27" t="s">
        <v>1189</v>
      </c>
      <c r="P188" s="53" t="s">
        <v>1190</v>
      </c>
      <c r="Q188" s="26">
        <v>43237</v>
      </c>
      <c r="R188" s="29">
        <v>44861</v>
      </c>
      <c r="S188" s="23" t="s">
        <v>1191</v>
      </c>
      <c r="T188" s="23"/>
      <c r="U188" s="23"/>
      <c r="V188" s="23"/>
      <c r="W188" s="30">
        <v>34029</v>
      </c>
      <c r="X188" s="30">
        <v>34029</v>
      </c>
      <c r="Y188" s="22"/>
      <c r="Z188" s="55" t="str">
        <f t="shared" ca="1" si="14"/>
        <v>32 Tahun 7 Bulan 30 Hari</v>
      </c>
      <c r="AA188" s="55" t="s">
        <v>697</v>
      </c>
      <c r="AB188" s="56">
        <v>26111</v>
      </c>
      <c r="AC188" s="31" t="s">
        <v>1192</v>
      </c>
      <c r="AD188" s="57" t="str">
        <f t="shared" ca="1" si="15"/>
        <v xml:space="preserve">54 Tahun 4 Bulan </v>
      </c>
      <c r="AE188" s="33" t="s">
        <v>1106</v>
      </c>
      <c r="AF188" s="71"/>
      <c r="AG188" s="22" t="s">
        <v>1145</v>
      </c>
      <c r="AH188" s="58"/>
      <c r="AI188" s="58"/>
      <c r="AJ188" s="87"/>
      <c r="AK188" s="61"/>
      <c r="AL188" s="36"/>
    </row>
    <row r="189" spans="1:39" ht="14.45" customHeight="1" x14ac:dyDescent="0.25">
      <c r="A189" s="17">
        <v>5</v>
      </c>
      <c r="B189" s="18"/>
      <c r="C189" s="50" t="s">
        <v>1193</v>
      </c>
      <c r="D189" s="20" t="s">
        <v>1194</v>
      </c>
      <c r="E189" s="52" t="s">
        <v>40</v>
      </c>
      <c r="F189" s="22" t="s">
        <v>41</v>
      </c>
      <c r="G189" s="23" t="s">
        <v>42</v>
      </c>
      <c r="H189" s="22" t="s">
        <v>43</v>
      </c>
      <c r="I189" s="22" t="s">
        <v>44</v>
      </c>
      <c r="J189" s="22" t="s">
        <v>148</v>
      </c>
      <c r="K189" s="24">
        <v>45505</v>
      </c>
      <c r="L189" s="53" t="s">
        <v>1195</v>
      </c>
      <c r="M189" s="26">
        <v>42703</v>
      </c>
      <c r="N189" s="26">
        <v>44215</v>
      </c>
      <c r="O189" s="40" t="s">
        <v>1162</v>
      </c>
      <c r="P189" s="53" t="s">
        <v>1196</v>
      </c>
      <c r="Q189" s="26">
        <v>43096</v>
      </c>
      <c r="R189" s="26">
        <v>44215</v>
      </c>
      <c r="S189" s="23" t="s">
        <v>1164</v>
      </c>
      <c r="T189" s="23"/>
      <c r="U189" s="23"/>
      <c r="V189" s="23"/>
      <c r="W189" s="30">
        <v>34029</v>
      </c>
      <c r="X189" s="30">
        <v>34029</v>
      </c>
      <c r="Y189" s="30">
        <v>42339</v>
      </c>
      <c r="Z189" s="55" t="str">
        <f t="shared" ca="1" si="14"/>
        <v>32 Tahun 7 Bulan 30 Hari</v>
      </c>
      <c r="AA189" s="55" t="s">
        <v>76</v>
      </c>
      <c r="AB189" s="56">
        <v>26317</v>
      </c>
      <c r="AC189" s="31" t="s">
        <v>1197</v>
      </c>
      <c r="AD189" s="57" t="str">
        <f t="shared" ca="1" si="15"/>
        <v xml:space="preserve">53 Tahun 9 Bulan </v>
      </c>
      <c r="AE189" s="33" t="s">
        <v>1158</v>
      </c>
      <c r="AF189" s="34"/>
      <c r="AG189" s="22" t="s">
        <v>1145</v>
      </c>
      <c r="AH189" s="58"/>
      <c r="AI189" s="58"/>
      <c r="AJ189" s="87"/>
      <c r="AK189" s="61"/>
      <c r="AL189" s="36"/>
    </row>
    <row r="190" spans="1:39" ht="14.45" customHeight="1" x14ac:dyDescent="0.25">
      <c r="A190" s="17">
        <v>6</v>
      </c>
      <c r="B190" s="18"/>
      <c r="C190" s="50" t="s">
        <v>1198</v>
      </c>
      <c r="D190" s="20" t="s">
        <v>1199</v>
      </c>
      <c r="E190" s="52" t="s">
        <v>40</v>
      </c>
      <c r="F190" s="22" t="s">
        <v>41</v>
      </c>
      <c r="G190" s="23" t="s">
        <v>137</v>
      </c>
      <c r="H190" s="22" t="s">
        <v>138</v>
      </c>
      <c r="I190" s="22" t="s">
        <v>44</v>
      </c>
      <c r="J190" s="22" t="s">
        <v>1166</v>
      </c>
      <c r="K190" s="24">
        <v>42644</v>
      </c>
      <c r="L190" s="25" t="s">
        <v>1200</v>
      </c>
      <c r="M190" s="26">
        <v>42926</v>
      </c>
      <c r="N190" s="26">
        <v>44661</v>
      </c>
      <c r="O190" s="27" t="s">
        <v>1155</v>
      </c>
      <c r="P190" s="53" t="s">
        <v>1201</v>
      </c>
      <c r="Q190" s="29">
        <v>43057</v>
      </c>
      <c r="R190" s="26">
        <v>44661</v>
      </c>
      <c r="S190" s="23" t="s">
        <v>1172</v>
      </c>
      <c r="T190" s="23"/>
      <c r="U190" s="23"/>
      <c r="V190" s="23"/>
      <c r="W190" s="30">
        <v>33664</v>
      </c>
      <c r="X190" s="30">
        <v>33664</v>
      </c>
      <c r="Y190" s="30">
        <v>42339</v>
      </c>
      <c r="Z190" s="55" t="str">
        <f t="shared" ca="1" si="14"/>
        <v>33 Tahun 7 Bulan 30 Hari</v>
      </c>
      <c r="AA190" s="55" t="s">
        <v>76</v>
      </c>
      <c r="AB190" s="56">
        <v>26399</v>
      </c>
      <c r="AC190" s="31" t="s">
        <v>1202</v>
      </c>
      <c r="AD190" s="57" t="str">
        <f t="shared" ca="1" si="15"/>
        <v xml:space="preserve">53 Tahun 6 Bulan </v>
      </c>
      <c r="AE190" s="33" t="s">
        <v>1106</v>
      </c>
      <c r="AF190" s="34"/>
      <c r="AG190" s="22" t="s">
        <v>1145</v>
      </c>
      <c r="AH190" s="58"/>
      <c r="AI190" s="58"/>
      <c r="AJ190" s="87"/>
      <c r="AK190" s="61"/>
      <c r="AL190" s="36"/>
    </row>
    <row r="191" spans="1:39" ht="14.45" customHeight="1" x14ac:dyDescent="0.25">
      <c r="A191" s="17">
        <v>7</v>
      </c>
      <c r="B191" s="18"/>
      <c r="C191" s="50" t="s">
        <v>1203</v>
      </c>
      <c r="D191" s="20" t="s">
        <v>1204</v>
      </c>
      <c r="E191" s="52" t="s">
        <v>40</v>
      </c>
      <c r="F191" s="58" t="s">
        <v>41</v>
      </c>
      <c r="G191" s="23" t="s">
        <v>137</v>
      </c>
      <c r="H191" s="22" t="s">
        <v>138</v>
      </c>
      <c r="I191" s="22" t="s">
        <v>44</v>
      </c>
      <c r="J191" s="22" t="s">
        <v>1187</v>
      </c>
      <c r="K191" s="24">
        <v>43739</v>
      </c>
      <c r="L191" s="25" t="s">
        <v>1205</v>
      </c>
      <c r="M191" s="26">
        <v>40905</v>
      </c>
      <c r="N191" s="26">
        <v>42623</v>
      </c>
      <c r="O191" s="27" t="s">
        <v>1189</v>
      </c>
      <c r="P191" s="28" t="s">
        <v>1206</v>
      </c>
      <c r="Q191" s="29"/>
      <c r="R191" s="26"/>
      <c r="S191" s="23" t="s">
        <v>1207</v>
      </c>
      <c r="T191" s="23"/>
      <c r="U191" s="23"/>
      <c r="V191" s="23"/>
      <c r="W191" s="30">
        <v>34759</v>
      </c>
      <c r="X191" s="30">
        <v>34912</v>
      </c>
      <c r="Y191" s="22"/>
      <c r="Z191" s="55" t="str">
        <f t="shared" ca="1" si="14"/>
        <v>30 Tahun 7 Bulan 30 Hari</v>
      </c>
      <c r="AA191" s="66" t="s">
        <v>1208</v>
      </c>
      <c r="AB191" s="56">
        <v>26552</v>
      </c>
      <c r="AC191" s="31" t="s">
        <v>1209</v>
      </c>
      <c r="AD191" s="57" t="str">
        <f t="shared" ca="1" si="15"/>
        <v xml:space="preserve">53 Tahun 1 Bulan </v>
      </c>
      <c r="AE191" s="33" t="s">
        <v>1106</v>
      </c>
      <c r="AF191" s="71"/>
      <c r="AG191" s="22" t="s">
        <v>1145</v>
      </c>
      <c r="AH191" s="58"/>
      <c r="AI191" s="58"/>
      <c r="AJ191" s="87"/>
      <c r="AK191" s="61"/>
      <c r="AL191" s="36"/>
      <c r="AM191" s="14"/>
    </row>
    <row r="192" spans="1:39" ht="14.45" customHeight="1" x14ac:dyDescent="0.25">
      <c r="A192" s="17">
        <v>8</v>
      </c>
      <c r="B192" s="18"/>
      <c r="C192" s="50" t="s">
        <v>1210</v>
      </c>
      <c r="D192" s="20" t="s">
        <v>1211</v>
      </c>
      <c r="E192" s="52" t="s">
        <v>56</v>
      </c>
      <c r="F192" s="58" t="s">
        <v>41</v>
      </c>
      <c r="G192" s="23" t="s">
        <v>57</v>
      </c>
      <c r="H192" s="22" t="s">
        <v>58</v>
      </c>
      <c r="I192" s="22" t="s">
        <v>44</v>
      </c>
      <c r="J192" s="22" t="s">
        <v>1212</v>
      </c>
      <c r="K192" s="24">
        <v>45505</v>
      </c>
      <c r="L192" s="53" t="s">
        <v>1213</v>
      </c>
      <c r="M192" s="26">
        <v>42969</v>
      </c>
      <c r="N192" s="26">
        <v>44734</v>
      </c>
      <c r="O192" s="27" t="s">
        <v>1214</v>
      </c>
      <c r="P192" s="53" t="s">
        <v>1215</v>
      </c>
      <c r="Q192" s="26">
        <v>43129</v>
      </c>
      <c r="R192" s="26">
        <v>44734</v>
      </c>
      <c r="S192" s="23" t="s">
        <v>1216</v>
      </c>
      <c r="T192" s="23"/>
      <c r="U192" s="23"/>
      <c r="V192" s="23"/>
      <c r="W192" s="30">
        <v>36220</v>
      </c>
      <c r="X192" s="30">
        <v>36220</v>
      </c>
      <c r="Y192" s="30">
        <v>43887</v>
      </c>
      <c r="Z192" s="55" t="str">
        <f t="shared" ca="1" si="14"/>
        <v>26 Tahun 7 Bulan 30 Hari</v>
      </c>
      <c r="AA192" s="55" t="s">
        <v>76</v>
      </c>
      <c r="AB192" s="56">
        <v>26837</v>
      </c>
      <c r="AC192" s="31" t="s">
        <v>1217</v>
      </c>
      <c r="AD192" s="57" t="str">
        <f t="shared" ca="1" si="15"/>
        <v xml:space="preserve">52 Tahun 4 Bulan </v>
      </c>
      <c r="AE192" s="33" t="s">
        <v>1106</v>
      </c>
      <c r="AF192" s="71"/>
      <c r="AG192" s="22" t="s">
        <v>1145</v>
      </c>
      <c r="AH192" s="58"/>
      <c r="AI192" s="58"/>
      <c r="AJ192" s="58"/>
      <c r="AK192" s="33"/>
      <c r="AL192" s="36"/>
    </row>
    <row r="193" spans="1:39" ht="14.45" customHeight="1" x14ac:dyDescent="0.25">
      <c r="A193" s="17">
        <v>9</v>
      </c>
      <c r="B193" s="76"/>
      <c r="C193" s="50" t="s">
        <v>1218</v>
      </c>
      <c r="D193" s="20" t="s">
        <v>1219</v>
      </c>
      <c r="E193" s="52" t="s">
        <v>40</v>
      </c>
      <c r="F193" s="58" t="s">
        <v>41</v>
      </c>
      <c r="G193" s="23" t="s">
        <v>137</v>
      </c>
      <c r="H193" s="22" t="s">
        <v>138</v>
      </c>
      <c r="I193" s="60" t="s">
        <v>44</v>
      </c>
      <c r="J193" s="60" t="s">
        <v>1166</v>
      </c>
      <c r="K193" s="24">
        <v>44835</v>
      </c>
      <c r="L193" s="53" t="s">
        <v>1220</v>
      </c>
      <c r="M193" s="26">
        <v>43117</v>
      </c>
      <c r="N193" s="26">
        <v>45120</v>
      </c>
      <c r="O193" s="27" t="s">
        <v>148</v>
      </c>
      <c r="P193" s="53" t="s">
        <v>1221</v>
      </c>
      <c r="Q193" s="26">
        <v>43071</v>
      </c>
      <c r="R193" s="26">
        <v>43281</v>
      </c>
      <c r="S193" s="23" t="s">
        <v>1167</v>
      </c>
      <c r="T193" s="23"/>
      <c r="U193" s="23"/>
      <c r="V193" s="23"/>
      <c r="W193" s="30">
        <v>36220</v>
      </c>
      <c r="X193" s="30">
        <v>36220</v>
      </c>
      <c r="Y193" s="22"/>
      <c r="Z193" s="55" t="str">
        <f t="shared" ca="1" si="14"/>
        <v>26 Tahun 7 Bulan 30 Hari</v>
      </c>
      <c r="AA193" s="55" t="s">
        <v>76</v>
      </c>
      <c r="AB193" s="56">
        <v>27635</v>
      </c>
      <c r="AC193" s="31" t="s">
        <v>1222</v>
      </c>
      <c r="AD193" s="57" t="str">
        <f t="shared" ca="1" si="15"/>
        <v xml:space="preserve">50 Tahun 2 Bulan </v>
      </c>
      <c r="AE193" s="33" t="s">
        <v>1106</v>
      </c>
      <c r="AF193" s="71"/>
      <c r="AG193" s="22" t="s">
        <v>1145</v>
      </c>
      <c r="AH193" s="22"/>
      <c r="AI193" s="22"/>
      <c r="AJ193" s="22"/>
      <c r="AK193" s="33"/>
      <c r="AL193" s="22"/>
    </row>
    <row r="194" spans="1:39" ht="14.45" customHeight="1" x14ac:dyDescent="0.25">
      <c r="A194" s="17">
        <v>10</v>
      </c>
      <c r="B194" s="18"/>
      <c r="C194" s="50" t="s">
        <v>1223</v>
      </c>
      <c r="D194" s="20" t="s">
        <v>1224</v>
      </c>
      <c r="E194" s="52" t="s">
        <v>56</v>
      </c>
      <c r="F194" s="87" t="s">
        <v>41</v>
      </c>
      <c r="G194" s="23" t="s">
        <v>137</v>
      </c>
      <c r="H194" s="22" t="s">
        <v>138</v>
      </c>
      <c r="I194" s="22" t="s">
        <v>44</v>
      </c>
      <c r="J194" s="22" t="s">
        <v>1166</v>
      </c>
      <c r="K194" s="24">
        <v>45017</v>
      </c>
      <c r="L194" s="53" t="s">
        <v>1225</v>
      </c>
      <c r="M194" s="26">
        <v>43117</v>
      </c>
      <c r="N194" s="26">
        <v>45275</v>
      </c>
      <c r="O194" s="27" t="s">
        <v>148</v>
      </c>
      <c r="P194" s="53" t="s">
        <v>1226</v>
      </c>
      <c r="Q194" s="26">
        <v>43256</v>
      </c>
      <c r="R194" s="29">
        <v>44199</v>
      </c>
      <c r="S194" s="23" t="s">
        <v>1172</v>
      </c>
      <c r="T194" s="23"/>
      <c r="U194" s="23"/>
      <c r="V194" s="23"/>
      <c r="W194" s="30">
        <v>36586</v>
      </c>
      <c r="X194" s="30">
        <v>36586</v>
      </c>
      <c r="Y194" s="30">
        <v>42740</v>
      </c>
      <c r="Z194" s="55" t="str">
        <f t="shared" ca="1" si="14"/>
        <v>25 Tahun 7 Bulan 30 Hari</v>
      </c>
      <c r="AA194" s="55" t="s">
        <v>128</v>
      </c>
      <c r="AB194" s="56">
        <v>29223</v>
      </c>
      <c r="AC194" s="32" t="s">
        <v>1227</v>
      </c>
      <c r="AD194" s="57" t="str">
        <f t="shared" ca="1" si="15"/>
        <v xml:space="preserve">45 Tahun 9 Bulan </v>
      </c>
      <c r="AE194" s="33" t="s">
        <v>1106</v>
      </c>
      <c r="AF194" s="71"/>
      <c r="AG194" s="22" t="s">
        <v>1145</v>
      </c>
      <c r="AH194" s="22"/>
      <c r="AI194" s="22"/>
      <c r="AJ194" s="22"/>
      <c r="AK194" s="33"/>
      <c r="AL194" s="36"/>
    </row>
    <row r="195" spans="1:39" ht="14.45" customHeight="1" x14ac:dyDescent="0.25">
      <c r="A195" s="17">
        <v>11</v>
      </c>
      <c r="B195" s="18"/>
      <c r="C195" s="50" t="s">
        <v>1229</v>
      </c>
      <c r="D195" s="20" t="s">
        <v>1230</v>
      </c>
      <c r="E195" s="52" t="s">
        <v>56</v>
      </c>
      <c r="F195" s="22" t="s">
        <v>41</v>
      </c>
      <c r="G195" s="23" t="s">
        <v>137</v>
      </c>
      <c r="H195" s="22" t="s">
        <v>138</v>
      </c>
      <c r="I195" s="22" t="s">
        <v>44</v>
      </c>
      <c r="J195" s="22" t="s">
        <v>1187</v>
      </c>
      <c r="K195" s="24">
        <v>43252</v>
      </c>
      <c r="L195" s="25" t="s">
        <v>1231</v>
      </c>
      <c r="M195" s="26">
        <v>41162</v>
      </c>
      <c r="N195" s="26">
        <v>42834</v>
      </c>
      <c r="O195" s="27" t="s">
        <v>1232</v>
      </c>
      <c r="P195" s="28" t="s">
        <v>1206</v>
      </c>
      <c r="Q195" s="29"/>
      <c r="R195" s="26"/>
      <c r="S195" s="23" t="s">
        <v>1233</v>
      </c>
      <c r="T195" s="23"/>
      <c r="U195" s="23"/>
      <c r="V195" s="89"/>
      <c r="W195" s="30">
        <v>37226</v>
      </c>
      <c r="X195" s="30">
        <v>37226</v>
      </c>
      <c r="Y195" s="22"/>
      <c r="Z195" s="55" t="str">
        <f t="shared" ca="1" si="14"/>
        <v>23 Tahun 10 Bulan 30 Hari</v>
      </c>
      <c r="AA195" s="55" t="s">
        <v>76</v>
      </c>
      <c r="AB195" s="56">
        <v>29320</v>
      </c>
      <c r="AC195" s="31" t="s">
        <v>1234</v>
      </c>
      <c r="AD195" s="57" t="str">
        <f t="shared" ca="1" si="15"/>
        <v xml:space="preserve">45 Tahun 6 Bulan </v>
      </c>
      <c r="AE195" s="33" t="s">
        <v>1106</v>
      </c>
      <c r="AF195" s="34"/>
      <c r="AG195" s="22" t="s">
        <v>1145</v>
      </c>
      <c r="AH195" s="58"/>
      <c r="AI195" s="58"/>
      <c r="AJ195" s="87"/>
      <c r="AK195" s="61"/>
      <c r="AL195" s="36"/>
    </row>
    <row r="196" spans="1:39" ht="14.45" customHeight="1" x14ac:dyDescent="0.25">
      <c r="A196" s="17">
        <v>12</v>
      </c>
      <c r="B196" s="18"/>
      <c r="C196" s="50" t="s">
        <v>1235</v>
      </c>
      <c r="D196" s="20" t="s">
        <v>1236</v>
      </c>
      <c r="E196" s="52" t="s">
        <v>56</v>
      </c>
      <c r="F196" s="58" t="s">
        <v>41</v>
      </c>
      <c r="G196" s="23" t="s">
        <v>137</v>
      </c>
      <c r="H196" s="22" t="s">
        <v>138</v>
      </c>
      <c r="I196" s="22" t="s">
        <v>44</v>
      </c>
      <c r="J196" s="22" t="s">
        <v>1166</v>
      </c>
      <c r="K196" s="24">
        <v>45017</v>
      </c>
      <c r="L196" s="25" t="s">
        <v>1237</v>
      </c>
      <c r="M196" s="26">
        <v>41823</v>
      </c>
      <c r="N196" s="26">
        <v>43599</v>
      </c>
      <c r="O196" s="27" t="s">
        <v>1238</v>
      </c>
      <c r="P196" s="28" t="s">
        <v>1239</v>
      </c>
      <c r="Q196" s="29">
        <v>43154</v>
      </c>
      <c r="R196" s="26">
        <v>43599</v>
      </c>
      <c r="S196" s="33" t="s">
        <v>1172</v>
      </c>
      <c r="T196" s="33"/>
      <c r="U196" s="33"/>
      <c r="V196" s="33"/>
      <c r="W196" s="30">
        <v>37956</v>
      </c>
      <c r="X196" s="30">
        <v>41153</v>
      </c>
      <c r="Y196" s="30"/>
      <c r="Z196" s="55" t="str">
        <f t="shared" ca="1" si="14"/>
        <v>21 Tahun 10 Bulan 30 Hari</v>
      </c>
      <c r="AA196" s="66" t="s">
        <v>76</v>
      </c>
      <c r="AB196" s="75">
        <v>29720</v>
      </c>
      <c r="AC196" s="31" t="s">
        <v>1240</v>
      </c>
      <c r="AD196" s="57" t="str">
        <f t="shared" ca="1" si="15"/>
        <v xml:space="preserve">44 Tahun 5 Bulan </v>
      </c>
      <c r="AE196" s="33" t="s">
        <v>1106</v>
      </c>
      <c r="AF196" s="71"/>
      <c r="AG196" s="22" t="s">
        <v>1145</v>
      </c>
      <c r="AH196" s="58"/>
      <c r="AI196" s="58"/>
      <c r="AJ196" s="87"/>
      <c r="AK196" s="61"/>
      <c r="AL196" s="36"/>
      <c r="AM196" s="14"/>
    </row>
    <row r="197" spans="1:39" ht="14.45" customHeight="1" x14ac:dyDescent="0.25">
      <c r="A197" s="17">
        <v>13</v>
      </c>
      <c r="B197" s="18"/>
      <c r="C197" s="50" t="s">
        <v>1241</v>
      </c>
      <c r="D197" s="20" t="s">
        <v>1242</v>
      </c>
      <c r="E197" s="52" t="s">
        <v>56</v>
      </c>
      <c r="F197" s="22" t="s">
        <v>41</v>
      </c>
      <c r="G197" s="23" t="s">
        <v>137</v>
      </c>
      <c r="H197" s="22" t="s">
        <v>138</v>
      </c>
      <c r="I197" s="22" t="s">
        <v>44</v>
      </c>
      <c r="J197" s="22" t="s">
        <v>1243</v>
      </c>
      <c r="K197" s="24">
        <v>45870</v>
      </c>
      <c r="L197" s="53" t="s">
        <v>1244</v>
      </c>
      <c r="M197" s="26">
        <v>42619</v>
      </c>
      <c r="N197" s="26">
        <v>44409</v>
      </c>
      <c r="O197" s="27" t="s">
        <v>1232</v>
      </c>
      <c r="P197" s="28" t="s">
        <v>1245</v>
      </c>
      <c r="Q197" s="29">
        <v>43202</v>
      </c>
      <c r="R197" s="26">
        <v>44204</v>
      </c>
      <c r="S197" s="23" t="s">
        <v>1246</v>
      </c>
      <c r="T197" s="23"/>
      <c r="U197" s="23"/>
      <c r="V197" s="23"/>
      <c r="W197" s="30">
        <v>40148</v>
      </c>
      <c r="X197" s="30">
        <v>40238</v>
      </c>
      <c r="Y197" s="30">
        <v>42339</v>
      </c>
      <c r="Z197" s="55" t="str">
        <f t="shared" ca="1" si="14"/>
        <v>15 Tahun 10 Bulan 30 Hari</v>
      </c>
      <c r="AA197" s="55" t="s">
        <v>437</v>
      </c>
      <c r="AB197" s="56">
        <v>29799</v>
      </c>
      <c r="AC197" s="31" t="s">
        <v>1247</v>
      </c>
      <c r="AD197" s="57" t="str">
        <f t="shared" ca="1" si="15"/>
        <v xml:space="preserve">44 Tahun 2 Bulan </v>
      </c>
      <c r="AE197" s="33" t="s">
        <v>1106</v>
      </c>
      <c r="AF197" s="71"/>
      <c r="AG197" s="22" t="s">
        <v>1145</v>
      </c>
      <c r="AH197" s="58"/>
      <c r="AI197" s="58"/>
      <c r="AJ197" s="58"/>
      <c r="AK197" s="33"/>
      <c r="AL197" s="36"/>
    </row>
    <row r="198" spans="1:39" ht="14.45" customHeight="1" x14ac:dyDescent="0.25">
      <c r="A198" s="17">
        <v>14</v>
      </c>
      <c r="B198" s="18"/>
      <c r="C198" s="50" t="s">
        <v>1248</v>
      </c>
      <c r="D198" s="137" t="s">
        <v>1249</v>
      </c>
      <c r="E198" s="52" t="s">
        <v>56</v>
      </c>
      <c r="F198" s="22" t="s">
        <v>41</v>
      </c>
      <c r="G198" s="23" t="s">
        <v>102</v>
      </c>
      <c r="H198" s="22" t="s">
        <v>103</v>
      </c>
      <c r="I198" s="22" t="s">
        <v>44</v>
      </c>
      <c r="J198" s="22" t="s">
        <v>1166</v>
      </c>
      <c r="K198" s="24">
        <v>45566</v>
      </c>
      <c r="L198" s="25" t="s">
        <v>1250</v>
      </c>
      <c r="M198" s="26">
        <v>43203</v>
      </c>
      <c r="N198" s="26">
        <v>45036</v>
      </c>
      <c r="O198" s="27" t="s">
        <v>148</v>
      </c>
      <c r="P198" s="53" t="s">
        <v>1251</v>
      </c>
      <c r="Q198" s="26">
        <v>43367</v>
      </c>
      <c r="R198" s="26">
        <v>45036</v>
      </c>
      <c r="S198" s="33" t="s">
        <v>84</v>
      </c>
      <c r="T198" s="33"/>
      <c r="U198" s="33"/>
      <c r="V198" s="33"/>
      <c r="W198" s="95">
        <v>41244</v>
      </c>
      <c r="X198" s="22"/>
      <c r="Y198" s="30">
        <v>41352</v>
      </c>
      <c r="Z198" s="55" t="str">
        <f t="shared" ca="1" si="14"/>
        <v>12 Tahun 10 Bulan 30 Hari</v>
      </c>
      <c r="AA198" s="55" t="s">
        <v>76</v>
      </c>
      <c r="AB198" s="56">
        <v>30426</v>
      </c>
      <c r="AC198" s="31" t="s">
        <v>1252</v>
      </c>
      <c r="AD198" s="57" t="str">
        <f t="shared" ca="1" si="15"/>
        <v xml:space="preserve">42 Tahun 6 Bulan </v>
      </c>
      <c r="AE198" s="33" t="s">
        <v>1106</v>
      </c>
      <c r="AF198" s="71"/>
      <c r="AG198" s="22" t="s">
        <v>1145</v>
      </c>
      <c r="AH198" s="58" t="s">
        <v>1228</v>
      </c>
      <c r="AI198" s="58">
        <v>6</v>
      </c>
      <c r="AJ198" s="87"/>
      <c r="AK198" s="61"/>
      <c r="AL198" s="36"/>
    </row>
    <row r="199" spans="1:39" ht="14.45" customHeight="1" x14ac:dyDescent="0.25">
      <c r="A199" s="17">
        <v>15</v>
      </c>
      <c r="B199" s="78"/>
      <c r="C199" s="50" t="s">
        <v>1253</v>
      </c>
      <c r="D199" s="20" t="s">
        <v>1254</v>
      </c>
      <c r="E199" s="52" t="s">
        <v>56</v>
      </c>
      <c r="F199" s="58" t="s">
        <v>41</v>
      </c>
      <c r="G199" s="23" t="s">
        <v>137</v>
      </c>
      <c r="H199" s="22" t="s">
        <v>138</v>
      </c>
      <c r="I199" s="22" t="s">
        <v>44</v>
      </c>
      <c r="J199" s="22" t="s">
        <v>1148</v>
      </c>
      <c r="K199" s="24">
        <v>45017</v>
      </c>
      <c r="L199" s="53" t="s">
        <v>1255</v>
      </c>
      <c r="M199" s="26">
        <v>42241</v>
      </c>
      <c r="N199" s="26">
        <v>43978</v>
      </c>
      <c r="O199" s="27" t="s">
        <v>148</v>
      </c>
      <c r="P199" s="53" t="s">
        <v>1256</v>
      </c>
      <c r="Q199" s="26">
        <v>43096</v>
      </c>
      <c r="R199" s="26">
        <v>43978</v>
      </c>
      <c r="S199" s="23" t="s">
        <v>84</v>
      </c>
      <c r="T199" s="23"/>
      <c r="U199" s="23"/>
      <c r="V199" s="23"/>
      <c r="W199" s="30">
        <v>39448</v>
      </c>
      <c r="X199" s="30">
        <v>39448</v>
      </c>
      <c r="Y199" s="30">
        <v>43887</v>
      </c>
      <c r="Z199" s="55" t="str">
        <f t="shared" ca="1" si="14"/>
        <v>17 Tahun 9 Bulan 30 Hari</v>
      </c>
      <c r="AA199" s="55" t="s">
        <v>128</v>
      </c>
      <c r="AB199" s="56">
        <v>31559</v>
      </c>
      <c r="AC199" s="31" t="s">
        <v>1257</v>
      </c>
      <c r="AD199" s="57" t="str">
        <f t="shared" ca="1" si="15"/>
        <v xml:space="preserve">39 Tahun 5 Bulan </v>
      </c>
      <c r="AE199" s="33" t="s">
        <v>1158</v>
      </c>
      <c r="AF199" s="34"/>
      <c r="AG199" s="22" t="s">
        <v>1145</v>
      </c>
      <c r="AH199" s="22"/>
      <c r="AI199" s="22"/>
      <c r="AJ199" s="22"/>
      <c r="AK199" s="33"/>
      <c r="AL199" s="36"/>
    </row>
    <row r="200" spans="1:39" ht="14.45" customHeight="1" x14ac:dyDescent="0.25">
      <c r="A200" s="17">
        <v>16</v>
      </c>
      <c r="B200" s="134">
        <v>1396</v>
      </c>
      <c r="C200" s="50" t="s">
        <v>5735</v>
      </c>
      <c r="D200" s="20" t="s">
        <v>1258</v>
      </c>
      <c r="E200" s="58" t="s">
        <v>40</v>
      </c>
      <c r="F200" s="58" t="s">
        <v>41</v>
      </c>
      <c r="G200" s="89" t="s">
        <v>227</v>
      </c>
      <c r="H200" s="22" t="s">
        <v>228</v>
      </c>
      <c r="I200" s="22" t="s">
        <v>44</v>
      </c>
      <c r="J200" s="22" t="s">
        <v>1148</v>
      </c>
      <c r="K200" s="24">
        <v>45505</v>
      </c>
      <c r="L200" s="25"/>
      <c r="M200" s="26"/>
      <c r="N200" s="26"/>
      <c r="O200" s="27"/>
      <c r="P200" s="28"/>
      <c r="Q200" s="29"/>
      <c r="R200" s="26"/>
      <c r="S200" s="23" t="s">
        <v>84</v>
      </c>
      <c r="T200" s="23"/>
      <c r="U200" s="23"/>
      <c r="V200" s="23"/>
      <c r="W200" s="30">
        <v>44166</v>
      </c>
      <c r="X200" s="30">
        <v>44197</v>
      </c>
      <c r="Y200" s="30">
        <v>44197</v>
      </c>
      <c r="Z200" s="55" t="str">
        <f ca="1">DATEDIF(X200,TODAY(),"y")&amp;" Tahun "&amp;DATEDIF(X200,TODAY(),"ym")&amp;" Bulan "&amp;DATEDIF(X200,TODAY(),"md")&amp;" Hari"</f>
        <v>4 Tahun 9 Bulan 30 Hari</v>
      </c>
      <c r="AA200" s="55" t="s">
        <v>563</v>
      </c>
      <c r="AB200" s="56">
        <v>33892</v>
      </c>
      <c r="AC200" s="32" t="s">
        <v>1259</v>
      </c>
      <c r="AD200" s="57" t="str">
        <f t="shared" ca="1" si="15"/>
        <v xml:space="preserve">33 Tahun 0 Bulan </v>
      </c>
      <c r="AE200" s="33" t="s">
        <v>1106</v>
      </c>
      <c r="AF200" s="71" t="s">
        <v>1260</v>
      </c>
      <c r="AG200" s="22" t="s">
        <v>1145</v>
      </c>
      <c r="AH200" s="58"/>
      <c r="AI200" s="58"/>
      <c r="AJ200" s="87"/>
      <c r="AK200" s="61"/>
      <c r="AL200" s="36"/>
    </row>
    <row r="201" spans="1:39" ht="14.45" customHeight="1" x14ac:dyDescent="0.25">
      <c r="A201" s="17">
        <v>17</v>
      </c>
      <c r="B201" s="134">
        <v>1380</v>
      </c>
      <c r="C201" s="50" t="s">
        <v>5736</v>
      </c>
      <c r="D201" s="20" t="s">
        <v>1261</v>
      </c>
      <c r="E201" s="58" t="s">
        <v>56</v>
      </c>
      <c r="F201" s="22" t="s">
        <v>41</v>
      </c>
      <c r="G201" s="89" t="s">
        <v>227</v>
      </c>
      <c r="H201" s="22" t="s">
        <v>228</v>
      </c>
      <c r="I201" s="22" t="s">
        <v>44</v>
      </c>
      <c r="J201" s="22" t="s">
        <v>1104</v>
      </c>
      <c r="K201" s="24">
        <v>45200</v>
      </c>
      <c r="L201" s="25"/>
      <c r="M201" s="26"/>
      <c r="N201" s="26"/>
      <c r="O201" s="27"/>
      <c r="P201" s="28"/>
      <c r="Q201" s="29"/>
      <c r="R201" s="26"/>
      <c r="S201" s="23" t="s">
        <v>84</v>
      </c>
      <c r="T201" s="23"/>
      <c r="U201" s="23"/>
      <c r="V201" s="23"/>
      <c r="W201" s="30">
        <v>44166</v>
      </c>
      <c r="X201" s="30">
        <v>44197</v>
      </c>
      <c r="Y201" s="30">
        <v>44197</v>
      </c>
      <c r="Z201" s="31" t="str">
        <f ca="1">DATEDIF(X201,TODAY(),"y")&amp;" Tahun "&amp;DATEDIF(X201,TODAY(),"ym")&amp;" Bulan "&amp;DATEDIF(X201,TODAY(),"md")&amp;" Hari"</f>
        <v>4 Tahun 9 Bulan 30 Hari</v>
      </c>
      <c r="AA201" s="31" t="s">
        <v>76</v>
      </c>
      <c r="AB201" s="32">
        <v>34821</v>
      </c>
      <c r="AC201" s="32" t="s">
        <v>1262</v>
      </c>
      <c r="AD201" s="57" t="str">
        <f t="shared" ca="1" si="15"/>
        <v xml:space="preserve">30 Tahun 5 Bulan </v>
      </c>
      <c r="AE201" s="33" t="s">
        <v>1106</v>
      </c>
      <c r="AF201" s="71"/>
      <c r="AG201" s="22" t="s">
        <v>1145</v>
      </c>
      <c r="AH201" s="22"/>
      <c r="AI201" s="22"/>
      <c r="AJ201" s="60"/>
      <c r="AK201" s="61"/>
      <c r="AL201" s="36"/>
    </row>
    <row r="202" spans="1:39" ht="14.45" customHeight="1" x14ac:dyDescent="0.25">
      <c r="A202" s="17">
        <v>18</v>
      </c>
      <c r="B202" s="134">
        <v>1379</v>
      </c>
      <c r="C202" s="50" t="s">
        <v>5737</v>
      </c>
      <c r="D202" s="20" t="s">
        <v>1263</v>
      </c>
      <c r="E202" s="58" t="s">
        <v>56</v>
      </c>
      <c r="F202" s="58" t="s">
        <v>41</v>
      </c>
      <c r="G202" s="89" t="s">
        <v>227</v>
      </c>
      <c r="H202" s="22" t="s">
        <v>228</v>
      </c>
      <c r="I202" s="22" t="s">
        <v>44</v>
      </c>
      <c r="J202" s="22" t="s">
        <v>1148</v>
      </c>
      <c r="K202" s="24">
        <v>45505</v>
      </c>
      <c r="L202" s="25"/>
      <c r="M202" s="26"/>
      <c r="N202" s="26"/>
      <c r="O202" s="27"/>
      <c r="P202" s="28"/>
      <c r="Q202" s="29"/>
      <c r="R202" s="26"/>
      <c r="S202" s="23" t="s">
        <v>84</v>
      </c>
      <c r="T202" s="23"/>
      <c r="U202" s="23"/>
      <c r="V202" s="23"/>
      <c r="W202" s="30">
        <v>44166</v>
      </c>
      <c r="X202" s="30">
        <v>44197</v>
      </c>
      <c r="Y202" s="30">
        <v>44197</v>
      </c>
      <c r="Z202" s="55" t="str">
        <f ca="1">DATEDIF(X202,TODAY(),"y")&amp;" Tahun "&amp;DATEDIF(X202,TODAY(),"ym")&amp;" Bulan "&amp;DATEDIF(X202,TODAY(),"md")&amp;" Hari"</f>
        <v>4 Tahun 9 Bulan 30 Hari</v>
      </c>
      <c r="AA202" s="66" t="s">
        <v>563</v>
      </c>
      <c r="AB202" s="56">
        <v>33130</v>
      </c>
      <c r="AC202" s="32" t="s">
        <v>1264</v>
      </c>
      <c r="AD202" s="57" t="str">
        <f t="shared" ca="1" si="15"/>
        <v xml:space="preserve">35 Tahun 1 Bulan </v>
      </c>
      <c r="AE202" s="33" t="s">
        <v>1106</v>
      </c>
      <c r="AF202" s="71"/>
      <c r="AG202" s="22" t="s">
        <v>1145</v>
      </c>
      <c r="AH202" s="22"/>
      <c r="AI202" s="22"/>
      <c r="AJ202" s="22"/>
      <c r="AK202" s="34"/>
      <c r="AL202" s="36"/>
    </row>
    <row r="203" spans="1:39" ht="14.45" customHeight="1" x14ac:dyDescent="0.25">
      <c r="A203" s="17">
        <v>19</v>
      </c>
      <c r="B203" s="134"/>
      <c r="C203" s="138" t="s">
        <v>1265</v>
      </c>
      <c r="D203" s="20" t="s">
        <v>1266</v>
      </c>
      <c r="E203" s="52" t="s">
        <v>40</v>
      </c>
      <c r="F203" s="22" t="s">
        <v>41</v>
      </c>
      <c r="G203" s="23" t="s">
        <v>137</v>
      </c>
      <c r="H203" s="22" t="s">
        <v>138</v>
      </c>
      <c r="I203" s="22" t="s">
        <v>44</v>
      </c>
      <c r="J203" s="22" t="s">
        <v>1166</v>
      </c>
      <c r="K203" s="24">
        <v>43191</v>
      </c>
      <c r="L203" s="53" t="s">
        <v>1267</v>
      </c>
      <c r="M203" s="26">
        <v>43117</v>
      </c>
      <c r="N203" s="26">
        <v>45274</v>
      </c>
      <c r="O203" s="27" t="s">
        <v>148</v>
      </c>
      <c r="P203" s="53" t="s">
        <v>1268</v>
      </c>
      <c r="Q203" s="26">
        <v>43096</v>
      </c>
      <c r="R203" s="26">
        <v>43277</v>
      </c>
      <c r="S203" s="23" t="s">
        <v>1167</v>
      </c>
      <c r="T203" s="23"/>
      <c r="U203" s="23"/>
      <c r="V203" s="23"/>
      <c r="W203" s="30">
        <v>33664</v>
      </c>
      <c r="X203" s="30">
        <v>33664</v>
      </c>
      <c r="Y203" s="30">
        <v>43887</v>
      </c>
      <c r="Z203" s="55" t="str">
        <f ca="1">DATEDIF(W203,TODAY(),"y")&amp;" Tahun "&amp;DATEDIF(W203,TODAY(),"ym")&amp;" Bulan "&amp;DATEDIF(W203,TODAY(),"md")&amp;" Hari"</f>
        <v>33 Tahun 7 Bulan 30 Hari</v>
      </c>
      <c r="AA203" s="55" t="s">
        <v>697</v>
      </c>
      <c r="AB203" s="56">
        <v>26281</v>
      </c>
      <c r="AC203" s="31" t="s">
        <v>1269</v>
      </c>
      <c r="AD203" s="57" t="str">
        <f t="shared" ca="1" si="15"/>
        <v xml:space="preserve">53 Tahun 10 Bulan </v>
      </c>
      <c r="AE203" s="33" t="s">
        <v>1106</v>
      </c>
      <c r="AF203" s="34"/>
      <c r="AG203" s="22" t="s">
        <v>1145</v>
      </c>
      <c r="AH203" s="22"/>
      <c r="AI203" s="22"/>
      <c r="AJ203" s="22"/>
      <c r="AK203" s="33"/>
      <c r="AL203" s="36"/>
      <c r="AM203" s="14"/>
    </row>
    <row r="204" spans="1:39" ht="13.5" customHeight="1" x14ac:dyDescent="0.25">
      <c r="A204" s="17">
        <v>20</v>
      </c>
      <c r="B204" s="78"/>
      <c r="C204" s="50" t="s">
        <v>6158</v>
      </c>
      <c r="D204" s="137" t="s">
        <v>1270</v>
      </c>
      <c r="E204" s="21" t="s">
        <v>56</v>
      </c>
      <c r="F204" s="22" t="s">
        <v>41</v>
      </c>
      <c r="G204" s="23" t="s">
        <v>102</v>
      </c>
      <c r="H204" s="22" t="s">
        <v>103</v>
      </c>
      <c r="I204" s="22" t="s">
        <v>44</v>
      </c>
      <c r="J204" s="22" t="s">
        <v>1166</v>
      </c>
      <c r="K204" s="24">
        <v>45566</v>
      </c>
      <c r="L204" s="53" t="s">
        <v>1271</v>
      </c>
      <c r="M204" s="26">
        <v>46797</v>
      </c>
      <c r="N204" s="26">
        <v>45059</v>
      </c>
      <c r="O204" s="27" t="s">
        <v>148</v>
      </c>
      <c r="P204" s="53" t="s">
        <v>1272</v>
      </c>
      <c r="Q204" s="26">
        <v>43242</v>
      </c>
      <c r="R204" s="26">
        <v>45059</v>
      </c>
      <c r="S204" s="33" t="s">
        <v>1172</v>
      </c>
      <c r="T204" s="33"/>
      <c r="U204" s="33"/>
      <c r="V204" s="33"/>
      <c r="W204" s="95">
        <v>41244</v>
      </c>
      <c r="X204" s="22"/>
      <c r="Y204" s="22"/>
      <c r="Z204" s="31" t="str">
        <f ca="1">DATEDIF(W204,TODAY(),"y")&amp;" Tahun "&amp;DATEDIF(W204,TODAY(),"ym")&amp;" Bulan "&amp;DATEDIF(W204,TODAY(),"md")&amp;" Hari"</f>
        <v>12 Tahun 10 Bulan 30 Hari</v>
      </c>
      <c r="AA204" s="31" t="s">
        <v>1273</v>
      </c>
      <c r="AB204" s="32">
        <v>32276</v>
      </c>
      <c r="AC204" s="31" t="s">
        <v>1274</v>
      </c>
      <c r="AD204" s="22" t="str">
        <f t="shared" ca="1" si="15"/>
        <v xml:space="preserve">37 Tahun 5 Bulan </v>
      </c>
      <c r="AE204" s="33" t="s">
        <v>1106</v>
      </c>
      <c r="AF204" s="34"/>
      <c r="AG204" s="22" t="s">
        <v>1145</v>
      </c>
      <c r="AH204" s="58"/>
      <c r="AI204" s="58"/>
      <c r="AJ204" s="58"/>
      <c r="AK204" s="33" t="s">
        <v>676</v>
      </c>
      <c r="AL204" s="36"/>
    </row>
    <row r="205" spans="1:39" ht="14.45" customHeight="1" x14ac:dyDescent="0.25">
      <c r="A205" s="17">
        <v>21</v>
      </c>
      <c r="B205" s="78"/>
      <c r="C205" s="50" t="s">
        <v>1275</v>
      </c>
      <c r="D205" s="20" t="s">
        <v>1276</v>
      </c>
      <c r="E205" s="52" t="s">
        <v>56</v>
      </c>
      <c r="F205" s="22" t="s">
        <v>41</v>
      </c>
      <c r="G205" s="23" t="s">
        <v>137</v>
      </c>
      <c r="H205" s="22" t="s">
        <v>138</v>
      </c>
      <c r="I205" s="22" t="s">
        <v>44</v>
      </c>
      <c r="J205" s="22" t="s">
        <v>1166</v>
      </c>
      <c r="K205" s="24">
        <v>45200</v>
      </c>
      <c r="L205" s="53" t="s">
        <v>1277</v>
      </c>
      <c r="M205" s="26">
        <v>43117</v>
      </c>
      <c r="N205" s="26">
        <v>45077</v>
      </c>
      <c r="O205" s="27" t="s">
        <v>148</v>
      </c>
      <c r="P205" s="53" t="s">
        <v>1278</v>
      </c>
      <c r="Q205" s="26">
        <v>43305</v>
      </c>
      <c r="R205" s="29">
        <v>45077</v>
      </c>
      <c r="S205" s="33" t="s">
        <v>1172</v>
      </c>
      <c r="T205" s="33"/>
      <c r="U205" s="33"/>
      <c r="V205" s="33"/>
      <c r="W205" s="30">
        <v>39783</v>
      </c>
      <c r="X205" s="30">
        <v>39845</v>
      </c>
      <c r="Y205" s="30">
        <v>41518</v>
      </c>
      <c r="Z205" s="55" t="str">
        <f ca="1">DATEDIF(W205,TODAY(),"y")&amp;" Tahun "&amp;DATEDIF(W205,TODAY(),"ym")&amp;" Bulan "&amp;DATEDIF(W205,TODAY(),"md")&amp;" Hari"</f>
        <v>16 Tahun 10 Bulan 30 Hari</v>
      </c>
      <c r="AA205" s="66" t="s">
        <v>1279</v>
      </c>
      <c r="AB205" s="56">
        <v>31563</v>
      </c>
      <c r="AC205" s="31" t="s">
        <v>1280</v>
      </c>
      <c r="AD205" s="57" t="str">
        <f t="shared" ca="1" si="15"/>
        <v xml:space="preserve">39 Tahun 5 Bulan </v>
      </c>
      <c r="AE205" s="33" t="s">
        <v>1106</v>
      </c>
      <c r="AF205" s="71"/>
      <c r="AG205" s="22" t="s">
        <v>1145</v>
      </c>
      <c r="AH205" s="58"/>
      <c r="AI205" s="58"/>
      <c r="AJ205" s="58"/>
      <c r="AK205" s="33" t="s">
        <v>676</v>
      </c>
      <c r="AL205" s="36"/>
    </row>
    <row r="206" spans="1:39" ht="14.45" customHeight="1" x14ac:dyDescent="0.25">
      <c r="A206" s="17">
        <v>22</v>
      </c>
      <c r="B206" s="78"/>
      <c r="C206" s="50" t="s">
        <v>1281</v>
      </c>
      <c r="D206" s="20" t="s">
        <v>1282</v>
      </c>
      <c r="E206" s="21" t="s">
        <v>40</v>
      </c>
      <c r="F206" s="22" t="s">
        <v>41</v>
      </c>
      <c r="G206" s="23" t="s">
        <v>42</v>
      </c>
      <c r="H206" s="22" t="s">
        <v>43</v>
      </c>
      <c r="I206" s="22" t="s">
        <v>44</v>
      </c>
      <c r="J206" s="22" t="s">
        <v>148</v>
      </c>
      <c r="K206" s="24">
        <v>45627</v>
      </c>
      <c r="L206" s="25" t="s">
        <v>1283</v>
      </c>
      <c r="M206" s="26">
        <v>43202</v>
      </c>
      <c r="N206" s="26">
        <v>45114</v>
      </c>
      <c r="O206" s="27" t="s">
        <v>1155</v>
      </c>
      <c r="P206" s="53" t="s">
        <v>1284</v>
      </c>
      <c r="Q206" s="26">
        <v>43057</v>
      </c>
      <c r="R206" s="26">
        <v>43237</v>
      </c>
      <c r="S206" s="23" t="s">
        <v>84</v>
      </c>
      <c r="T206" s="23"/>
      <c r="U206" s="23"/>
      <c r="V206" s="23"/>
      <c r="W206" s="30">
        <v>34394</v>
      </c>
      <c r="X206" s="30">
        <v>34394</v>
      </c>
      <c r="Y206" s="22"/>
      <c r="Z206" s="31" t="str">
        <f ca="1">DATEDIF(W206,TODAY(),"y")&amp;" Tahun "&amp;DATEDIF(W206,TODAY(),"ym")&amp;" Bulan "&amp;DATEDIF(W206,TODAY(),"md")&amp;" Hari"</f>
        <v>31 Tahun 7 Bulan 30 Hari</v>
      </c>
      <c r="AA206" s="31" t="s">
        <v>76</v>
      </c>
      <c r="AB206" s="32">
        <v>27217</v>
      </c>
      <c r="AC206" s="32" t="s">
        <v>1285</v>
      </c>
      <c r="AD206" s="22" t="str">
        <f t="shared" ca="1" si="15"/>
        <v xml:space="preserve">51 Tahun 3 Bulan </v>
      </c>
      <c r="AE206" s="33" t="s">
        <v>1106</v>
      </c>
      <c r="AF206" s="34"/>
      <c r="AG206" s="22" t="s">
        <v>1145</v>
      </c>
      <c r="AH206" s="58"/>
      <c r="AI206" s="58"/>
      <c r="AJ206" s="58"/>
      <c r="AK206" s="33" t="s">
        <v>676</v>
      </c>
      <c r="AL206" s="36"/>
    </row>
    <row r="207" spans="1:39" ht="14.45" customHeight="1" x14ac:dyDescent="0.25">
      <c r="A207" s="17">
        <v>23</v>
      </c>
      <c r="B207" s="78"/>
      <c r="C207" s="50" t="s">
        <v>1286</v>
      </c>
      <c r="D207" s="20" t="s">
        <v>1287</v>
      </c>
      <c r="E207" s="52" t="s">
        <v>56</v>
      </c>
      <c r="F207" s="58" t="s">
        <v>41</v>
      </c>
      <c r="G207" s="23" t="s">
        <v>42</v>
      </c>
      <c r="H207" s="22" t="s">
        <v>43</v>
      </c>
      <c r="I207" s="22" t="s">
        <v>44</v>
      </c>
      <c r="J207" s="22" t="s">
        <v>148</v>
      </c>
      <c r="K207" s="24">
        <v>45505</v>
      </c>
      <c r="L207" s="53" t="s">
        <v>1288</v>
      </c>
      <c r="M207" s="26">
        <v>43117</v>
      </c>
      <c r="N207" s="26">
        <v>45118</v>
      </c>
      <c r="O207" s="27" t="s">
        <v>148</v>
      </c>
      <c r="P207" s="53" t="s">
        <v>1289</v>
      </c>
      <c r="Q207" s="26">
        <v>43242</v>
      </c>
      <c r="R207" s="26">
        <v>45117</v>
      </c>
      <c r="S207" s="23" t="s">
        <v>84</v>
      </c>
      <c r="T207" s="23">
        <v>2021</v>
      </c>
      <c r="U207" s="23"/>
      <c r="V207" s="23"/>
      <c r="W207" s="30">
        <v>35490</v>
      </c>
      <c r="X207" s="30">
        <v>35490</v>
      </c>
      <c r="Y207" s="30">
        <v>37681</v>
      </c>
      <c r="Z207" s="55" t="str">
        <f ca="1">DATEDIF(W207,TODAY(),"y")&amp;" Tahun "&amp;DATEDIF(W207,TODAY(),"ym")&amp;" Bulan "&amp;DATEDIF(W207,TODAY(),"md")&amp;" Hari"</f>
        <v>28 Tahun 7 Bulan 30 Hari</v>
      </c>
      <c r="AA207" s="55" t="s">
        <v>141</v>
      </c>
      <c r="AB207" s="56">
        <v>28317</v>
      </c>
      <c r="AC207" s="32" t="s">
        <v>1290</v>
      </c>
      <c r="AD207" s="57" t="str">
        <f t="shared" ca="1" si="15"/>
        <v xml:space="preserve">48 Tahun 3 Bulan </v>
      </c>
      <c r="AE207" s="33" t="s">
        <v>1106</v>
      </c>
      <c r="AF207" s="71"/>
      <c r="AG207" s="22" t="s">
        <v>1145</v>
      </c>
      <c r="AH207" s="58"/>
      <c r="AI207" s="58"/>
      <c r="AJ207" s="58"/>
      <c r="AK207" s="85"/>
      <c r="AL207" s="36"/>
    </row>
    <row r="208" spans="1:39" ht="14.45" customHeight="1" x14ac:dyDescent="0.25">
      <c r="A208" s="17">
        <v>24</v>
      </c>
      <c r="B208" s="78"/>
      <c r="C208" s="139" t="s">
        <v>1291</v>
      </c>
      <c r="D208" s="20" t="s">
        <v>1292</v>
      </c>
      <c r="E208" s="52" t="s">
        <v>56</v>
      </c>
      <c r="F208" s="22" t="s">
        <v>238</v>
      </c>
      <c r="G208" s="23" t="s">
        <v>3872</v>
      </c>
      <c r="H208" s="22" t="s">
        <v>1078</v>
      </c>
      <c r="I208" s="22" t="s">
        <v>44</v>
      </c>
      <c r="J208" s="22" t="s">
        <v>1293</v>
      </c>
      <c r="K208" s="22"/>
      <c r="L208" s="25" t="s">
        <v>1294</v>
      </c>
      <c r="M208" s="26">
        <v>42926</v>
      </c>
      <c r="N208" s="26">
        <v>44857</v>
      </c>
      <c r="O208" s="27" t="s">
        <v>1155</v>
      </c>
      <c r="P208" s="53" t="s">
        <v>1295</v>
      </c>
      <c r="Q208" s="26">
        <v>43124</v>
      </c>
      <c r="R208" s="29">
        <v>44857</v>
      </c>
      <c r="S208" s="23" t="s">
        <v>1172</v>
      </c>
      <c r="T208" s="23"/>
      <c r="U208" s="23"/>
      <c r="V208" s="23"/>
      <c r="W208" s="77">
        <v>45047</v>
      </c>
      <c r="X208" s="30">
        <v>40330</v>
      </c>
      <c r="Y208" s="30">
        <v>42339</v>
      </c>
      <c r="Z208" s="55" t="str">
        <f ca="1">DATEDIF(X208,TODAY(),"y")&amp;" Tahun "&amp;DATEDIF(X208,TODAY(),"ym")&amp;" Bulan "&amp;DATEDIF(X208,TODAY(),"md")&amp;" Hari"</f>
        <v>15 Tahun 4 Bulan 30 Hari</v>
      </c>
      <c r="AA208" s="55" t="s">
        <v>76</v>
      </c>
      <c r="AB208" s="56">
        <v>30612</v>
      </c>
      <c r="AC208" s="31" t="s">
        <v>1296</v>
      </c>
      <c r="AD208" s="57" t="str">
        <f t="shared" ca="1" si="15"/>
        <v xml:space="preserve">42 Tahun 0 Bulan </v>
      </c>
      <c r="AE208" s="33" t="s">
        <v>1106</v>
      </c>
      <c r="AF208" s="79"/>
      <c r="AG208" s="22" t="s">
        <v>1145</v>
      </c>
      <c r="AH208" s="22"/>
      <c r="AI208" s="22"/>
      <c r="AJ208" s="22"/>
      <c r="AK208" s="34"/>
      <c r="AL208" s="36"/>
    </row>
    <row r="209" spans="1:39" ht="14.45" customHeight="1" x14ac:dyDescent="0.25">
      <c r="A209" s="17">
        <v>25</v>
      </c>
      <c r="B209" s="18"/>
      <c r="C209" s="50" t="s">
        <v>1297</v>
      </c>
      <c r="D209" s="20" t="s">
        <v>1298</v>
      </c>
      <c r="E209" s="52" t="s">
        <v>56</v>
      </c>
      <c r="F209" s="22" t="s">
        <v>238</v>
      </c>
      <c r="G209" s="33" t="s">
        <v>3872</v>
      </c>
      <c r="H209" s="22" t="s">
        <v>1078</v>
      </c>
      <c r="I209" s="22" t="s">
        <v>44</v>
      </c>
      <c r="J209" s="22" t="s">
        <v>1293</v>
      </c>
      <c r="K209" s="30"/>
      <c r="L209" s="53" t="s">
        <v>1299</v>
      </c>
      <c r="M209" s="26">
        <v>43386</v>
      </c>
      <c r="N209" s="26">
        <v>44184</v>
      </c>
      <c r="O209" s="40" t="s">
        <v>148</v>
      </c>
      <c r="P209" s="53" t="s">
        <v>1300</v>
      </c>
      <c r="Q209" s="26">
        <v>42835</v>
      </c>
      <c r="R209" s="26">
        <v>44184</v>
      </c>
      <c r="S209" s="33" t="s">
        <v>1172</v>
      </c>
      <c r="T209" s="33"/>
      <c r="U209" s="33"/>
      <c r="V209" s="33"/>
      <c r="W209" s="30">
        <v>45047</v>
      </c>
      <c r="X209" s="30">
        <v>40651</v>
      </c>
      <c r="Y209" s="30">
        <v>42826</v>
      </c>
      <c r="Z209" s="55" t="str">
        <f ca="1">DATEDIF(X209,TODAY(),"y")&amp;" Tahun "&amp;DATEDIF(X209,TODAY(),"ym")&amp;" Bulan "&amp;DATEDIF(X209,TODAY(),"md")&amp;" Hari"</f>
        <v>14 Tahun 6 Bulan 13 Hari</v>
      </c>
      <c r="AA209" s="66" t="s">
        <v>76</v>
      </c>
      <c r="AB209" s="56">
        <v>33226</v>
      </c>
      <c r="AC209" s="31" t="s">
        <v>1301</v>
      </c>
      <c r="AD209" s="57" t="str">
        <f t="shared" ca="1" si="15"/>
        <v xml:space="preserve">34 Tahun 10 Bulan </v>
      </c>
      <c r="AE209" s="33" t="s">
        <v>1106</v>
      </c>
      <c r="AF209" s="71"/>
      <c r="AG209" s="22" t="s">
        <v>1145</v>
      </c>
      <c r="AH209" s="58"/>
      <c r="AI209" s="58"/>
      <c r="AJ209" s="87"/>
      <c r="AK209" s="61"/>
      <c r="AL209" s="36"/>
    </row>
    <row r="210" spans="1:39" ht="14.45" customHeight="1" x14ac:dyDescent="0.25">
      <c r="A210" s="17">
        <v>26</v>
      </c>
      <c r="B210" s="78"/>
      <c r="C210" s="50" t="s">
        <v>1302</v>
      </c>
      <c r="D210" s="20" t="s">
        <v>1303</v>
      </c>
      <c r="E210" s="52" t="s">
        <v>56</v>
      </c>
      <c r="F210" s="22" t="s">
        <v>238</v>
      </c>
      <c r="G210" s="33" t="s">
        <v>3872</v>
      </c>
      <c r="H210" s="22" t="s">
        <v>1078</v>
      </c>
      <c r="I210" s="22" t="s">
        <v>44</v>
      </c>
      <c r="J210" s="22" t="s">
        <v>1293</v>
      </c>
      <c r="K210" s="22"/>
      <c r="L210" s="25" t="s">
        <v>1304</v>
      </c>
      <c r="M210" s="26">
        <v>42926</v>
      </c>
      <c r="N210" s="26">
        <v>44743</v>
      </c>
      <c r="O210" s="27" t="s">
        <v>1155</v>
      </c>
      <c r="P210" s="53" t="s">
        <v>1305</v>
      </c>
      <c r="Q210" s="29">
        <v>43052</v>
      </c>
      <c r="R210" s="26">
        <v>44743</v>
      </c>
      <c r="S210" s="23" t="s">
        <v>1167</v>
      </c>
      <c r="T210" s="23"/>
      <c r="U210" s="23"/>
      <c r="V210" s="23"/>
      <c r="W210" s="77">
        <v>45047</v>
      </c>
      <c r="X210" s="30">
        <v>39424</v>
      </c>
      <c r="Y210" s="30">
        <v>41426</v>
      </c>
      <c r="Z210" s="55" t="str">
        <f ca="1">DATEDIF(X210,TODAY(),"y")&amp;" Tahun "&amp;DATEDIF(X210,TODAY(),"ym")&amp;" Bulan "&amp;DATEDIF(X210,TODAY(),"md")&amp;" Hari"</f>
        <v>17 Tahun 10 Bulan 23 Hari</v>
      </c>
      <c r="AA210" s="55" t="s">
        <v>76</v>
      </c>
      <c r="AB210" s="56">
        <v>30133</v>
      </c>
      <c r="AC210" s="32" t="s">
        <v>1306</v>
      </c>
      <c r="AD210" s="57" t="str">
        <f t="shared" ca="1" si="15"/>
        <v xml:space="preserve">43 Tahun 3 Bulan </v>
      </c>
      <c r="AE210" s="33" t="s">
        <v>1106</v>
      </c>
      <c r="AF210" s="34"/>
      <c r="AG210" s="22" t="s">
        <v>1145</v>
      </c>
      <c r="AH210" s="22"/>
      <c r="AI210" s="22"/>
      <c r="AJ210" s="22"/>
      <c r="AK210" s="33"/>
      <c r="AL210" s="36"/>
    </row>
    <row r="211" spans="1:39" ht="14.45" customHeight="1" x14ac:dyDescent="0.25">
      <c r="A211" s="17">
        <v>27</v>
      </c>
      <c r="B211" s="78"/>
      <c r="C211" s="50" t="s">
        <v>1307</v>
      </c>
      <c r="D211" s="20" t="s">
        <v>1308</v>
      </c>
      <c r="E211" s="52" t="s">
        <v>56</v>
      </c>
      <c r="F211" s="22" t="s">
        <v>238</v>
      </c>
      <c r="G211" s="33" t="s">
        <v>3872</v>
      </c>
      <c r="H211" s="22" t="s">
        <v>1078</v>
      </c>
      <c r="I211" s="22" t="s">
        <v>44</v>
      </c>
      <c r="J211" s="22" t="s">
        <v>1309</v>
      </c>
      <c r="K211" s="22"/>
      <c r="L211" s="25"/>
      <c r="M211" s="26"/>
      <c r="N211" s="26"/>
      <c r="O211" s="27"/>
      <c r="P211" s="53"/>
      <c r="Q211" s="29"/>
      <c r="R211" s="26"/>
      <c r="S211" s="23" t="s">
        <v>1246</v>
      </c>
      <c r="T211" s="23"/>
      <c r="U211" s="23"/>
      <c r="V211" s="23"/>
      <c r="W211" s="77">
        <v>45383</v>
      </c>
      <c r="X211" s="77">
        <v>45383</v>
      </c>
      <c r="Y211" s="77">
        <v>45383</v>
      </c>
      <c r="Z211" s="55" t="str">
        <f ca="1">DATEDIF(X211,TODAY(),"y")&amp;" Tahun "&amp;DATEDIF(X211,TODAY(),"ym")&amp;" Bulan "&amp;DATEDIF(X211,TODAY(),"md")&amp;" Hari"</f>
        <v>1 Tahun 6 Bulan 30 Hari</v>
      </c>
      <c r="AA211" s="66" t="s">
        <v>203</v>
      </c>
      <c r="AB211" s="56">
        <v>32971</v>
      </c>
      <c r="AC211" s="32" t="s">
        <v>1310</v>
      </c>
      <c r="AD211" s="57" t="str">
        <f t="shared" ca="1" si="15"/>
        <v xml:space="preserve">35 Tahun 6 Bulan </v>
      </c>
      <c r="AE211" s="33" t="s">
        <v>1106</v>
      </c>
      <c r="AF211" s="71" t="s">
        <v>1311</v>
      </c>
      <c r="AG211" s="22" t="s">
        <v>1145</v>
      </c>
      <c r="AH211" s="58"/>
      <c r="AI211" s="58"/>
      <c r="AJ211" s="58"/>
      <c r="AK211" s="33"/>
      <c r="AL211" s="36"/>
    </row>
    <row r="212" spans="1:39" ht="14.45" customHeight="1" x14ac:dyDescent="0.25">
      <c r="A212" s="17">
        <v>28</v>
      </c>
      <c r="B212" s="78"/>
      <c r="C212" s="50" t="s">
        <v>1312</v>
      </c>
      <c r="D212" s="20" t="s">
        <v>1313</v>
      </c>
      <c r="E212" s="52" t="s">
        <v>56</v>
      </c>
      <c r="F212" s="22" t="s">
        <v>238</v>
      </c>
      <c r="G212" s="33" t="s">
        <v>3872</v>
      </c>
      <c r="H212" s="22" t="s">
        <v>1078</v>
      </c>
      <c r="I212" s="22" t="s">
        <v>44</v>
      </c>
      <c r="J212" s="22" t="s">
        <v>1309</v>
      </c>
      <c r="K212" s="22"/>
      <c r="L212" s="25"/>
      <c r="M212" s="26"/>
      <c r="N212" s="26"/>
      <c r="O212" s="27"/>
      <c r="P212" s="53"/>
      <c r="Q212" s="29"/>
      <c r="R212" s="26"/>
      <c r="S212" s="23" t="s">
        <v>1246</v>
      </c>
      <c r="T212" s="23"/>
      <c r="U212" s="23"/>
      <c r="V212" s="23"/>
      <c r="W212" s="77">
        <v>45383</v>
      </c>
      <c r="X212" s="77">
        <v>45383</v>
      </c>
      <c r="Y212" s="77">
        <v>45383</v>
      </c>
      <c r="Z212" s="55" t="str">
        <f ca="1">DATEDIF(X212,TODAY(),"y")&amp;" Tahun "&amp;DATEDIF(X212,TODAY(),"ym")&amp;" Bulan "&amp;DATEDIF(X212,TODAY(),"md")&amp;" Hari"</f>
        <v>1 Tahun 6 Bulan 30 Hari</v>
      </c>
      <c r="AA212" s="66" t="s">
        <v>1314</v>
      </c>
      <c r="AB212" s="56">
        <v>35400</v>
      </c>
      <c r="AC212" s="32" t="s">
        <v>1315</v>
      </c>
      <c r="AD212" s="57" t="str">
        <f t="shared" ca="1" si="15"/>
        <v xml:space="preserve">28 Tahun 10 Bulan </v>
      </c>
      <c r="AE212" s="33" t="s">
        <v>1106</v>
      </c>
      <c r="AF212" s="71"/>
      <c r="AG212" s="22" t="s">
        <v>1145</v>
      </c>
      <c r="AH212" s="22"/>
      <c r="AI212" s="22"/>
      <c r="AJ212" s="60"/>
      <c r="AK212" s="61" t="s">
        <v>314</v>
      </c>
      <c r="AL212" s="36"/>
    </row>
    <row r="213" spans="1:39" ht="14.45" customHeight="1" x14ac:dyDescent="0.25">
      <c r="A213" s="17">
        <v>29</v>
      </c>
      <c r="B213" s="18"/>
      <c r="C213" s="50" t="s">
        <v>1316</v>
      </c>
      <c r="D213" s="20" t="s">
        <v>1317</v>
      </c>
      <c r="E213" s="52" t="s">
        <v>56</v>
      </c>
      <c r="F213" s="22" t="s">
        <v>41</v>
      </c>
      <c r="G213" s="23" t="s">
        <v>42</v>
      </c>
      <c r="H213" s="22" t="s">
        <v>43</v>
      </c>
      <c r="I213" s="22" t="s">
        <v>44</v>
      </c>
      <c r="J213" s="22" t="s">
        <v>148</v>
      </c>
      <c r="K213" s="24">
        <v>45200</v>
      </c>
      <c r="L213" s="53" t="s">
        <v>1318</v>
      </c>
      <c r="M213" s="26">
        <v>43117</v>
      </c>
      <c r="N213" s="26">
        <v>45045</v>
      </c>
      <c r="O213" s="27" t="s">
        <v>84</v>
      </c>
      <c r="P213" s="53" t="s">
        <v>1319</v>
      </c>
      <c r="Q213" s="140">
        <v>43367</v>
      </c>
      <c r="R213" s="26">
        <v>45045</v>
      </c>
      <c r="S213" s="23" t="s">
        <v>1167</v>
      </c>
      <c r="T213" s="23"/>
      <c r="U213" s="23"/>
      <c r="V213" s="23"/>
      <c r="W213" s="30">
        <v>32568</v>
      </c>
      <c r="X213" s="30">
        <v>32568</v>
      </c>
      <c r="Y213" s="30">
        <v>42339</v>
      </c>
      <c r="Z213" s="55" t="str">
        <f ca="1">DATEDIF(W213,TODAY(),"y")&amp;" Tahun "&amp;DATEDIF(W213,TODAY(),"ym")&amp;" Bulan "&amp;DATEDIF(W213,TODAY(),"md")&amp;" Hari"</f>
        <v>36 Tahun 7 Bulan 30 Hari</v>
      </c>
      <c r="AA213" s="55" t="s">
        <v>76</v>
      </c>
      <c r="AB213" s="56">
        <v>24957</v>
      </c>
      <c r="AC213" s="31" t="s">
        <v>1320</v>
      </c>
      <c r="AD213" s="57" t="str">
        <f t="shared" ca="1" si="15"/>
        <v xml:space="preserve">57 Tahun 6 Bulan </v>
      </c>
      <c r="AE213" s="33" t="s">
        <v>1106</v>
      </c>
      <c r="AF213" s="34"/>
      <c r="AG213" s="22" t="s">
        <v>1145</v>
      </c>
      <c r="AH213" s="58"/>
      <c r="AI213" s="58"/>
      <c r="AJ213" s="87"/>
      <c r="AK213" s="61" t="s">
        <v>314</v>
      </c>
      <c r="AL213" s="36"/>
    </row>
    <row r="214" spans="1:39" ht="14.45" customHeight="1" x14ac:dyDescent="0.25">
      <c r="A214" s="17">
        <v>30</v>
      </c>
      <c r="B214" s="134"/>
      <c r="C214" s="50" t="s">
        <v>1321</v>
      </c>
      <c r="D214" s="20" t="s">
        <v>1322</v>
      </c>
      <c r="E214" s="52" t="s">
        <v>56</v>
      </c>
      <c r="F214" s="58" t="s">
        <v>41</v>
      </c>
      <c r="G214" s="89" t="s">
        <v>115</v>
      </c>
      <c r="H214" s="22" t="s">
        <v>116</v>
      </c>
      <c r="I214" s="58" t="s">
        <v>44</v>
      </c>
      <c r="J214" s="22" t="s">
        <v>1212</v>
      </c>
      <c r="K214" s="24">
        <v>45931</v>
      </c>
      <c r="L214" s="25" t="s">
        <v>1323</v>
      </c>
      <c r="M214" s="26">
        <v>41990</v>
      </c>
      <c r="N214" s="26">
        <v>43678</v>
      </c>
      <c r="O214" s="27" t="s">
        <v>1324</v>
      </c>
      <c r="P214" s="28" t="s">
        <v>1325</v>
      </c>
      <c r="Q214" s="29">
        <v>42158</v>
      </c>
      <c r="R214" s="26">
        <v>43678</v>
      </c>
      <c r="S214" s="23" t="s">
        <v>1216</v>
      </c>
      <c r="T214" s="23"/>
      <c r="U214" s="23"/>
      <c r="V214" s="23"/>
      <c r="W214" s="30">
        <v>32203</v>
      </c>
      <c r="X214" s="30">
        <v>32203</v>
      </c>
      <c r="Y214" s="30">
        <v>41122</v>
      </c>
      <c r="Z214" s="55" t="str">
        <f ca="1">DATEDIF(W214,TODAY(),"y")&amp;" Tahun "&amp;DATEDIF(W214,TODAY(),"ym")&amp;" Bulan "&amp;DATEDIF(W214,TODAY(),"md")&amp;" Hari"</f>
        <v>37 Tahun 7 Bulan 30 Hari</v>
      </c>
      <c r="AA214" s="55" t="s">
        <v>97</v>
      </c>
      <c r="AB214" s="56">
        <v>24685</v>
      </c>
      <c r="AC214" s="32" t="s">
        <v>1326</v>
      </c>
      <c r="AD214" s="57" t="str">
        <f t="shared" ca="1" si="15"/>
        <v xml:space="preserve">58 Tahun 2 Bulan </v>
      </c>
      <c r="AE214" s="33" t="s">
        <v>1106</v>
      </c>
      <c r="AF214" s="71"/>
      <c r="AG214" s="22" t="s">
        <v>1145</v>
      </c>
      <c r="AH214" s="22"/>
      <c r="AI214" s="22"/>
      <c r="AJ214" s="22"/>
      <c r="AK214" s="33" t="s">
        <v>314</v>
      </c>
      <c r="AL214" s="36"/>
      <c r="AM214" s="14"/>
    </row>
    <row r="215" spans="1:39" ht="14.45" customHeight="1" x14ac:dyDescent="0.25">
      <c r="A215" s="17">
        <v>31</v>
      </c>
      <c r="B215" s="78"/>
      <c r="C215" s="139" t="s">
        <v>1327</v>
      </c>
      <c r="D215" s="137" t="s">
        <v>1328</v>
      </c>
      <c r="E215" s="21" t="s">
        <v>40</v>
      </c>
      <c r="F215" s="22" t="s">
        <v>41</v>
      </c>
      <c r="G215" s="23" t="s">
        <v>102</v>
      </c>
      <c r="H215" s="22" t="s">
        <v>103</v>
      </c>
      <c r="I215" s="22" t="s">
        <v>44</v>
      </c>
      <c r="J215" s="22" t="s">
        <v>1166</v>
      </c>
      <c r="K215" s="24">
        <v>45566</v>
      </c>
      <c r="L215" s="53" t="s">
        <v>1329</v>
      </c>
      <c r="M215" s="26">
        <v>43117</v>
      </c>
      <c r="N215" s="26">
        <v>45053</v>
      </c>
      <c r="O215" s="27" t="s">
        <v>148</v>
      </c>
      <c r="P215" s="53" t="s">
        <v>1330</v>
      </c>
      <c r="Q215" s="26">
        <v>43242</v>
      </c>
      <c r="R215" s="26">
        <v>45053</v>
      </c>
      <c r="S215" s="33" t="s">
        <v>1172</v>
      </c>
      <c r="T215" s="33"/>
      <c r="U215" s="33"/>
      <c r="V215" s="33"/>
      <c r="W215" s="95">
        <v>41244</v>
      </c>
      <c r="X215" s="30">
        <v>41334</v>
      </c>
      <c r="Y215" s="22"/>
      <c r="Z215" s="31" t="str">
        <f ca="1">DATEDIF(W215,TODAY(),"y")&amp;" Tahun "&amp;DATEDIF(W215,TODAY(),"ym")&amp;" Bulan "&amp;DATEDIF(W215,TODAY(),"md")&amp;" Hari"</f>
        <v>12 Tahun 10 Bulan 30 Hari</v>
      </c>
      <c r="AA215" s="31" t="s">
        <v>1331</v>
      </c>
      <c r="AB215" s="32">
        <v>32270</v>
      </c>
      <c r="AC215" s="31" t="s">
        <v>1332</v>
      </c>
      <c r="AD215" s="22" t="str">
        <f t="shared" ca="1" si="15"/>
        <v xml:space="preserve">37 Tahun 5 Bulan </v>
      </c>
      <c r="AE215" s="33" t="s">
        <v>1106</v>
      </c>
      <c r="AF215" s="34"/>
      <c r="AG215" s="22" t="s">
        <v>1145</v>
      </c>
      <c r="AH215" s="58"/>
      <c r="AI215" s="58"/>
      <c r="AJ215" s="87"/>
      <c r="AK215" s="61" t="s">
        <v>485</v>
      </c>
      <c r="AL215" s="36"/>
      <c r="AM215" s="14"/>
    </row>
    <row r="216" spans="1:39" ht="14.45" customHeight="1" x14ac:dyDescent="0.25">
      <c r="A216" s="17">
        <v>32</v>
      </c>
      <c r="B216" s="134">
        <v>1389</v>
      </c>
      <c r="C216" s="50" t="s">
        <v>5738</v>
      </c>
      <c r="D216" s="20" t="s">
        <v>1333</v>
      </c>
      <c r="E216" s="58" t="s">
        <v>56</v>
      </c>
      <c r="F216" s="58" t="s">
        <v>41</v>
      </c>
      <c r="G216" s="23" t="s">
        <v>227</v>
      </c>
      <c r="H216" s="22" t="s">
        <v>228</v>
      </c>
      <c r="I216" s="22" t="s">
        <v>44</v>
      </c>
      <c r="J216" s="22" t="s">
        <v>1148</v>
      </c>
      <c r="K216" s="24">
        <v>45200</v>
      </c>
      <c r="L216" s="25"/>
      <c r="M216" s="26"/>
      <c r="N216" s="26"/>
      <c r="O216" s="27"/>
      <c r="P216" s="28"/>
      <c r="Q216" s="29"/>
      <c r="R216" s="26"/>
      <c r="S216" s="23" t="s">
        <v>84</v>
      </c>
      <c r="T216" s="23"/>
      <c r="U216" s="23"/>
      <c r="V216" s="23"/>
      <c r="W216" s="30">
        <v>44166</v>
      </c>
      <c r="X216" s="30">
        <v>44197</v>
      </c>
      <c r="Y216" s="30">
        <v>44197</v>
      </c>
      <c r="Z216" s="55" t="str">
        <f ca="1">DATEDIF(X216,TODAY(),"y")&amp;" Tahun "&amp;DATEDIF(X216,TODAY(),"ym")&amp;" Bulan "&amp;DATEDIF(X216,TODAY(),"md")&amp;" Hari"</f>
        <v>4 Tahun 9 Bulan 30 Hari</v>
      </c>
      <c r="AA216" s="55" t="s">
        <v>76</v>
      </c>
      <c r="AB216" s="56">
        <v>34726</v>
      </c>
      <c r="AC216" s="32" t="s">
        <v>1334</v>
      </c>
      <c r="AD216" s="57" t="str">
        <f t="shared" ca="1" si="15"/>
        <v xml:space="preserve">30 Tahun 9 Bulan </v>
      </c>
      <c r="AE216" s="33" t="s">
        <v>1335</v>
      </c>
      <c r="AF216" s="71"/>
      <c r="AG216" s="22" t="s">
        <v>1145</v>
      </c>
      <c r="AH216" s="58"/>
      <c r="AI216" s="58"/>
      <c r="AJ216" s="87"/>
      <c r="AK216" s="61" t="s">
        <v>485</v>
      </c>
      <c r="AL216" s="36"/>
      <c r="AM216" s="14"/>
    </row>
    <row r="217" spans="1:39" ht="14.45" customHeight="1" x14ac:dyDescent="0.25">
      <c r="A217" s="17">
        <v>33</v>
      </c>
      <c r="B217" s="78"/>
      <c r="C217" s="50" t="s">
        <v>1336</v>
      </c>
      <c r="D217" s="20" t="s">
        <v>1337</v>
      </c>
      <c r="E217" s="52" t="s">
        <v>56</v>
      </c>
      <c r="F217" s="58" t="s">
        <v>41</v>
      </c>
      <c r="G217" s="23" t="s">
        <v>193</v>
      </c>
      <c r="H217" s="22" t="s">
        <v>194</v>
      </c>
      <c r="I217" s="22" t="s">
        <v>155</v>
      </c>
      <c r="J217" s="22" t="s">
        <v>1338</v>
      </c>
      <c r="K217" s="24">
        <v>45200</v>
      </c>
      <c r="L217" s="25"/>
      <c r="M217" s="26"/>
      <c r="N217" s="26"/>
      <c r="O217" s="27"/>
      <c r="P217" s="28"/>
      <c r="Q217" s="29"/>
      <c r="R217" s="43"/>
      <c r="S217" s="23" t="s">
        <v>1339</v>
      </c>
      <c r="T217" s="23"/>
      <c r="U217" s="23"/>
      <c r="V217" s="23"/>
      <c r="W217" s="30">
        <v>39356</v>
      </c>
      <c r="X217" s="30">
        <v>35704</v>
      </c>
      <c r="Y217" s="30">
        <v>44038</v>
      </c>
      <c r="Z217" s="55" t="str">
        <f ca="1">DATEDIF(W217,TODAY(),"y")&amp;" Tahun "&amp;DATEDIF(W217,TODAY(),"ym")&amp;" Bulan "&amp;DATEDIF(W217,TODAY(),"md")&amp;" Hari"</f>
        <v>18 Tahun 0 Bulan 30 Hari</v>
      </c>
      <c r="AA217" s="55" t="s">
        <v>76</v>
      </c>
      <c r="AB217" s="56">
        <v>28491</v>
      </c>
      <c r="AC217" s="31" t="s">
        <v>1340</v>
      </c>
      <c r="AD217" s="57" t="str">
        <f t="shared" ca="1" si="15"/>
        <v xml:space="preserve">47 Tahun 9 Bulan </v>
      </c>
      <c r="AE217" s="33" t="s">
        <v>1341</v>
      </c>
      <c r="AF217" s="71"/>
      <c r="AG217" s="22" t="s">
        <v>1145</v>
      </c>
      <c r="AH217" s="22"/>
      <c r="AI217" s="22"/>
      <c r="AJ217" s="22"/>
      <c r="AK217" s="33"/>
      <c r="AL217" s="36"/>
    </row>
    <row r="218" spans="1:39" ht="14.45" customHeight="1" x14ac:dyDescent="0.25">
      <c r="A218" s="17">
        <v>34</v>
      </c>
      <c r="B218" s="18"/>
      <c r="C218" s="50" t="s">
        <v>1342</v>
      </c>
      <c r="D218" s="20" t="s">
        <v>1343</v>
      </c>
      <c r="E218" s="21" t="s">
        <v>56</v>
      </c>
      <c r="F218" s="22" t="s">
        <v>41</v>
      </c>
      <c r="G218" s="23" t="s">
        <v>42</v>
      </c>
      <c r="H218" s="22" t="s">
        <v>43</v>
      </c>
      <c r="I218" s="22" t="s">
        <v>44</v>
      </c>
      <c r="J218" s="22" t="s">
        <v>148</v>
      </c>
      <c r="K218" s="24">
        <v>45566</v>
      </c>
      <c r="L218" s="53" t="s">
        <v>1344</v>
      </c>
      <c r="M218" s="26">
        <v>43117</v>
      </c>
      <c r="N218" s="26">
        <v>44993</v>
      </c>
      <c r="O218" s="27" t="s">
        <v>84</v>
      </c>
      <c r="P218" s="53" t="s">
        <v>1345</v>
      </c>
      <c r="Q218" s="29">
        <v>43057</v>
      </c>
      <c r="R218" s="26">
        <v>43237</v>
      </c>
      <c r="S218" s="23" t="s">
        <v>84</v>
      </c>
      <c r="T218" s="23"/>
      <c r="U218" s="23"/>
      <c r="V218" s="23"/>
      <c r="W218" s="30">
        <v>35490</v>
      </c>
      <c r="X218" s="30">
        <v>35490</v>
      </c>
      <c r="Y218" s="30">
        <v>43887</v>
      </c>
      <c r="Z218" s="31" t="str">
        <f ca="1">DATEDIF(X218,TODAY(),"y")&amp;" Tahun "&amp;DATEDIF(X218,TODAY(),"ym")&amp;" Bulan "&amp;DATEDIF(X218,TODAY(),"md")&amp;" Hari"</f>
        <v>28 Tahun 7 Bulan 30 Hari</v>
      </c>
      <c r="AA218" s="31" t="s">
        <v>1346</v>
      </c>
      <c r="AB218" s="32">
        <v>26000</v>
      </c>
      <c r="AC218" s="32" t="s">
        <v>1347</v>
      </c>
      <c r="AD218" s="22" t="str">
        <f t="shared" ca="1" si="15"/>
        <v xml:space="preserve">54 Tahun 7 Bulan </v>
      </c>
      <c r="AE218" s="33" t="s">
        <v>1106</v>
      </c>
      <c r="AF218" s="34"/>
      <c r="AG218" s="22" t="s">
        <v>1145</v>
      </c>
      <c r="AH218" s="58"/>
      <c r="AI218" s="58"/>
      <c r="AJ218" s="58"/>
      <c r="AK218" s="33"/>
      <c r="AL218" s="36"/>
    </row>
    <row r="219" spans="1:39" ht="14.45" customHeight="1" x14ac:dyDescent="0.25">
      <c r="A219" s="17">
        <v>35</v>
      </c>
      <c r="B219" s="78"/>
      <c r="C219" s="50" t="s">
        <v>1348</v>
      </c>
      <c r="D219" s="20" t="s">
        <v>1349</v>
      </c>
      <c r="E219" s="52" t="s">
        <v>56</v>
      </c>
      <c r="F219" s="58" t="s">
        <v>41</v>
      </c>
      <c r="G219" s="23" t="s">
        <v>42</v>
      </c>
      <c r="H219" s="60" t="s">
        <v>43</v>
      </c>
      <c r="I219" s="60" t="s">
        <v>44</v>
      </c>
      <c r="J219" s="58" t="s">
        <v>1212</v>
      </c>
      <c r="K219" s="24">
        <v>45505</v>
      </c>
      <c r="L219" s="53" t="s">
        <v>1350</v>
      </c>
      <c r="M219" s="26">
        <v>42969</v>
      </c>
      <c r="N219" s="26">
        <v>44604</v>
      </c>
      <c r="O219" s="27" t="s">
        <v>1214</v>
      </c>
      <c r="P219" s="53" t="s">
        <v>1351</v>
      </c>
      <c r="Q219" s="26">
        <v>43143</v>
      </c>
      <c r="R219" s="26">
        <v>44604</v>
      </c>
      <c r="S219" s="33" t="s">
        <v>1216</v>
      </c>
      <c r="T219" s="33"/>
      <c r="U219" s="33"/>
      <c r="V219" s="33"/>
      <c r="W219" s="30">
        <v>33664</v>
      </c>
      <c r="X219" s="30">
        <v>33664</v>
      </c>
      <c r="Y219" s="30">
        <v>41284</v>
      </c>
      <c r="Z219" s="55" t="str">
        <f ca="1">DATEDIF(W219,TODAY(),"y")&amp;" Tahun "&amp;DATEDIF(W219,TODAY(),"ym")&amp;" Bulan "&amp;DATEDIF(W219,TODAY(),"md")&amp;" Hari"</f>
        <v>33 Tahun 7 Bulan 30 Hari</v>
      </c>
      <c r="AA219" s="55" t="s">
        <v>76</v>
      </c>
      <c r="AB219" s="56">
        <v>26341</v>
      </c>
      <c r="AC219" s="32" t="s">
        <v>1352</v>
      </c>
      <c r="AD219" s="57" t="str">
        <f t="shared" ca="1" si="15"/>
        <v xml:space="preserve">53 Tahun 8 Bulan </v>
      </c>
      <c r="AE219" s="23" t="s">
        <v>1106</v>
      </c>
      <c r="AF219" s="71"/>
      <c r="AG219" s="22" t="s">
        <v>1145</v>
      </c>
      <c r="AH219" s="22"/>
      <c r="AI219" s="22"/>
      <c r="AJ219" s="22"/>
      <c r="AK219" s="34"/>
      <c r="AL219" s="36"/>
    </row>
    <row r="220" spans="1:39" ht="14.45" customHeight="1" x14ac:dyDescent="0.25">
      <c r="A220" s="17">
        <v>36</v>
      </c>
      <c r="B220" s="78"/>
      <c r="C220" s="50" t="s">
        <v>1353</v>
      </c>
      <c r="D220" s="62">
        <v>2023110702</v>
      </c>
      <c r="E220" s="21" t="s">
        <v>40</v>
      </c>
      <c r="F220" s="22" t="s">
        <v>1063</v>
      </c>
      <c r="G220" s="23" t="s">
        <v>3872</v>
      </c>
      <c r="H220" s="22" t="s">
        <v>3872</v>
      </c>
      <c r="I220" s="22"/>
      <c r="J220" s="22"/>
      <c r="K220" s="30"/>
      <c r="L220" s="25"/>
      <c r="M220" s="29"/>
      <c r="N220" s="26"/>
      <c r="O220" s="27"/>
      <c r="P220" s="28"/>
      <c r="Q220" s="29"/>
      <c r="R220" s="26"/>
      <c r="S220" s="23" t="s">
        <v>1172</v>
      </c>
      <c r="T220" s="23">
        <v>2014</v>
      </c>
      <c r="U220" s="23"/>
      <c r="V220" s="23"/>
      <c r="W220" s="30"/>
      <c r="X220" s="30">
        <v>45231</v>
      </c>
      <c r="Y220" s="30">
        <v>45231</v>
      </c>
      <c r="Z220" s="31" t="str">
        <f t="shared" ref="Z220:Z230" ca="1" si="16">DATEDIF(X220,TODAY(),"y")&amp;" Tahun "&amp;DATEDIF(X220,TODAY(),"ym")&amp;" Bulan "&amp;DATEDIF(X220,TODAY(),"md")&amp;" Hari"</f>
        <v>1 Tahun 11 Bulan 30 Hari</v>
      </c>
      <c r="AA220" s="31" t="s">
        <v>76</v>
      </c>
      <c r="AB220" s="32">
        <v>34347</v>
      </c>
      <c r="AC220" s="31" t="s">
        <v>1354</v>
      </c>
      <c r="AD220" s="22" t="str">
        <f t="shared" ca="1" si="15"/>
        <v xml:space="preserve">31 Tahun 9 Bulan </v>
      </c>
      <c r="AE220" s="33" t="s">
        <v>1106</v>
      </c>
      <c r="AF220" s="34"/>
      <c r="AG220" s="22" t="s">
        <v>1145</v>
      </c>
      <c r="AH220" s="58"/>
      <c r="AI220" s="58"/>
      <c r="AJ220" s="58"/>
      <c r="AK220" s="33" t="s">
        <v>676</v>
      </c>
      <c r="AL220" s="36"/>
    </row>
    <row r="221" spans="1:39" ht="14.45" customHeight="1" x14ac:dyDescent="0.25">
      <c r="A221" s="17">
        <v>37</v>
      </c>
      <c r="B221" s="78"/>
      <c r="C221" s="50" t="s">
        <v>5739</v>
      </c>
      <c r="D221" s="62" t="s">
        <v>5740</v>
      </c>
      <c r="E221" s="21" t="s">
        <v>40</v>
      </c>
      <c r="F221" s="22" t="s">
        <v>238</v>
      </c>
      <c r="G221" s="23" t="s">
        <v>3872</v>
      </c>
      <c r="H221" s="22" t="s">
        <v>239</v>
      </c>
      <c r="I221" s="22" t="s">
        <v>155</v>
      </c>
      <c r="J221" s="22" t="s">
        <v>5687</v>
      </c>
      <c r="K221" s="30"/>
      <c r="L221" s="25"/>
      <c r="M221" s="29"/>
      <c r="N221" s="26"/>
      <c r="O221" s="27"/>
      <c r="P221" s="28"/>
      <c r="Q221" s="29"/>
      <c r="R221" s="26"/>
      <c r="S221" s="23" t="s">
        <v>202</v>
      </c>
      <c r="T221" s="23"/>
      <c r="U221" s="23"/>
      <c r="V221" s="23"/>
      <c r="W221" s="30">
        <v>45931</v>
      </c>
      <c r="X221" s="30">
        <v>45261</v>
      </c>
      <c r="Y221" s="30">
        <v>45261</v>
      </c>
      <c r="Z221" s="31" t="str">
        <f t="shared" ca="1" si="16"/>
        <v>1 Tahun 10 Bulan 30 Hari</v>
      </c>
      <c r="AA221" s="31" t="s">
        <v>697</v>
      </c>
      <c r="AB221" s="32">
        <v>32083</v>
      </c>
      <c r="AC221" s="31" t="s">
        <v>5741</v>
      </c>
      <c r="AD221" s="22" t="str">
        <f t="shared" ca="1" si="15"/>
        <v xml:space="preserve">37 Tahun 11 Bulan </v>
      </c>
      <c r="AE221" s="33" t="s">
        <v>1341</v>
      </c>
      <c r="AF221" s="34"/>
      <c r="AG221" s="22" t="s">
        <v>1145</v>
      </c>
      <c r="AH221" s="58"/>
      <c r="AI221" s="58"/>
      <c r="AJ221" s="58"/>
      <c r="AK221" s="33"/>
      <c r="AL221" s="36"/>
      <c r="AM221" s="14"/>
    </row>
    <row r="222" spans="1:39" ht="14.45" customHeight="1" x14ac:dyDescent="0.25">
      <c r="A222" s="17">
        <v>38</v>
      </c>
      <c r="B222" s="78"/>
      <c r="C222" s="50" t="s">
        <v>5742</v>
      </c>
      <c r="D222" s="62" t="s">
        <v>5743</v>
      </c>
      <c r="E222" s="21" t="s">
        <v>40</v>
      </c>
      <c r="F222" s="22" t="s">
        <v>238</v>
      </c>
      <c r="G222" s="23" t="s">
        <v>3872</v>
      </c>
      <c r="H222" s="22" t="s">
        <v>1078</v>
      </c>
      <c r="I222" s="22" t="s">
        <v>44</v>
      </c>
      <c r="J222" s="22" t="s">
        <v>1079</v>
      </c>
      <c r="K222" s="30"/>
      <c r="L222" s="25"/>
      <c r="M222" s="29"/>
      <c r="N222" s="26"/>
      <c r="O222" s="27"/>
      <c r="P222" s="28"/>
      <c r="Q222" s="29"/>
      <c r="R222" s="26"/>
      <c r="S222" s="23" t="s">
        <v>1355</v>
      </c>
      <c r="T222" s="23"/>
      <c r="U222" s="23"/>
      <c r="V222" s="23"/>
      <c r="W222" s="30">
        <v>45931</v>
      </c>
      <c r="X222" s="30">
        <v>45261</v>
      </c>
      <c r="Y222" s="30">
        <v>45261</v>
      </c>
      <c r="Z222" s="31" t="str">
        <f t="shared" ca="1" si="16"/>
        <v>1 Tahun 10 Bulan 30 Hari</v>
      </c>
      <c r="AA222" s="31" t="s">
        <v>76</v>
      </c>
      <c r="AB222" s="32">
        <v>32090</v>
      </c>
      <c r="AC222" s="31" t="s">
        <v>5744</v>
      </c>
      <c r="AD222" s="22" t="str">
        <f t="shared" ca="1" si="15"/>
        <v xml:space="preserve">37 Tahun 11 Bulan </v>
      </c>
      <c r="AE222" s="33" t="s">
        <v>1069</v>
      </c>
      <c r="AF222" s="34"/>
      <c r="AG222" s="22" t="s">
        <v>1145</v>
      </c>
      <c r="AH222" s="22"/>
      <c r="AI222" s="22"/>
      <c r="AJ222" s="22"/>
      <c r="AK222" s="33"/>
      <c r="AL222" s="36"/>
    </row>
    <row r="223" spans="1:39" ht="14.45" customHeight="1" x14ac:dyDescent="0.25">
      <c r="A223" s="17">
        <v>39</v>
      </c>
      <c r="B223" s="134"/>
      <c r="C223" s="50" t="s">
        <v>1356</v>
      </c>
      <c r="D223" s="62" t="s">
        <v>1357</v>
      </c>
      <c r="E223" s="52" t="s">
        <v>56</v>
      </c>
      <c r="F223" s="58" t="s">
        <v>238</v>
      </c>
      <c r="G223" s="23" t="s">
        <v>3872</v>
      </c>
      <c r="H223" s="22" t="s">
        <v>1078</v>
      </c>
      <c r="I223" s="22" t="s">
        <v>44</v>
      </c>
      <c r="J223" s="22" t="s">
        <v>1293</v>
      </c>
      <c r="K223" s="30"/>
      <c r="L223" s="25" t="s">
        <v>1358</v>
      </c>
      <c r="M223" s="29">
        <v>42850</v>
      </c>
      <c r="N223" s="26">
        <v>44905</v>
      </c>
      <c r="O223" s="27" t="s">
        <v>148</v>
      </c>
      <c r="P223" s="28" t="s">
        <v>1359</v>
      </c>
      <c r="Q223" s="29">
        <v>43130</v>
      </c>
      <c r="R223" s="26">
        <v>44905</v>
      </c>
      <c r="S223" s="23" t="s">
        <v>1172</v>
      </c>
      <c r="T223" s="23"/>
      <c r="U223" s="23"/>
      <c r="V223" s="23"/>
      <c r="W223" s="30">
        <v>45047</v>
      </c>
      <c r="X223" s="30">
        <v>43101</v>
      </c>
      <c r="Y223" s="30">
        <v>43101</v>
      </c>
      <c r="Z223" s="55" t="str">
        <f t="shared" ca="1" si="16"/>
        <v>7 Tahun 9 Bulan 30 Hari</v>
      </c>
      <c r="AA223" s="55" t="s">
        <v>76</v>
      </c>
      <c r="AB223" s="56">
        <v>32259</v>
      </c>
      <c r="AC223" s="32" t="s">
        <v>1360</v>
      </c>
      <c r="AD223" s="57" t="str">
        <f t="shared" ca="1" si="15"/>
        <v xml:space="preserve">37 Tahun 6 Bulan </v>
      </c>
      <c r="AE223" s="33" t="s">
        <v>1106</v>
      </c>
      <c r="AF223" s="71"/>
      <c r="AG223" s="22" t="s">
        <v>1145</v>
      </c>
      <c r="AH223" s="58"/>
      <c r="AI223" s="58"/>
      <c r="AJ223" s="58"/>
      <c r="AK223" s="33"/>
      <c r="AL223" s="36"/>
    </row>
    <row r="224" spans="1:39" ht="14.45" customHeight="1" x14ac:dyDescent="0.25">
      <c r="A224" s="17">
        <v>40</v>
      </c>
      <c r="B224" s="52"/>
      <c r="C224" s="50" t="s">
        <v>1361</v>
      </c>
      <c r="D224" s="20" t="s">
        <v>1362</v>
      </c>
      <c r="E224" s="52" t="s">
        <v>56</v>
      </c>
      <c r="F224" s="22" t="s">
        <v>41</v>
      </c>
      <c r="G224" s="23" t="s">
        <v>227</v>
      </c>
      <c r="H224" s="22" t="s">
        <v>228</v>
      </c>
      <c r="I224" s="22" t="s">
        <v>44</v>
      </c>
      <c r="J224" s="22" t="s">
        <v>1104</v>
      </c>
      <c r="K224" s="77">
        <v>44621</v>
      </c>
      <c r="L224" s="25"/>
      <c r="M224" s="26"/>
      <c r="N224" s="26"/>
      <c r="O224" s="27"/>
      <c r="P224" s="28"/>
      <c r="Q224" s="29"/>
      <c r="R224" s="26"/>
      <c r="S224" s="23" t="s">
        <v>84</v>
      </c>
      <c r="T224" s="23"/>
      <c r="U224" s="23"/>
      <c r="V224" s="23"/>
      <c r="W224" s="77">
        <v>44621</v>
      </c>
      <c r="X224" s="77">
        <v>44621</v>
      </c>
      <c r="Y224" s="77">
        <v>44621</v>
      </c>
      <c r="Z224" s="55" t="str">
        <f t="shared" ca="1" si="16"/>
        <v>3 Tahun 7 Bulan 30 Hari</v>
      </c>
      <c r="AA224" s="55" t="s">
        <v>1363</v>
      </c>
      <c r="AB224" s="56">
        <v>32392</v>
      </c>
      <c r="AC224" s="32" t="s">
        <v>1364</v>
      </c>
      <c r="AD224" s="57" t="str">
        <f t="shared" ca="1" si="15"/>
        <v xml:space="preserve">37 Tahun 1 Bulan </v>
      </c>
      <c r="AE224" s="33" t="s">
        <v>1106</v>
      </c>
      <c r="AF224" s="71"/>
      <c r="AG224" s="22" t="s">
        <v>1145</v>
      </c>
      <c r="AH224" s="22"/>
      <c r="AI224" s="22"/>
      <c r="AJ224" s="22"/>
      <c r="AK224" s="33"/>
      <c r="AL224" s="36"/>
    </row>
    <row r="225" spans="1:39" ht="14.45" customHeight="1" x14ac:dyDescent="0.25">
      <c r="A225" s="17">
        <v>41</v>
      </c>
      <c r="B225" s="78"/>
      <c r="C225" s="50" t="s">
        <v>1365</v>
      </c>
      <c r="D225" s="20" t="s">
        <v>1366</v>
      </c>
      <c r="E225" s="52" t="s">
        <v>56</v>
      </c>
      <c r="F225" s="22" t="s">
        <v>238</v>
      </c>
      <c r="G225" s="23" t="s">
        <v>3872</v>
      </c>
      <c r="H225" s="22" t="s">
        <v>1078</v>
      </c>
      <c r="I225" s="22" t="s">
        <v>44</v>
      </c>
      <c r="J225" s="22" t="s">
        <v>1293</v>
      </c>
      <c r="K225" s="22"/>
      <c r="L225" s="25" t="s">
        <v>1367</v>
      </c>
      <c r="M225" s="26">
        <v>42926</v>
      </c>
      <c r="N225" s="26">
        <v>44659</v>
      </c>
      <c r="O225" s="27" t="s">
        <v>1155</v>
      </c>
      <c r="P225" s="53" t="s">
        <v>1368</v>
      </c>
      <c r="Q225" s="29">
        <v>43052</v>
      </c>
      <c r="R225" s="26">
        <v>44659</v>
      </c>
      <c r="S225" s="23" t="s">
        <v>1172</v>
      </c>
      <c r="T225" s="23"/>
      <c r="U225" s="23"/>
      <c r="V225" s="23"/>
      <c r="W225" s="77">
        <v>45047</v>
      </c>
      <c r="X225" s="30">
        <v>39965</v>
      </c>
      <c r="Y225" s="30">
        <v>39965</v>
      </c>
      <c r="Z225" s="55" t="str">
        <f t="shared" ca="1" si="16"/>
        <v>16 Tahun 4 Bulan 30 Hari</v>
      </c>
      <c r="AA225" s="55" t="s">
        <v>1369</v>
      </c>
      <c r="AB225" s="56">
        <v>30780</v>
      </c>
      <c r="AC225" s="31" t="s">
        <v>1370</v>
      </c>
      <c r="AD225" s="57" t="str">
        <f t="shared" ca="1" si="15"/>
        <v xml:space="preserve">41 Tahun 6 Bulan </v>
      </c>
      <c r="AE225" s="33" t="s">
        <v>1106</v>
      </c>
      <c r="AF225" s="34"/>
      <c r="AG225" s="22" t="s">
        <v>1145</v>
      </c>
      <c r="AH225" s="22"/>
      <c r="AI225" s="22"/>
      <c r="AJ225" s="22"/>
      <c r="AK225" s="33"/>
      <c r="AL225" s="36"/>
    </row>
    <row r="226" spans="1:39" ht="14.45" customHeight="1" x14ac:dyDescent="0.25">
      <c r="A226" s="17">
        <v>42</v>
      </c>
      <c r="B226" s="78"/>
      <c r="C226" s="50" t="s">
        <v>6159</v>
      </c>
      <c r="D226" s="20" t="s">
        <v>1371</v>
      </c>
      <c r="E226" s="58" t="s">
        <v>56</v>
      </c>
      <c r="F226" s="58" t="s">
        <v>238</v>
      </c>
      <c r="G226" s="23" t="s">
        <v>3872</v>
      </c>
      <c r="H226" s="22" t="s">
        <v>1078</v>
      </c>
      <c r="I226" s="22" t="s">
        <v>44</v>
      </c>
      <c r="J226" s="22" t="s">
        <v>1293</v>
      </c>
      <c r="K226" s="22"/>
      <c r="L226" s="25" t="s">
        <v>1372</v>
      </c>
      <c r="M226" s="26">
        <v>42926</v>
      </c>
      <c r="N226" s="26">
        <v>44582</v>
      </c>
      <c r="O226" s="27" t="s">
        <v>1155</v>
      </c>
      <c r="P226" s="28" t="s">
        <v>1373</v>
      </c>
      <c r="Q226" s="29">
        <v>43151</v>
      </c>
      <c r="R226" s="26">
        <v>44582</v>
      </c>
      <c r="S226" s="23" t="s">
        <v>1172</v>
      </c>
      <c r="T226" s="141"/>
      <c r="U226" s="23"/>
      <c r="V226" s="23"/>
      <c r="W226" s="77">
        <v>45047</v>
      </c>
      <c r="X226" s="30">
        <v>42370</v>
      </c>
      <c r="Y226" s="30">
        <v>42401</v>
      </c>
      <c r="Z226" s="55" t="str">
        <f t="shared" ca="1" si="16"/>
        <v>9 Tahun 9 Bulan 30 Hari</v>
      </c>
      <c r="AA226" s="55" t="s">
        <v>312</v>
      </c>
      <c r="AB226" s="56">
        <v>33624</v>
      </c>
      <c r="AC226" s="31" t="s">
        <v>1374</v>
      </c>
      <c r="AD226" s="57" t="str">
        <f t="shared" ca="1" si="15"/>
        <v xml:space="preserve">33 Tahun 9 Bulan </v>
      </c>
      <c r="AE226" s="33" t="s">
        <v>1106</v>
      </c>
      <c r="AF226" s="71"/>
      <c r="AG226" s="22" t="s">
        <v>1145</v>
      </c>
      <c r="AH226" s="22"/>
      <c r="AI226" s="22"/>
      <c r="AJ226" s="22"/>
      <c r="AK226" s="33"/>
      <c r="AL226" s="36"/>
    </row>
    <row r="227" spans="1:39" ht="14.45" customHeight="1" x14ac:dyDescent="0.25">
      <c r="A227" s="17">
        <v>43</v>
      </c>
      <c r="B227" s="18"/>
      <c r="C227" s="50" t="s">
        <v>5745</v>
      </c>
      <c r="D227" s="20" t="s">
        <v>1375</v>
      </c>
      <c r="E227" s="21" t="s">
        <v>56</v>
      </c>
      <c r="F227" s="22" t="s">
        <v>192</v>
      </c>
      <c r="G227" s="23" t="s">
        <v>193</v>
      </c>
      <c r="H227" s="22" t="s">
        <v>194</v>
      </c>
      <c r="I227" s="22" t="s">
        <v>155</v>
      </c>
      <c r="J227" s="22" t="s">
        <v>1376</v>
      </c>
      <c r="K227" s="24" t="s">
        <v>195</v>
      </c>
      <c r="L227" s="22"/>
      <c r="M227" s="22"/>
      <c r="N227" s="22"/>
      <c r="O227" s="22"/>
      <c r="P227" s="22"/>
      <c r="Q227" s="22"/>
      <c r="R227" s="22"/>
      <c r="S227" s="23" t="s">
        <v>1377</v>
      </c>
      <c r="T227" s="23"/>
      <c r="U227" s="23"/>
      <c r="V227" s="23"/>
      <c r="W227" s="69">
        <v>45809</v>
      </c>
      <c r="X227" s="69">
        <v>45810</v>
      </c>
      <c r="Y227" s="69">
        <v>45810</v>
      </c>
      <c r="Z227" s="31" t="str">
        <f t="shared" ca="1" si="16"/>
        <v>0 Tahun 4 Bulan 29 Hari</v>
      </c>
      <c r="AA227" s="23" t="s">
        <v>203</v>
      </c>
      <c r="AB227" s="32">
        <v>37357</v>
      </c>
      <c r="AC227" s="32" t="s">
        <v>1378</v>
      </c>
      <c r="AD227" s="22" t="str">
        <f t="shared" ca="1" si="15"/>
        <v xml:space="preserve">23 Tahun 6 Bulan </v>
      </c>
      <c r="AE227" s="23" t="s">
        <v>1379</v>
      </c>
      <c r="AF227" s="34"/>
      <c r="AG227" s="22" t="s">
        <v>1145</v>
      </c>
      <c r="AH227" s="58"/>
      <c r="AI227" s="58"/>
      <c r="AJ227" s="87"/>
      <c r="AK227" s="61" t="s">
        <v>314</v>
      </c>
      <c r="AL227" s="36"/>
    </row>
    <row r="228" spans="1:39" ht="14.45" customHeight="1" x14ac:dyDescent="0.25">
      <c r="A228" s="17">
        <v>44</v>
      </c>
      <c r="B228" s="18"/>
      <c r="C228" s="50" t="s">
        <v>5746</v>
      </c>
      <c r="D228" s="20" t="s">
        <v>1380</v>
      </c>
      <c r="E228" s="21" t="s">
        <v>56</v>
      </c>
      <c r="F228" s="22" t="s">
        <v>192</v>
      </c>
      <c r="G228" s="23" t="s">
        <v>227</v>
      </c>
      <c r="H228" s="22" t="s">
        <v>228</v>
      </c>
      <c r="I228" s="22" t="s">
        <v>155</v>
      </c>
      <c r="J228" s="22" t="s">
        <v>1104</v>
      </c>
      <c r="K228" s="24" t="s">
        <v>195</v>
      </c>
      <c r="L228" s="22"/>
      <c r="M228" s="22"/>
      <c r="N228" s="22"/>
      <c r="O228" s="22"/>
      <c r="P228" s="22"/>
      <c r="Q228" s="22"/>
      <c r="R228" s="22"/>
      <c r="S228" s="23" t="s">
        <v>84</v>
      </c>
      <c r="T228" s="23"/>
      <c r="U228" s="23"/>
      <c r="V228" s="23"/>
      <c r="W228" s="69">
        <v>45809</v>
      </c>
      <c r="X228" s="69">
        <v>45810</v>
      </c>
      <c r="Y228" s="69">
        <v>45810</v>
      </c>
      <c r="Z228" s="31" t="str">
        <f t="shared" ca="1" si="16"/>
        <v>0 Tahun 4 Bulan 29 Hari</v>
      </c>
      <c r="AA228" s="23" t="s">
        <v>1381</v>
      </c>
      <c r="AB228" s="32">
        <v>36595</v>
      </c>
      <c r="AC228" s="32" t="s">
        <v>1382</v>
      </c>
      <c r="AD228" s="22" t="str">
        <f t="shared" ca="1" si="15"/>
        <v xml:space="preserve">25 Tahun 7 Bulan </v>
      </c>
      <c r="AE228" s="33" t="s">
        <v>1106</v>
      </c>
      <c r="AF228" s="34"/>
      <c r="AG228" s="22" t="s">
        <v>1145</v>
      </c>
      <c r="AH228" s="58"/>
      <c r="AI228" s="58"/>
      <c r="AJ228" s="58"/>
      <c r="AK228" s="33"/>
      <c r="AL228" s="36"/>
    </row>
    <row r="229" spans="1:39" ht="14.45" customHeight="1" x14ac:dyDescent="0.25">
      <c r="A229" s="17">
        <v>45</v>
      </c>
      <c r="B229" s="18"/>
      <c r="C229" s="50" t="s">
        <v>5747</v>
      </c>
      <c r="D229" s="20" t="s">
        <v>1383</v>
      </c>
      <c r="E229" s="21" t="s">
        <v>56</v>
      </c>
      <c r="F229" s="22" t="s">
        <v>192</v>
      </c>
      <c r="G229" s="23" t="s">
        <v>227</v>
      </c>
      <c r="H229" s="22" t="s">
        <v>228</v>
      </c>
      <c r="I229" s="22" t="s">
        <v>155</v>
      </c>
      <c r="J229" s="22" t="s">
        <v>1104</v>
      </c>
      <c r="K229" s="24" t="s">
        <v>195</v>
      </c>
      <c r="L229" s="22"/>
      <c r="M229" s="22"/>
      <c r="N229" s="22"/>
      <c r="O229" s="22"/>
      <c r="P229" s="22"/>
      <c r="Q229" s="22"/>
      <c r="R229" s="22"/>
      <c r="S229" s="23" t="s">
        <v>84</v>
      </c>
      <c r="T229" s="23"/>
      <c r="U229" s="23"/>
      <c r="V229" s="23"/>
      <c r="W229" s="69">
        <v>45809</v>
      </c>
      <c r="X229" s="69">
        <v>45810</v>
      </c>
      <c r="Y229" s="69">
        <v>45810</v>
      </c>
      <c r="Z229" s="31" t="str">
        <f t="shared" ca="1" si="16"/>
        <v>0 Tahun 4 Bulan 29 Hari</v>
      </c>
      <c r="AA229" s="23" t="s">
        <v>1384</v>
      </c>
      <c r="AB229" s="32">
        <v>34373</v>
      </c>
      <c r="AC229" s="32" t="s">
        <v>1385</v>
      </c>
      <c r="AD229" s="22" t="str">
        <f t="shared" ca="1" si="15"/>
        <v xml:space="preserve">31 Tahun 8 Bulan </v>
      </c>
      <c r="AE229" s="33" t="s">
        <v>1106</v>
      </c>
      <c r="AF229" s="34"/>
      <c r="AG229" s="22" t="s">
        <v>1145</v>
      </c>
      <c r="AH229" s="22"/>
      <c r="AI229" s="22"/>
      <c r="AJ229" s="22"/>
      <c r="AK229" s="33" t="s">
        <v>314</v>
      </c>
      <c r="AL229" s="36"/>
    </row>
    <row r="230" spans="1:39" ht="14.45" customHeight="1" x14ac:dyDescent="0.25">
      <c r="A230" s="17">
        <v>46</v>
      </c>
      <c r="B230" s="18"/>
      <c r="C230" s="50" t="s">
        <v>5748</v>
      </c>
      <c r="D230" s="20" t="s">
        <v>1386</v>
      </c>
      <c r="E230" s="21" t="s">
        <v>56</v>
      </c>
      <c r="F230" s="22" t="s">
        <v>192</v>
      </c>
      <c r="G230" s="23" t="s">
        <v>227</v>
      </c>
      <c r="H230" s="22" t="s">
        <v>228</v>
      </c>
      <c r="I230" s="22" t="s">
        <v>155</v>
      </c>
      <c r="J230" s="22" t="s">
        <v>1104</v>
      </c>
      <c r="K230" s="24" t="s">
        <v>195</v>
      </c>
      <c r="L230" s="22"/>
      <c r="M230" s="22"/>
      <c r="N230" s="22"/>
      <c r="O230" s="22"/>
      <c r="P230" s="22"/>
      <c r="Q230" s="22"/>
      <c r="R230" s="22"/>
      <c r="S230" s="23" t="s">
        <v>84</v>
      </c>
      <c r="T230" s="23"/>
      <c r="U230" s="23"/>
      <c r="V230" s="23"/>
      <c r="W230" s="69">
        <v>45809</v>
      </c>
      <c r="X230" s="69">
        <v>45810</v>
      </c>
      <c r="Y230" s="69">
        <v>45810</v>
      </c>
      <c r="Z230" s="31" t="str">
        <f t="shared" ca="1" si="16"/>
        <v>0 Tahun 4 Bulan 29 Hari</v>
      </c>
      <c r="AA230" s="23" t="s">
        <v>1387</v>
      </c>
      <c r="AB230" s="32">
        <v>35101</v>
      </c>
      <c r="AC230" s="32" t="s">
        <v>1388</v>
      </c>
      <c r="AD230" s="22" t="str">
        <f t="shared" ca="1" si="15"/>
        <v xml:space="preserve">29 Tahun 8 Bulan </v>
      </c>
      <c r="AE230" s="33" t="s">
        <v>1106</v>
      </c>
      <c r="AF230" s="34"/>
      <c r="AG230" s="22" t="s">
        <v>1145</v>
      </c>
      <c r="AH230" s="58"/>
      <c r="AI230" s="58"/>
      <c r="AJ230" s="58"/>
      <c r="AK230" s="33" t="s">
        <v>314</v>
      </c>
      <c r="AL230" s="36"/>
    </row>
    <row r="231" spans="1:39" ht="14.45" customHeight="1" x14ac:dyDescent="0.25">
      <c r="A231" s="17">
        <v>47</v>
      </c>
      <c r="B231" s="18" t="s">
        <v>1389</v>
      </c>
      <c r="C231" s="293" t="s">
        <v>1390</v>
      </c>
      <c r="D231" s="20" t="s">
        <v>5749</v>
      </c>
      <c r="E231" s="52" t="s">
        <v>56</v>
      </c>
      <c r="F231" s="22" t="s">
        <v>5691</v>
      </c>
      <c r="G231" s="23" t="s">
        <v>3872</v>
      </c>
      <c r="H231" s="22" t="s">
        <v>5692</v>
      </c>
      <c r="I231" s="22" t="s">
        <v>155</v>
      </c>
      <c r="J231" s="22" t="s">
        <v>5687</v>
      </c>
      <c r="K231" s="24"/>
      <c r="L231" s="53"/>
      <c r="M231" s="26"/>
      <c r="N231" s="26"/>
      <c r="O231" s="27"/>
      <c r="P231" s="53"/>
      <c r="Q231" s="29"/>
      <c r="R231" s="26"/>
      <c r="S231" s="23" t="s">
        <v>251</v>
      </c>
      <c r="T231" s="23"/>
      <c r="U231" s="23"/>
      <c r="V231" s="23"/>
      <c r="W231" s="30">
        <v>45931</v>
      </c>
      <c r="X231" s="30">
        <v>45261</v>
      </c>
      <c r="Y231" s="30">
        <v>45261</v>
      </c>
      <c r="Z231" s="55" t="str">
        <f ca="1">DATEDIF(X231,TODAY(),"y")&amp;" Tahun "&amp;DATEDIF(X231,TODAY(),"ym")&amp;" Bulan "&amp;DATEDIF(X231,TODAY(),"md")&amp;" Hari"</f>
        <v>1 Tahun 10 Bulan 30 Hari</v>
      </c>
      <c r="AA231" s="55" t="s">
        <v>76</v>
      </c>
      <c r="AB231" s="56">
        <v>33160</v>
      </c>
      <c r="AC231" s="32" t="s">
        <v>5750</v>
      </c>
      <c r="AD231" s="57" t="str">
        <f ca="1">DATEDIF(AB231,TODAY(),"y")&amp;" Tahun "&amp;DATEDIF(AB231,TODAY(),"ym")&amp;" Bulan "</f>
        <v xml:space="preserve">35 Tahun 0 Bulan </v>
      </c>
      <c r="AE231" s="33" t="s">
        <v>1064</v>
      </c>
      <c r="AF231" s="34"/>
      <c r="AG231" s="22" t="s">
        <v>1392</v>
      </c>
      <c r="AH231" s="22"/>
      <c r="AI231" s="22"/>
      <c r="AJ231" s="22"/>
      <c r="AK231" s="33" t="s">
        <v>200</v>
      </c>
      <c r="AL231" s="36"/>
    </row>
    <row r="232" spans="1:39" ht="14.45" customHeight="1" x14ac:dyDescent="0.25">
      <c r="A232" s="17">
        <v>48</v>
      </c>
      <c r="B232" s="18"/>
      <c r="C232" s="50" t="s">
        <v>1393</v>
      </c>
      <c r="D232" s="20" t="s">
        <v>1394</v>
      </c>
      <c r="E232" s="52" t="s">
        <v>56</v>
      </c>
      <c r="F232" s="22" t="s">
        <v>41</v>
      </c>
      <c r="G232" s="23" t="s">
        <v>115</v>
      </c>
      <c r="H232" s="22" t="s">
        <v>116</v>
      </c>
      <c r="I232" s="22" t="s">
        <v>44</v>
      </c>
      <c r="J232" s="22" t="s">
        <v>148</v>
      </c>
      <c r="K232" s="24">
        <v>45931</v>
      </c>
      <c r="L232" s="53" t="s">
        <v>1395</v>
      </c>
      <c r="M232" s="26">
        <v>42717</v>
      </c>
      <c r="N232" s="26">
        <v>44478</v>
      </c>
      <c r="O232" s="27" t="s">
        <v>84</v>
      </c>
      <c r="P232" s="53" t="s">
        <v>1396</v>
      </c>
      <c r="Q232" s="26">
        <v>43004</v>
      </c>
      <c r="R232" s="26">
        <v>44478</v>
      </c>
      <c r="S232" s="23" t="s">
        <v>84</v>
      </c>
      <c r="T232" s="23"/>
      <c r="U232" s="23"/>
      <c r="V232" s="23"/>
      <c r="W232" s="30">
        <v>32203</v>
      </c>
      <c r="X232" s="30">
        <v>32203</v>
      </c>
      <c r="Y232" s="30">
        <v>43887</v>
      </c>
      <c r="Z232" s="55" t="str">
        <f ca="1">DATEDIF(W232,TODAY(),"y")&amp;" Tahun "&amp;DATEDIF(W232,TODAY(),"ym")&amp;" Bulan "&amp;DATEDIF(W232,TODAY(),"md")&amp;" Hari"</f>
        <v>37 Tahun 7 Bulan 30 Hari</v>
      </c>
      <c r="AA232" s="66" t="s">
        <v>76</v>
      </c>
      <c r="AB232" s="56">
        <v>24754</v>
      </c>
      <c r="AC232" s="32" t="s">
        <v>1397</v>
      </c>
      <c r="AD232" s="57" t="str">
        <f t="shared" ref="AD232:AD295" ca="1" si="17">DATEDIF(AB232,TODAY(),"y")&amp;" Tahun "&amp;DATEDIF(AB232,TODAY(),"ym")&amp;" Bulan "</f>
        <v xml:space="preserve">58 Tahun 0 Bulan </v>
      </c>
      <c r="AE232" s="33" t="s">
        <v>1151</v>
      </c>
      <c r="AF232" s="71"/>
      <c r="AG232" s="58" t="s">
        <v>1398</v>
      </c>
      <c r="AH232" s="22"/>
      <c r="AI232" s="22"/>
      <c r="AJ232" s="22"/>
      <c r="AK232" s="33" t="s">
        <v>200</v>
      </c>
      <c r="AL232" s="36"/>
    </row>
    <row r="233" spans="1:39" ht="14.45" customHeight="1" x14ac:dyDescent="0.25">
      <c r="A233" s="17">
        <v>49</v>
      </c>
      <c r="B233" s="78"/>
      <c r="C233" s="50" t="s">
        <v>1399</v>
      </c>
      <c r="D233" s="20" t="s">
        <v>1400</v>
      </c>
      <c r="E233" s="52" t="s">
        <v>56</v>
      </c>
      <c r="F233" s="22" t="s">
        <v>41</v>
      </c>
      <c r="G233" s="23" t="s">
        <v>137</v>
      </c>
      <c r="H233" s="22" t="s">
        <v>138</v>
      </c>
      <c r="I233" s="22" t="s">
        <v>44</v>
      </c>
      <c r="J233" s="22" t="s">
        <v>1148</v>
      </c>
      <c r="K233" s="24">
        <v>45323</v>
      </c>
      <c r="L233" s="25" t="s">
        <v>1401</v>
      </c>
      <c r="M233" s="26">
        <v>42926</v>
      </c>
      <c r="N233" s="26">
        <v>44650</v>
      </c>
      <c r="O233" s="27" t="s">
        <v>1155</v>
      </c>
      <c r="P233" s="53" t="s">
        <v>1402</v>
      </c>
      <c r="Q233" s="29">
        <v>43052</v>
      </c>
      <c r="R233" s="26">
        <v>44650</v>
      </c>
      <c r="S233" s="33" t="s">
        <v>84</v>
      </c>
      <c r="T233" s="23">
        <v>2021</v>
      </c>
      <c r="U233" s="23"/>
      <c r="V233" s="23"/>
      <c r="W233" s="30">
        <v>39783</v>
      </c>
      <c r="X233" s="30">
        <v>39965</v>
      </c>
      <c r="Y233" s="30">
        <v>39965</v>
      </c>
      <c r="Z233" s="55" t="str">
        <f ca="1">DATEDIF(W233,TODAY(),"y")&amp;" Tahun "&amp;DATEDIF(W233,TODAY(),"ym")&amp;" Bulan "&amp;DATEDIF(W233,TODAY(),"md")&amp;" Hari"</f>
        <v>16 Tahun 10 Bulan 30 Hari</v>
      </c>
      <c r="AA233" s="55" t="s">
        <v>76</v>
      </c>
      <c r="AB233" s="56">
        <v>30405</v>
      </c>
      <c r="AC233" s="31" t="s">
        <v>1403</v>
      </c>
      <c r="AD233" s="57" t="str">
        <f t="shared" ca="1" si="17"/>
        <v xml:space="preserve">42 Tahun 7 Bulan </v>
      </c>
      <c r="AE233" s="33" t="s">
        <v>1158</v>
      </c>
      <c r="AF233" s="34"/>
      <c r="AG233" s="58" t="s">
        <v>1398</v>
      </c>
      <c r="AH233" s="22"/>
      <c r="AI233" s="22"/>
      <c r="AJ233" s="22"/>
      <c r="AK233" s="33" t="s">
        <v>200</v>
      </c>
      <c r="AL233" s="36"/>
    </row>
    <row r="234" spans="1:39" ht="14.45" customHeight="1" x14ac:dyDescent="0.25">
      <c r="A234" s="17">
        <v>50</v>
      </c>
      <c r="B234" s="52"/>
      <c r="C234" s="50" t="s">
        <v>1404</v>
      </c>
      <c r="D234" s="20" t="s">
        <v>1405</v>
      </c>
      <c r="E234" s="52" t="s">
        <v>56</v>
      </c>
      <c r="F234" s="22" t="s">
        <v>41</v>
      </c>
      <c r="G234" s="23" t="s">
        <v>227</v>
      </c>
      <c r="H234" s="22" t="s">
        <v>228</v>
      </c>
      <c r="I234" s="22" t="s">
        <v>44</v>
      </c>
      <c r="J234" s="22" t="s">
        <v>1104</v>
      </c>
      <c r="K234" s="77">
        <v>44621</v>
      </c>
      <c r="L234" s="25"/>
      <c r="M234" s="26"/>
      <c r="N234" s="26"/>
      <c r="O234" s="27"/>
      <c r="P234" s="28"/>
      <c r="Q234" s="29"/>
      <c r="R234" s="26"/>
      <c r="S234" s="23" t="s">
        <v>84</v>
      </c>
      <c r="T234" s="23">
        <v>2020</v>
      </c>
      <c r="U234" s="23"/>
      <c r="V234" s="23"/>
      <c r="W234" s="77">
        <v>44621</v>
      </c>
      <c r="X234" s="77">
        <v>44621</v>
      </c>
      <c r="Y234" s="77">
        <v>44621</v>
      </c>
      <c r="Z234" s="55" t="str">
        <f t="shared" ref="Z234:Z242" ca="1" si="18">DATEDIF(X234,TODAY(),"y")&amp;" Tahun "&amp;DATEDIF(X234,TODAY(),"ym")&amp;" Bulan "&amp;DATEDIF(X234,TODAY(),"md")&amp;" Hari"</f>
        <v>3 Tahun 7 Bulan 30 Hari</v>
      </c>
      <c r="AA234" s="55" t="s">
        <v>260</v>
      </c>
      <c r="AB234" s="56">
        <v>34995</v>
      </c>
      <c r="AC234" s="32" t="s">
        <v>1406</v>
      </c>
      <c r="AD234" s="57" t="str">
        <f t="shared" ca="1" si="17"/>
        <v xml:space="preserve">30 Tahun 0 Bulan </v>
      </c>
      <c r="AE234" s="33" t="s">
        <v>1106</v>
      </c>
      <c r="AF234" s="71"/>
      <c r="AG234" s="58" t="s">
        <v>1398</v>
      </c>
      <c r="AH234" s="22"/>
      <c r="AI234" s="22"/>
      <c r="AJ234" s="22"/>
      <c r="AK234" s="33" t="s">
        <v>200</v>
      </c>
      <c r="AL234" s="36"/>
    </row>
    <row r="235" spans="1:39" ht="14.45" customHeight="1" x14ac:dyDescent="0.25">
      <c r="A235" s="17">
        <v>1</v>
      </c>
      <c r="B235" s="78"/>
      <c r="C235" s="50" t="s">
        <v>1407</v>
      </c>
      <c r="D235" s="20" t="s">
        <v>1408</v>
      </c>
      <c r="E235" s="52" t="s">
        <v>56</v>
      </c>
      <c r="F235" s="58" t="s">
        <v>238</v>
      </c>
      <c r="G235" s="33" t="s">
        <v>3872</v>
      </c>
      <c r="H235" s="22" t="s">
        <v>1078</v>
      </c>
      <c r="I235" s="22" t="s">
        <v>44</v>
      </c>
      <c r="J235" s="22" t="s">
        <v>1293</v>
      </c>
      <c r="K235" s="22"/>
      <c r="L235" s="53" t="s">
        <v>1409</v>
      </c>
      <c r="M235" s="26">
        <v>43047</v>
      </c>
      <c r="N235" s="26">
        <v>44688</v>
      </c>
      <c r="O235" s="27" t="s">
        <v>1155</v>
      </c>
      <c r="P235" s="28" t="s">
        <v>1410</v>
      </c>
      <c r="Q235" s="29">
        <v>43151</v>
      </c>
      <c r="R235" s="26">
        <v>44688</v>
      </c>
      <c r="S235" s="23" t="s">
        <v>1167</v>
      </c>
      <c r="T235" s="23"/>
      <c r="U235" s="23"/>
      <c r="V235" s="23"/>
      <c r="W235" s="77">
        <v>45047</v>
      </c>
      <c r="X235" s="30">
        <v>39424</v>
      </c>
      <c r="Y235" s="30">
        <v>39845</v>
      </c>
      <c r="Z235" s="55" t="str">
        <f t="shared" ca="1" si="18"/>
        <v>17 Tahun 10 Bulan 23 Hari</v>
      </c>
      <c r="AA235" s="55" t="s">
        <v>76</v>
      </c>
      <c r="AB235" s="56">
        <v>30443</v>
      </c>
      <c r="AC235" s="32" t="s">
        <v>1411</v>
      </c>
      <c r="AD235" s="57" t="str">
        <f t="shared" ca="1" si="17"/>
        <v xml:space="preserve">42 Tahun 5 Bulan </v>
      </c>
      <c r="AE235" s="33" t="s">
        <v>1106</v>
      </c>
      <c r="AF235" s="71"/>
      <c r="AG235" s="58" t="s">
        <v>1398</v>
      </c>
      <c r="AH235" s="22"/>
      <c r="AI235" s="22"/>
      <c r="AJ235" s="22"/>
      <c r="AK235" s="33"/>
      <c r="AL235" s="36"/>
    </row>
    <row r="236" spans="1:39" ht="14.45" customHeight="1" x14ac:dyDescent="0.25">
      <c r="A236" s="115">
        <v>1</v>
      </c>
      <c r="B236" s="52"/>
      <c r="C236" s="50" t="s">
        <v>1412</v>
      </c>
      <c r="D236" s="20" t="s">
        <v>1413</v>
      </c>
      <c r="E236" s="52" t="s">
        <v>56</v>
      </c>
      <c r="F236" s="22" t="s">
        <v>41</v>
      </c>
      <c r="G236" s="23" t="s">
        <v>227</v>
      </c>
      <c r="H236" s="22" t="s">
        <v>228</v>
      </c>
      <c r="I236" s="22" t="s">
        <v>44</v>
      </c>
      <c r="J236" s="22" t="s">
        <v>1104</v>
      </c>
      <c r="K236" s="77">
        <v>44621</v>
      </c>
      <c r="L236" s="25"/>
      <c r="M236" s="26"/>
      <c r="N236" s="26"/>
      <c r="O236" s="27"/>
      <c r="P236" s="28"/>
      <c r="Q236" s="29"/>
      <c r="R236" s="26"/>
      <c r="S236" s="23" t="s">
        <v>84</v>
      </c>
      <c r="T236" s="23">
        <v>2018</v>
      </c>
      <c r="U236" s="23"/>
      <c r="V236" s="23"/>
      <c r="W236" s="77">
        <v>44621</v>
      </c>
      <c r="X236" s="77">
        <v>44621</v>
      </c>
      <c r="Y236" s="77">
        <v>44621</v>
      </c>
      <c r="Z236" s="55" t="str">
        <f t="shared" ca="1" si="18"/>
        <v>3 Tahun 7 Bulan 30 Hari</v>
      </c>
      <c r="AA236" s="55" t="s">
        <v>297</v>
      </c>
      <c r="AB236" s="56">
        <v>34361</v>
      </c>
      <c r="AC236" s="32" t="s">
        <v>1414</v>
      </c>
      <c r="AD236" s="57" t="str">
        <f t="shared" ca="1" si="17"/>
        <v xml:space="preserve">31 Tahun 9 Bulan </v>
      </c>
      <c r="AE236" s="33" t="s">
        <v>1106</v>
      </c>
      <c r="AF236" s="71"/>
      <c r="AG236" s="58" t="s">
        <v>1398</v>
      </c>
      <c r="AH236" s="58"/>
      <c r="AI236" s="58"/>
      <c r="AJ236" s="87"/>
      <c r="AK236" s="61"/>
      <c r="AL236" s="36"/>
    </row>
    <row r="237" spans="1:39" ht="14.45" customHeight="1" x14ac:dyDescent="0.25">
      <c r="A237" s="115">
        <v>2</v>
      </c>
      <c r="B237" s="78"/>
      <c r="C237" s="50" t="s">
        <v>1415</v>
      </c>
      <c r="D237" s="62" t="s">
        <v>1416</v>
      </c>
      <c r="E237" s="21" t="s">
        <v>56</v>
      </c>
      <c r="F237" s="22" t="s">
        <v>238</v>
      </c>
      <c r="G237" s="23" t="s">
        <v>3872</v>
      </c>
      <c r="H237" s="22" t="s">
        <v>305</v>
      </c>
      <c r="I237" s="22" t="s">
        <v>44</v>
      </c>
      <c r="J237" s="22" t="s">
        <v>1104</v>
      </c>
      <c r="K237" s="30"/>
      <c r="L237" s="25"/>
      <c r="M237" s="29"/>
      <c r="N237" s="26"/>
      <c r="O237" s="27"/>
      <c r="P237" s="28"/>
      <c r="Q237" s="29"/>
      <c r="R237" s="26"/>
      <c r="S237" s="23" t="s">
        <v>84</v>
      </c>
      <c r="T237" s="23"/>
      <c r="U237" s="23"/>
      <c r="V237" s="23"/>
      <c r="W237" s="30">
        <v>45383</v>
      </c>
      <c r="X237" s="30">
        <v>45383</v>
      </c>
      <c r="Y237" s="30">
        <v>45383</v>
      </c>
      <c r="Z237" s="31" t="str">
        <f t="shared" ca="1" si="18"/>
        <v>1 Tahun 6 Bulan 30 Hari</v>
      </c>
      <c r="AA237" s="31" t="s">
        <v>1417</v>
      </c>
      <c r="AB237" s="32">
        <v>34081</v>
      </c>
      <c r="AC237" s="31" t="s">
        <v>1418</v>
      </c>
      <c r="AD237" s="22" t="str">
        <f t="shared" ca="1" si="17"/>
        <v xml:space="preserve">32 Tahun 6 Bulan </v>
      </c>
      <c r="AE237" s="33" t="s">
        <v>1106</v>
      </c>
      <c r="AF237" s="34"/>
      <c r="AG237" s="58" t="s">
        <v>1398</v>
      </c>
      <c r="AH237" s="58"/>
      <c r="AI237" s="58"/>
      <c r="AJ237" s="87"/>
      <c r="AK237" s="61"/>
      <c r="AL237" s="36"/>
      <c r="AM237" s="14"/>
    </row>
    <row r="238" spans="1:39" ht="14.45" customHeight="1" x14ac:dyDescent="0.25">
      <c r="A238" s="115">
        <v>3</v>
      </c>
      <c r="B238" s="78"/>
      <c r="C238" s="50" t="s">
        <v>1419</v>
      </c>
      <c r="D238" s="20">
        <v>2024080731</v>
      </c>
      <c r="E238" s="21" t="s">
        <v>56</v>
      </c>
      <c r="F238" s="22" t="s">
        <v>1063</v>
      </c>
      <c r="G238" s="23" t="s">
        <v>3872</v>
      </c>
      <c r="H238" s="22" t="s">
        <v>3872</v>
      </c>
      <c r="I238" s="22"/>
      <c r="J238" s="22"/>
      <c r="K238" s="30"/>
      <c r="L238" s="53"/>
      <c r="M238" s="26"/>
      <c r="N238" s="26"/>
      <c r="O238" s="27"/>
      <c r="P238" s="53"/>
      <c r="Q238" s="26"/>
      <c r="R238" s="29"/>
      <c r="S238" s="23" t="s">
        <v>84</v>
      </c>
      <c r="T238" s="23"/>
      <c r="U238" s="23"/>
      <c r="V238" s="23"/>
      <c r="W238" s="30"/>
      <c r="X238" s="30">
        <v>45505</v>
      </c>
      <c r="Y238" s="30">
        <v>45505</v>
      </c>
      <c r="Z238" s="31" t="str">
        <f t="shared" ca="1" si="18"/>
        <v>1 Tahun 2 Bulan 30 Hari</v>
      </c>
      <c r="AA238" s="31" t="s">
        <v>260</v>
      </c>
      <c r="AB238" s="32">
        <v>33174</v>
      </c>
      <c r="AC238" s="31" t="s">
        <v>1420</v>
      </c>
      <c r="AD238" s="22" t="str">
        <f t="shared" ca="1" si="17"/>
        <v xml:space="preserve">35 Tahun 0 Bulan </v>
      </c>
      <c r="AE238" s="33" t="s">
        <v>1106</v>
      </c>
      <c r="AF238" s="34"/>
      <c r="AG238" s="58" t="s">
        <v>1398</v>
      </c>
      <c r="AH238" s="58"/>
      <c r="AI238" s="58"/>
      <c r="AJ238" s="58"/>
      <c r="AK238" s="33"/>
      <c r="AL238" s="36"/>
    </row>
    <row r="239" spans="1:39" ht="14.45" customHeight="1" x14ac:dyDescent="0.25">
      <c r="A239" s="115">
        <v>4</v>
      </c>
      <c r="B239" s="78"/>
      <c r="C239" s="50" t="s">
        <v>1422</v>
      </c>
      <c r="D239" s="20">
        <v>2024080759</v>
      </c>
      <c r="E239" s="21" t="s">
        <v>40</v>
      </c>
      <c r="F239" s="22" t="s">
        <v>1063</v>
      </c>
      <c r="G239" s="23" t="s">
        <v>3872</v>
      </c>
      <c r="H239" s="22" t="s">
        <v>3872</v>
      </c>
      <c r="I239" s="22"/>
      <c r="J239" s="22"/>
      <c r="K239" s="30"/>
      <c r="L239" s="53"/>
      <c r="M239" s="26"/>
      <c r="N239" s="26"/>
      <c r="O239" s="27"/>
      <c r="P239" s="53"/>
      <c r="Q239" s="26"/>
      <c r="R239" s="29"/>
      <c r="S239" s="23" t="s">
        <v>84</v>
      </c>
      <c r="T239" s="23"/>
      <c r="U239" s="23"/>
      <c r="V239" s="23"/>
      <c r="W239" s="30"/>
      <c r="X239" s="30">
        <v>45505</v>
      </c>
      <c r="Y239" s="30">
        <v>45505</v>
      </c>
      <c r="Z239" s="31" t="str">
        <f t="shared" ca="1" si="18"/>
        <v>1 Tahun 2 Bulan 30 Hari</v>
      </c>
      <c r="AA239" s="31" t="s">
        <v>141</v>
      </c>
      <c r="AB239" s="32">
        <v>33222</v>
      </c>
      <c r="AC239" s="31" t="s">
        <v>1423</v>
      </c>
      <c r="AD239" s="22" t="str">
        <f t="shared" ca="1" si="17"/>
        <v xml:space="preserve">34 Tahun 10 Bulan </v>
      </c>
      <c r="AE239" s="33" t="s">
        <v>1106</v>
      </c>
      <c r="AF239" s="34"/>
      <c r="AG239" s="58" t="s">
        <v>1398</v>
      </c>
      <c r="AH239" s="58"/>
      <c r="AI239" s="58"/>
      <c r="AJ239" s="87"/>
      <c r="AK239" s="61" t="s">
        <v>314</v>
      </c>
      <c r="AL239" s="36"/>
    </row>
    <row r="240" spans="1:39" ht="14.45" customHeight="1" x14ac:dyDescent="0.25">
      <c r="A240" s="115">
        <v>5</v>
      </c>
      <c r="B240" s="78"/>
      <c r="C240" s="50" t="s">
        <v>5751</v>
      </c>
      <c r="D240" s="20" t="s">
        <v>1424</v>
      </c>
      <c r="E240" s="21" t="s">
        <v>40</v>
      </c>
      <c r="F240" s="22" t="s">
        <v>238</v>
      </c>
      <c r="G240" s="33" t="s">
        <v>3872</v>
      </c>
      <c r="H240" s="22" t="s">
        <v>305</v>
      </c>
      <c r="I240" s="22" t="s">
        <v>44</v>
      </c>
      <c r="J240" s="22" t="s">
        <v>1104</v>
      </c>
      <c r="K240" s="22"/>
      <c r="L240" s="53"/>
      <c r="M240" s="26"/>
      <c r="N240" s="26"/>
      <c r="O240" s="27"/>
      <c r="P240" s="28"/>
      <c r="Q240" s="29"/>
      <c r="R240" s="26"/>
      <c r="S240" s="23" t="s">
        <v>84</v>
      </c>
      <c r="T240" s="23"/>
      <c r="U240" s="23"/>
      <c r="V240" s="23"/>
      <c r="W240" s="77">
        <v>45047</v>
      </c>
      <c r="X240" s="30">
        <v>45048</v>
      </c>
      <c r="Y240" s="30">
        <v>45048</v>
      </c>
      <c r="Z240" s="31" t="str">
        <f t="shared" ca="1" si="18"/>
        <v>2 Tahun 5 Bulan 29 Hari</v>
      </c>
      <c r="AA240" s="31" t="s">
        <v>1183</v>
      </c>
      <c r="AB240" s="32">
        <v>32536</v>
      </c>
      <c r="AC240" s="31" t="s">
        <v>1425</v>
      </c>
      <c r="AD240" s="22" t="str">
        <f t="shared" ca="1" si="17"/>
        <v xml:space="preserve">36 Tahun 9 Bulan </v>
      </c>
      <c r="AE240" s="33" t="s">
        <v>1106</v>
      </c>
      <c r="AF240" s="34"/>
      <c r="AG240" s="58" t="s">
        <v>1398</v>
      </c>
      <c r="AH240" s="58"/>
      <c r="AI240" s="58"/>
      <c r="AJ240" s="58"/>
      <c r="AK240" s="33"/>
      <c r="AL240" s="36"/>
    </row>
    <row r="241" spans="1:39" ht="14.45" customHeight="1" x14ac:dyDescent="0.25">
      <c r="A241" s="115">
        <v>6</v>
      </c>
      <c r="B241" s="78"/>
      <c r="C241" s="50" t="s">
        <v>1426</v>
      </c>
      <c r="D241" s="62" t="s">
        <v>1427</v>
      </c>
      <c r="E241" s="21" t="s">
        <v>56</v>
      </c>
      <c r="F241" s="22" t="s">
        <v>238</v>
      </c>
      <c r="G241" s="23" t="s">
        <v>3872</v>
      </c>
      <c r="H241" s="22" t="s">
        <v>305</v>
      </c>
      <c r="I241" s="22" t="s">
        <v>44</v>
      </c>
      <c r="J241" s="22" t="s">
        <v>1104</v>
      </c>
      <c r="K241" s="30"/>
      <c r="L241" s="25"/>
      <c r="M241" s="29"/>
      <c r="N241" s="26"/>
      <c r="O241" s="27"/>
      <c r="P241" s="28"/>
      <c r="Q241" s="29"/>
      <c r="R241" s="26"/>
      <c r="S241" s="23" t="s">
        <v>84</v>
      </c>
      <c r="T241" s="23"/>
      <c r="U241" s="23"/>
      <c r="V241" s="23"/>
      <c r="W241" s="30">
        <v>45383</v>
      </c>
      <c r="X241" s="30">
        <v>45383</v>
      </c>
      <c r="Y241" s="30">
        <v>45383</v>
      </c>
      <c r="Z241" s="31" t="str">
        <f t="shared" ca="1" si="18"/>
        <v>1 Tahun 6 Bulan 30 Hari</v>
      </c>
      <c r="AA241" s="31" t="s">
        <v>806</v>
      </c>
      <c r="AB241" s="32">
        <v>33573</v>
      </c>
      <c r="AC241" s="31" t="s">
        <v>1428</v>
      </c>
      <c r="AD241" s="22" t="str">
        <f t="shared" ca="1" si="17"/>
        <v xml:space="preserve">33 Tahun 10 Bulan </v>
      </c>
      <c r="AE241" s="33" t="s">
        <v>1106</v>
      </c>
      <c r="AF241" s="34"/>
      <c r="AG241" s="58" t="s">
        <v>1398</v>
      </c>
      <c r="AH241" s="22"/>
      <c r="AI241" s="22"/>
      <c r="AJ241" s="22"/>
      <c r="AK241" s="33" t="s">
        <v>485</v>
      </c>
      <c r="AL241" s="36"/>
    </row>
    <row r="242" spans="1:39" ht="14.45" customHeight="1" x14ac:dyDescent="0.25">
      <c r="A242" s="115">
        <v>7</v>
      </c>
      <c r="B242" s="18"/>
      <c r="C242" s="50" t="s">
        <v>5752</v>
      </c>
      <c r="D242" s="20" t="s">
        <v>1429</v>
      </c>
      <c r="E242" s="21" t="s">
        <v>56</v>
      </c>
      <c r="F242" s="22" t="s">
        <v>192</v>
      </c>
      <c r="G242" s="23" t="s">
        <v>227</v>
      </c>
      <c r="H242" s="22" t="s">
        <v>228</v>
      </c>
      <c r="I242" s="22" t="s">
        <v>155</v>
      </c>
      <c r="J242" s="22" t="s">
        <v>1104</v>
      </c>
      <c r="K242" s="24" t="s">
        <v>195</v>
      </c>
      <c r="L242" s="22"/>
      <c r="M242" s="22"/>
      <c r="N242" s="22"/>
      <c r="O242" s="22"/>
      <c r="P242" s="22"/>
      <c r="Q242" s="22"/>
      <c r="R242" s="22"/>
      <c r="S242" s="23" t="s">
        <v>84</v>
      </c>
      <c r="T242" s="23"/>
      <c r="U242" s="23"/>
      <c r="V242" s="23"/>
      <c r="W242" s="69">
        <v>45809</v>
      </c>
      <c r="X242" s="69">
        <v>45810</v>
      </c>
      <c r="Y242" s="69">
        <v>45810</v>
      </c>
      <c r="Z242" s="31" t="str">
        <f t="shared" ca="1" si="18"/>
        <v>0 Tahun 4 Bulan 29 Hari</v>
      </c>
      <c r="AA242" s="23" t="s">
        <v>1045</v>
      </c>
      <c r="AB242" s="32">
        <v>34015</v>
      </c>
      <c r="AC242" s="32" t="s">
        <v>1430</v>
      </c>
      <c r="AD242" s="22" t="str">
        <f t="shared" ca="1" si="17"/>
        <v xml:space="preserve">32 Tahun 8 Bulan </v>
      </c>
      <c r="AE242" s="33" t="s">
        <v>1106</v>
      </c>
      <c r="AF242" s="34"/>
      <c r="AG242" s="58" t="s">
        <v>1398</v>
      </c>
      <c r="AH242" s="22"/>
      <c r="AI242" s="22"/>
      <c r="AJ242" s="22"/>
      <c r="AK242" s="33" t="s">
        <v>1421</v>
      </c>
      <c r="AL242" s="36"/>
      <c r="AM242" s="14"/>
    </row>
    <row r="243" spans="1:39" ht="14.45" customHeight="1" x14ac:dyDescent="0.25">
      <c r="A243" s="115">
        <v>8</v>
      </c>
      <c r="B243" s="78"/>
      <c r="C243" s="50" t="s">
        <v>1431</v>
      </c>
      <c r="D243" s="20" t="s">
        <v>1432</v>
      </c>
      <c r="E243" s="21" t="s">
        <v>56</v>
      </c>
      <c r="F243" s="22" t="s">
        <v>41</v>
      </c>
      <c r="G243" s="23" t="s">
        <v>57</v>
      </c>
      <c r="H243" s="22" t="s">
        <v>58</v>
      </c>
      <c r="I243" s="60" t="s">
        <v>44</v>
      </c>
      <c r="J243" s="22" t="s">
        <v>148</v>
      </c>
      <c r="K243" s="24">
        <v>45505</v>
      </c>
      <c r="L243" s="53" t="s">
        <v>1433</v>
      </c>
      <c r="M243" s="26">
        <v>43047</v>
      </c>
      <c r="N243" s="26">
        <v>44755</v>
      </c>
      <c r="O243" s="27" t="s">
        <v>1155</v>
      </c>
      <c r="P243" s="53" t="s">
        <v>1434</v>
      </c>
      <c r="Q243" s="26">
        <v>43367</v>
      </c>
      <c r="R243" s="26">
        <v>45120</v>
      </c>
      <c r="S243" s="23" t="s">
        <v>84</v>
      </c>
      <c r="T243" s="23">
        <v>2021</v>
      </c>
      <c r="U243" s="23"/>
      <c r="V243" s="23"/>
      <c r="W243" s="30">
        <v>38808</v>
      </c>
      <c r="X243" s="30">
        <v>38808</v>
      </c>
      <c r="Y243" s="30">
        <v>42856</v>
      </c>
      <c r="Z243" s="31" t="str">
        <f t="shared" ref="Z243:Z249" ca="1" si="19">DATEDIF(W243,TODAY(),"y")&amp;" Tahun "&amp;DATEDIF(W243,TODAY(),"ym")&amp;" Bulan "&amp;DATEDIF(W243,TODAY(),"md")&amp;" Hari"</f>
        <v>19 Tahun 6 Bulan 30 Hari</v>
      </c>
      <c r="AA243" s="31" t="s">
        <v>1435</v>
      </c>
      <c r="AB243" s="32">
        <v>30876</v>
      </c>
      <c r="AC243" s="31" t="s">
        <v>1436</v>
      </c>
      <c r="AD243" s="22" t="str">
        <f t="shared" ca="1" si="17"/>
        <v xml:space="preserve">41 Tahun 3 Bulan </v>
      </c>
      <c r="AE243" s="33" t="s">
        <v>1151</v>
      </c>
      <c r="AF243" s="34"/>
      <c r="AG243" s="22" t="s">
        <v>1437</v>
      </c>
      <c r="AH243" s="22"/>
      <c r="AI243" s="22"/>
      <c r="AJ243" s="22"/>
      <c r="AK243" s="33" t="s">
        <v>1421</v>
      </c>
      <c r="AL243" s="36"/>
      <c r="AM243" s="14"/>
    </row>
    <row r="244" spans="1:39" ht="14.45" customHeight="1" x14ac:dyDescent="0.25">
      <c r="A244" s="115">
        <v>9</v>
      </c>
      <c r="B244" s="18"/>
      <c r="C244" s="50" t="s">
        <v>1438</v>
      </c>
      <c r="D244" s="20" t="s">
        <v>1439</v>
      </c>
      <c r="E244" s="21" t="s">
        <v>40</v>
      </c>
      <c r="F244" s="22" t="s">
        <v>41</v>
      </c>
      <c r="G244" s="23" t="s">
        <v>42</v>
      </c>
      <c r="H244" s="22" t="s">
        <v>43</v>
      </c>
      <c r="I244" s="22" t="s">
        <v>44</v>
      </c>
      <c r="J244" s="22" t="s">
        <v>148</v>
      </c>
      <c r="K244" s="24">
        <v>45200</v>
      </c>
      <c r="L244" s="53" t="s">
        <v>1440</v>
      </c>
      <c r="M244" s="26">
        <v>43117</v>
      </c>
      <c r="N244" s="26">
        <v>45285</v>
      </c>
      <c r="O244" s="27" t="s">
        <v>84</v>
      </c>
      <c r="P244" s="28" t="s">
        <v>1441</v>
      </c>
      <c r="Q244" s="29">
        <v>43192</v>
      </c>
      <c r="R244" s="26">
        <v>45285</v>
      </c>
      <c r="S244" s="23" t="s">
        <v>84</v>
      </c>
      <c r="T244" s="23"/>
      <c r="U244" s="23"/>
      <c r="V244" s="23"/>
      <c r="W244" s="30">
        <v>34029</v>
      </c>
      <c r="X244" s="30">
        <v>34029</v>
      </c>
      <c r="Y244" s="30">
        <v>41791</v>
      </c>
      <c r="Z244" s="31" t="str">
        <f t="shared" ca="1" si="19"/>
        <v>32 Tahun 7 Bulan 30 Hari</v>
      </c>
      <c r="AA244" s="31" t="s">
        <v>76</v>
      </c>
      <c r="AB244" s="32">
        <v>27023</v>
      </c>
      <c r="AC244" s="31" t="s">
        <v>1442</v>
      </c>
      <c r="AD244" s="22" t="str">
        <f t="shared" ca="1" si="17"/>
        <v xml:space="preserve">51 Tahun 10 Bulan </v>
      </c>
      <c r="AE244" s="33" t="s">
        <v>1158</v>
      </c>
      <c r="AF244" s="34"/>
      <c r="AG244" s="22" t="s">
        <v>1437</v>
      </c>
      <c r="AH244" s="22"/>
      <c r="AI244" s="22"/>
      <c r="AJ244" s="22"/>
      <c r="AK244" s="33" t="s">
        <v>308</v>
      </c>
      <c r="AL244" s="36"/>
    </row>
    <row r="245" spans="1:39" ht="14.45" customHeight="1" x14ac:dyDescent="0.25">
      <c r="A245" s="115">
        <v>10</v>
      </c>
      <c r="B245" s="78"/>
      <c r="C245" s="50" t="s">
        <v>1443</v>
      </c>
      <c r="D245" s="20" t="s">
        <v>1444</v>
      </c>
      <c r="E245" s="52" t="s">
        <v>56</v>
      </c>
      <c r="F245" s="22" t="s">
        <v>41</v>
      </c>
      <c r="G245" s="23" t="s">
        <v>42</v>
      </c>
      <c r="H245" s="22" t="s">
        <v>43</v>
      </c>
      <c r="I245" s="22" t="s">
        <v>44</v>
      </c>
      <c r="J245" s="22" t="s">
        <v>148</v>
      </c>
      <c r="K245" s="24">
        <v>45200</v>
      </c>
      <c r="L245" s="53" t="s">
        <v>1445</v>
      </c>
      <c r="M245" s="26">
        <v>43047</v>
      </c>
      <c r="N245" s="26">
        <v>44827</v>
      </c>
      <c r="O245" s="27" t="s">
        <v>1155</v>
      </c>
      <c r="P245" s="28" t="s">
        <v>1446</v>
      </c>
      <c r="Q245" s="29">
        <v>43192</v>
      </c>
      <c r="R245" s="26">
        <v>44827</v>
      </c>
      <c r="S245" s="23" t="s">
        <v>84</v>
      </c>
      <c r="T245" s="23"/>
      <c r="U245" s="23"/>
      <c r="V245" s="23"/>
      <c r="W245" s="30">
        <v>35855</v>
      </c>
      <c r="X245" s="30">
        <v>35855</v>
      </c>
      <c r="Y245" s="30">
        <v>39753</v>
      </c>
      <c r="Z245" s="55" t="str">
        <f t="shared" ca="1" si="19"/>
        <v>27 Tahun 7 Bulan 30 Hari</v>
      </c>
      <c r="AA245" s="55" t="s">
        <v>1447</v>
      </c>
      <c r="AB245" s="56">
        <v>27295</v>
      </c>
      <c r="AC245" s="31" t="s">
        <v>1448</v>
      </c>
      <c r="AD245" s="57" t="str">
        <f t="shared" ca="1" si="17"/>
        <v xml:space="preserve">51 Tahun 1 Bulan </v>
      </c>
      <c r="AE245" s="33" t="s">
        <v>1158</v>
      </c>
      <c r="AF245" s="34"/>
      <c r="AG245" s="22" t="s">
        <v>1437</v>
      </c>
      <c r="AH245" s="22"/>
      <c r="AI245" s="22"/>
      <c r="AJ245" s="22"/>
      <c r="AK245" s="33" t="s">
        <v>485</v>
      </c>
      <c r="AL245" s="36"/>
    </row>
    <row r="246" spans="1:39" ht="14.45" customHeight="1" x14ac:dyDescent="0.25">
      <c r="A246" s="115">
        <v>11</v>
      </c>
      <c r="B246" s="78"/>
      <c r="C246" s="50" t="s">
        <v>1449</v>
      </c>
      <c r="D246" s="20" t="s">
        <v>1450</v>
      </c>
      <c r="E246" s="21" t="s">
        <v>56</v>
      </c>
      <c r="F246" s="22" t="s">
        <v>41</v>
      </c>
      <c r="G246" s="23" t="s">
        <v>137</v>
      </c>
      <c r="H246" s="22" t="s">
        <v>138</v>
      </c>
      <c r="I246" s="22" t="s">
        <v>44</v>
      </c>
      <c r="J246" s="22" t="s">
        <v>1166</v>
      </c>
      <c r="K246" s="24">
        <v>42370</v>
      </c>
      <c r="L246" s="53" t="s">
        <v>1451</v>
      </c>
      <c r="M246" s="26">
        <v>43047</v>
      </c>
      <c r="N246" s="26">
        <v>44790</v>
      </c>
      <c r="O246" s="27" t="s">
        <v>1155</v>
      </c>
      <c r="P246" s="53" t="s">
        <v>1452</v>
      </c>
      <c r="Q246" s="29">
        <v>43052</v>
      </c>
      <c r="R246" s="26">
        <v>43232</v>
      </c>
      <c r="S246" s="23" t="s">
        <v>1172</v>
      </c>
      <c r="T246" s="23"/>
      <c r="U246" s="23"/>
      <c r="V246" s="23"/>
      <c r="W246" s="30">
        <v>32568</v>
      </c>
      <c r="X246" s="30">
        <v>32568</v>
      </c>
      <c r="Y246" s="30">
        <v>40914</v>
      </c>
      <c r="Z246" s="31" t="str">
        <f t="shared" ca="1" si="19"/>
        <v>36 Tahun 7 Bulan 30 Hari</v>
      </c>
      <c r="AA246" s="31" t="s">
        <v>1453</v>
      </c>
      <c r="AB246" s="32">
        <v>25067</v>
      </c>
      <c r="AC246" s="31" t="s">
        <v>1454</v>
      </c>
      <c r="AD246" s="22" t="str">
        <f t="shared" ca="1" si="17"/>
        <v xml:space="preserve">57 Tahun 2 Bulan </v>
      </c>
      <c r="AE246" s="33" t="s">
        <v>1106</v>
      </c>
      <c r="AF246" s="34"/>
      <c r="AG246" s="22" t="s">
        <v>1437</v>
      </c>
      <c r="AH246" s="22"/>
      <c r="AI246" s="22"/>
      <c r="AJ246" s="22"/>
      <c r="AK246" s="33" t="s">
        <v>200</v>
      </c>
      <c r="AL246" s="36"/>
    </row>
    <row r="247" spans="1:39" ht="14.45" customHeight="1" x14ac:dyDescent="0.25">
      <c r="A247" s="17">
        <v>1</v>
      </c>
      <c r="B247" s="78"/>
      <c r="C247" s="50" t="s">
        <v>1455</v>
      </c>
      <c r="D247" s="20" t="s">
        <v>1456</v>
      </c>
      <c r="E247" s="21" t="s">
        <v>56</v>
      </c>
      <c r="F247" s="22" t="s">
        <v>41</v>
      </c>
      <c r="G247" s="23" t="s">
        <v>137</v>
      </c>
      <c r="H247" s="22" t="s">
        <v>138</v>
      </c>
      <c r="I247" s="22" t="s">
        <v>44</v>
      </c>
      <c r="J247" s="22" t="s">
        <v>1166</v>
      </c>
      <c r="K247" s="24">
        <v>42370</v>
      </c>
      <c r="L247" s="53" t="s">
        <v>1457</v>
      </c>
      <c r="M247" s="26">
        <v>43117</v>
      </c>
      <c r="N247" s="26">
        <v>45006</v>
      </c>
      <c r="O247" s="27" t="s">
        <v>148</v>
      </c>
      <c r="P247" s="28" t="s">
        <v>1458</v>
      </c>
      <c r="Q247" s="29">
        <v>43192</v>
      </c>
      <c r="R247" s="26">
        <v>45006</v>
      </c>
      <c r="S247" s="23" t="s">
        <v>1167</v>
      </c>
      <c r="T247" s="23"/>
      <c r="U247" s="23"/>
      <c r="V247" s="23"/>
      <c r="W247" s="30">
        <v>32203</v>
      </c>
      <c r="X247" s="30">
        <v>32203</v>
      </c>
      <c r="Y247" s="30">
        <v>39753</v>
      </c>
      <c r="Z247" s="31" t="str">
        <f t="shared" ca="1" si="19"/>
        <v>37 Tahun 7 Bulan 30 Hari</v>
      </c>
      <c r="AA247" s="31" t="s">
        <v>76</v>
      </c>
      <c r="AB247" s="32">
        <v>24918</v>
      </c>
      <c r="AC247" s="31" t="s">
        <v>1459</v>
      </c>
      <c r="AD247" s="22" t="str">
        <f t="shared" ca="1" si="17"/>
        <v xml:space="preserve">57 Tahun 7 Bulan </v>
      </c>
      <c r="AE247" s="33" t="s">
        <v>1158</v>
      </c>
      <c r="AF247" s="34"/>
      <c r="AG247" s="22" t="s">
        <v>1437</v>
      </c>
      <c r="AH247" s="22"/>
      <c r="AI247" s="22"/>
      <c r="AJ247" s="22"/>
      <c r="AK247" s="33"/>
      <c r="AL247" s="36"/>
      <c r="AM247" s="14"/>
    </row>
    <row r="248" spans="1:39" ht="14.45" customHeight="1" x14ac:dyDescent="0.25">
      <c r="A248" s="107">
        <v>2</v>
      </c>
      <c r="B248" s="78"/>
      <c r="C248" s="19" t="s">
        <v>1460</v>
      </c>
      <c r="D248" s="20" t="s">
        <v>1461</v>
      </c>
      <c r="E248" s="21" t="s">
        <v>56</v>
      </c>
      <c r="F248" s="22" t="s">
        <v>41</v>
      </c>
      <c r="G248" s="23" t="s">
        <v>102</v>
      </c>
      <c r="H248" s="22" t="s">
        <v>103</v>
      </c>
      <c r="I248" s="22" t="s">
        <v>44</v>
      </c>
      <c r="J248" s="22" t="s">
        <v>1166</v>
      </c>
      <c r="K248" s="24">
        <v>45323</v>
      </c>
      <c r="L248" s="25" t="s">
        <v>1462</v>
      </c>
      <c r="M248" s="26">
        <v>41168</v>
      </c>
      <c r="N248" s="26">
        <v>43082</v>
      </c>
      <c r="O248" s="27" t="s">
        <v>148</v>
      </c>
      <c r="P248" s="53" t="s">
        <v>1463</v>
      </c>
      <c r="Q248" s="26">
        <v>43256</v>
      </c>
      <c r="R248" s="29">
        <v>45273</v>
      </c>
      <c r="S248" s="23" t="s">
        <v>1172</v>
      </c>
      <c r="T248" s="23"/>
      <c r="U248" s="23"/>
      <c r="V248" s="23"/>
      <c r="W248" s="30">
        <v>40513</v>
      </c>
      <c r="X248" s="30">
        <v>40664</v>
      </c>
      <c r="Y248" s="30">
        <v>40664</v>
      </c>
      <c r="Z248" s="31" t="str">
        <f t="shared" ca="1" si="19"/>
        <v>14 Tahun 10 Bulan 30 Hari</v>
      </c>
      <c r="AA248" s="31" t="s">
        <v>1464</v>
      </c>
      <c r="AB248" s="32">
        <v>32490</v>
      </c>
      <c r="AC248" s="31" t="s">
        <v>1465</v>
      </c>
      <c r="AD248" s="22" t="str">
        <f t="shared" ca="1" si="17"/>
        <v xml:space="preserve">36 Tahun 10 Bulan </v>
      </c>
      <c r="AE248" s="33" t="s">
        <v>1106</v>
      </c>
      <c r="AF248" s="34"/>
      <c r="AG248" s="22" t="s">
        <v>1437</v>
      </c>
      <c r="AH248" s="22"/>
      <c r="AI248" s="22"/>
      <c r="AJ248" s="22"/>
      <c r="AK248" s="33"/>
      <c r="AL248" s="36"/>
    </row>
    <row r="249" spans="1:39" ht="14.45" customHeight="1" x14ac:dyDescent="0.25">
      <c r="A249" s="17">
        <v>3</v>
      </c>
      <c r="B249" s="78"/>
      <c r="C249" s="50" t="s">
        <v>1466</v>
      </c>
      <c r="D249" s="20" t="s">
        <v>1467</v>
      </c>
      <c r="E249" s="21" t="s">
        <v>56</v>
      </c>
      <c r="F249" s="22" t="s">
        <v>41</v>
      </c>
      <c r="G249" s="23" t="s">
        <v>227</v>
      </c>
      <c r="H249" s="22" t="s">
        <v>228</v>
      </c>
      <c r="I249" s="22" t="s">
        <v>155</v>
      </c>
      <c r="J249" s="22" t="s">
        <v>1338</v>
      </c>
      <c r="K249" s="24">
        <v>43466</v>
      </c>
      <c r="L249" s="25"/>
      <c r="M249" s="26"/>
      <c r="N249" s="26"/>
      <c r="O249" s="27"/>
      <c r="P249" s="28"/>
      <c r="Q249" s="29"/>
      <c r="R249" s="26"/>
      <c r="S249" s="23" t="s">
        <v>1339</v>
      </c>
      <c r="T249" s="23"/>
      <c r="U249" s="23"/>
      <c r="V249" s="23"/>
      <c r="W249" s="30">
        <v>33298</v>
      </c>
      <c r="X249" s="30">
        <v>33298</v>
      </c>
      <c r="Y249" s="30">
        <v>44038</v>
      </c>
      <c r="Z249" s="31" t="str">
        <f t="shared" ca="1" si="19"/>
        <v>34 Tahun 7 Bulan 30 Hari</v>
      </c>
      <c r="AA249" s="31" t="s">
        <v>76</v>
      </c>
      <c r="AB249" s="32">
        <v>25651</v>
      </c>
      <c r="AC249" s="31" t="s">
        <v>1468</v>
      </c>
      <c r="AD249" s="22" t="str">
        <f t="shared" ca="1" si="17"/>
        <v xml:space="preserve">55 Tahun 7 Bulan </v>
      </c>
      <c r="AE249" s="33" t="s">
        <v>1341</v>
      </c>
      <c r="AF249" s="34"/>
      <c r="AG249" s="22" t="s">
        <v>1437</v>
      </c>
      <c r="AH249" s="22"/>
      <c r="AI249" s="22"/>
      <c r="AJ249" s="22"/>
      <c r="AK249" s="33"/>
      <c r="AL249" s="36"/>
    </row>
    <row r="250" spans="1:39" ht="14.45" customHeight="1" x14ac:dyDescent="0.25">
      <c r="A250" s="107">
        <v>4</v>
      </c>
      <c r="B250" s="52"/>
      <c r="C250" s="50" t="s">
        <v>1469</v>
      </c>
      <c r="D250" s="20" t="s">
        <v>1470</v>
      </c>
      <c r="E250" s="52" t="s">
        <v>56</v>
      </c>
      <c r="F250" s="22" t="s">
        <v>41</v>
      </c>
      <c r="G250" s="23" t="s">
        <v>227</v>
      </c>
      <c r="H250" s="22" t="s">
        <v>228</v>
      </c>
      <c r="I250" s="22" t="s">
        <v>44</v>
      </c>
      <c r="J250" s="22" t="s">
        <v>1104</v>
      </c>
      <c r="K250" s="77">
        <v>44621</v>
      </c>
      <c r="L250" s="25"/>
      <c r="M250" s="26"/>
      <c r="N250" s="26"/>
      <c r="O250" s="27"/>
      <c r="P250" s="28"/>
      <c r="Q250" s="29"/>
      <c r="R250" s="26"/>
      <c r="S250" s="23" t="s">
        <v>84</v>
      </c>
      <c r="T250" s="23">
        <v>2019</v>
      </c>
      <c r="U250" s="23"/>
      <c r="V250" s="23"/>
      <c r="W250" s="77">
        <v>44621</v>
      </c>
      <c r="X250" s="77">
        <v>44621</v>
      </c>
      <c r="Y250" s="77">
        <v>44621</v>
      </c>
      <c r="Z250" s="55" t="str">
        <f ca="1">DATEDIF(X250,TODAY(),"y")&amp;" Tahun "&amp;DATEDIF(X250,TODAY(),"ym")&amp;" Bulan "&amp;DATEDIF(X250,TODAY(),"md")&amp;" Hari"</f>
        <v>3 Tahun 7 Bulan 30 Hari</v>
      </c>
      <c r="AA250" s="55" t="s">
        <v>1471</v>
      </c>
      <c r="AB250" s="56">
        <v>35321</v>
      </c>
      <c r="AC250" s="32" t="s">
        <v>1472</v>
      </c>
      <c r="AD250" s="57" t="str">
        <f t="shared" ca="1" si="17"/>
        <v xml:space="preserve">29 Tahun 1 Bulan </v>
      </c>
      <c r="AE250" s="33" t="s">
        <v>1106</v>
      </c>
      <c r="AF250" s="71"/>
      <c r="AG250" s="22" t="s">
        <v>1437</v>
      </c>
      <c r="AH250" s="22"/>
      <c r="AI250" s="22"/>
      <c r="AJ250" s="22"/>
      <c r="AK250" s="33"/>
      <c r="AL250" s="36"/>
    </row>
    <row r="251" spans="1:39" ht="14.45" customHeight="1" x14ac:dyDescent="0.25">
      <c r="A251" s="17">
        <v>5</v>
      </c>
      <c r="B251" s="78"/>
      <c r="C251" s="50" t="s">
        <v>1473</v>
      </c>
      <c r="D251" s="62" t="s">
        <v>1474</v>
      </c>
      <c r="E251" s="21" t="s">
        <v>40</v>
      </c>
      <c r="F251" s="22" t="s">
        <v>238</v>
      </c>
      <c r="G251" s="23" t="s">
        <v>3872</v>
      </c>
      <c r="H251" s="22" t="s">
        <v>305</v>
      </c>
      <c r="I251" s="22" t="s">
        <v>44</v>
      </c>
      <c r="J251" s="22" t="s">
        <v>1104</v>
      </c>
      <c r="K251" s="30"/>
      <c r="L251" s="25"/>
      <c r="M251" s="29"/>
      <c r="N251" s="26"/>
      <c r="O251" s="27"/>
      <c r="P251" s="28"/>
      <c r="Q251" s="29"/>
      <c r="R251" s="26"/>
      <c r="S251" s="23" t="s">
        <v>84</v>
      </c>
      <c r="T251" s="23"/>
      <c r="U251" s="23"/>
      <c r="V251" s="23"/>
      <c r="W251" s="30">
        <v>45383</v>
      </c>
      <c r="X251" s="30">
        <v>45383</v>
      </c>
      <c r="Y251" s="30">
        <v>45383</v>
      </c>
      <c r="Z251" s="31" t="str">
        <f ca="1">DATEDIF(X251,TODAY(),"y")&amp;" Tahun "&amp;DATEDIF(X251,TODAY(),"ym")&amp;" Bulan "&amp;DATEDIF(X251,TODAY(),"md")&amp;" Hari"</f>
        <v>1 Tahun 6 Bulan 30 Hari</v>
      </c>
      <c r="AA251" s="31" t="s">
        <v>1045</v>
      </c>
      <c r="AB251" s="32">
        <v>34876</v>
      </c>
      <c r="AC251" s="31" t="s">
        <v>1475</v>
      </c>
      <c r="AD251" s="22" t="str">
        <f t="shared" ca="1" si="17"/>
        <v xml:space="preserve">30 Tahun 4 Bulan </v>
      </c>
      <c r="AE251" s="33" t="s">
        <v>1106</v>
      </c>
      <c r="AF251" s="34"/>
      <c r="AG251" s="22" t="s">
        <v>1437</v>
      </c>
      <c r="AH251" s="22"/>
      <c r="AI251" s="22"/>
      <c r="AJ251" s="22"/>
      <c r="AK251" s="33"/>
      <c r="AL251" s="36"/>
    </row>
    <row r="252" spans="1:39" ht="14.45" customHeight="1" x14ac:dyDescent="0.25">
      <c r="A252" s="107">
        <v>6</v>
      </c>
      <c r="B252" s="78"/>
      <c r="C252" s="50" t="s">
        <v>1476</v>
      </c>
      <c r="D252" s="20" t="s">
        <v>1477</v>
      </c>
      <c r="E252" s="52" t="s">
        <v>56</v>
      </c>
      <c r="F252" s="22" t="s">
        <v>41</v>
      </c>
      <c r="G252" s="23" t="s">
        <v>137</v>
      </c>
      <c r="H252" s="22" t="s">
        <v>138</v>
      </c>
      <c r="I252" s="22" t="s">
        <v>44</v>
      </c>
      <c r="J252" s="22" t="s">
        <v>1166</v>
      </c>
      <c r="K252" s="24">
        <v>44470</v>
      </c>
      <c r="L252" s="25" t="s">
        <v>1478</v>
      </c>
      <c r="M252" s="26">
        <v>41429</v>
      </c>
      <c r="N252" s="26">
        <v>43194</v>
      </c>
      <c r="O252" s="27" t="s">
        <v>148</v>
      </c>
      <c r="P252" s="53" t="s">
        <v>1479</v>
      </c>
      <c r="Q252" s="26">
        <v>43367</v>
      </c>
      <c r="R252" s="26">
        <v>43497</v>
      </c>
      <c r="S252" s="23" t="s">
        <v>1167</v>
      </c>
      <c r="T252" s="23"/>
      <c r="U252" s="23"/>
      <c r="V252" s="23"/>
      <c r="W252" s="30">
        <v>35855</v>
      </c>
      <c r="X252" s="30">
        <v>35855</v>
      </c>
      <c r="Y252" s="30">
        <v>39934</v>
      </c>
      <c r="Z252" s="31" t="str">
        <f ca="1">DATEDIF(W252,TODAY(),"y")&amp;" Tahun "&amp;DATEDIF(W252,TODAY(),"ym")&amp;" Bulan "&amp;DATEDIF(W252,TODAY(),"md")&amp;" Hari"</f>
        <v>27 Tahun 7 Bulan 30 Hari</v>
      </c>
      <c r="AA252" s="31" t="s">
        <v>76</v>
      </c>
      <c r="AB252" s="32">
        <v>28219</v>
      </c>
      <c r="AC252" s="32" t="s">
        <v>1480</v>
      </c>
      <c r="AD252" s="22" t="str">
        <f t="shared" ca="1" si="17"/>
        <v xml:space="preserve">48 Tahun 6 Bulan </v>
      </c>
      <c r="AE252" s="33" t="s">
        <v>1106</v>
      </c>
      <c r="AF252" s="34"/>
      <c r="AG252" s="22" t="s">
        <v>1437</v>
      </c>
      <c r="AH252" s="22"/>
      <c r="AI252" s="22"/>
      <c r="AJ252" s="22"/>
      <c r="AK252" s="33"/>
      <c r="AL252" s="36"/>
      <c r="AM252" s="14"/>
    </row>
    <row r="253" spans="1:39" ht="14.45" customHeight="1" x14ac:dyDescent="0.25">
      <c r="A253" s="17">
        <v>7</v>
      </c>
      <c r="B253" s="78"/>
      <c r="C253" s="50" t="s">
        <v>1481</v>
      </c>
      <c r="D253" s="62" t="s">
        <v>1482</v>
      </c>
      <c r="E253" s="21" t="s">
        <v>56</v>
      </c>
      <c r="F253" s="22" t="s">
        <v>238</v>
      </c>
      <c r="G253" s="23" t="s">
        <v>3872</v>
      </c>
      <c r="H253" s="22" t="s">
        <v>1078</v>
      </c>
      <c r="I253" s="22" t="s">
        <v>44</v>
      </c>
      <c r="J253" s="22" t="s">
        <v>1293</v>
      </c>
      <c r="K253" s="30"/>
      <c r="L253" s="25" t="s">
        <v>1483</v>
      </c>
      <c r="M253" s="29">
        <v>42759</v>
      </c>
      <c r="N253" s="26">
        <v>44573</v>
      </c>
      <c r="O253" s="27" t="s">
        <v>148</v>
      </c>
      <c r="P253" s="28" t="s">
        <v>1484</v>
      </c>
      <c r="Q253" s="29">
        <v>43124</v>
      </c>
      <c r="R253" s="26">
        <v>44573</v>
      </c>
      <c r="S253" s="23" t="s">
        <v>1172</v>
      </c>
      <c r="T253" s="23"/>
      <c r="U253" s="23"/>
      <c r="V253" s="23"/>
      <c r="W253" s="30">
        <v>45383</v>
      </c>
      <c r="X253" s="30">
        <v>43070</v>
      </c>
      <c r="Y253" s="30">
        <v>43070</v>
      </c>
      <c r="Z253" s="31" t="str">
        <f ca="1">DATEDIF(X253,TODAY(),"y")&amp;" Tahun "&amp;DATEDIF(X253,TODAY(),"ym")&amp;" Bulan "&amp;DATEDIF(X253,TODAY(),"md")&amp;" Hari"</f>
        <v>7 Tahun 10 Bulan 30 Hari</v>
      </c>
      <c r="AA253" s="31" t="s">
        <v>76</v>
      </c>
      <c r="AB253" s="32">
        <v>35076</v>
      </c>
      <c r="AC253" s="31" t="s">
        <v>1485</v>
      </c>
      <c r="AD253" s="22" t="str">
        <f t="shared" ca="1" si="17"/>
        <v xml:space="preserve">29 Tahun 9 Bulan </v>
      </c>
      <c r="AE253" s="33" t="s">
        <v>1106</v>
      </c>
      <c r="AF253" s="34"/>
      <c r="AG253" s="22" t="s">
        <v>1437</v>
      </c>
      <c r="AH253" s="22"/>
      <c r="AI253" s="22"/>
      <c r="AJ253" s="22"/>
      <c r="AK253" s="33"/>
      <c r="AL253" s="36"/>
    </row>
    <row r="254" spans="1:39" ht="14.45" customHeight="1" x14ac:dyDescent="0.25">
      <c r="A254" s="107">
        <v>8</v>
      </c>
      <c r="B254" s="18"/>
      <c r="C254" s="50" t="s">
        <v>1486</v>
      </c>
      <c r="D254" s="20" t="s">
        <v>1487</v>
      </c>
      <c r="E254" s="21" t="s">
        <v>56</v>
      </c>
      <c r="F254" s="22" t="s">
        <v>41</v>
      </c>
      <c r="G254" s="23" t="s">
        <v>57</v>
      </c>
      <c r="H254" s="22" t="s">
        <v>58</v>
      </c>
      <c r="I254" s="22"/>
      <c r="J254" s="22" t="s">
        <v>148</v>
      </c>
      <c r="K254" s="77">
        <v>45505</v>
      </c>
      <c r="L254" s="22"/>
      <c r="M254" s="26"/>
      <c r="N254" s="26"/>
      <c r="O254" s="22"/>
      <c r="P254" s="22"/>
      <c r="Q254" s="23"/>
      <c r="R254" s="26"/>
      <c r="S254" s="33" t="s">
        <v>267</v>
      </c>
      <c r="T254" s="33"/>
      <c r="U254" s="33"/>
      <c r="V254" s="33"/>
      <c r="W254" s="22"/>
      <c r="X254" s="30">
        <v>44652</v>
      </c>
      <c r="Y254" s="30">
        <v>44652</v>
      </c>
      <c r="Z254" s="31" t="str">
        <f ca="1">DATEDIF(X254,TODAY(),"y")&amp;" Tahun "&amp;DATEDIF(X254,TODAY(),"ym")&amp;" Bulan "&amp;DATEDIF(X254,TODAY(),"md")&amp;" Hari"</f>
        <v>3 Tahun 6 Bulan 30 Hari</v>
      </c>
      <c r="AA254" s="31" t="s">
        <v>76</v>
      </c>
      <c r="AB254" s="32">
        <v>30778</v>
      </c>
      <c r="AC254" s="31" t="s">
        <v>1488</v>
      </c>
      <c r="AD254" s="22" t="str">
        <f t="shared" ca="1" si="17"/>
        <v xml:space="preserve">41 Tahun 6 Bulan </v>
      </c>
      <c r="AE254" s="33" t="s">
        <v>1106</v>
      </c>
      <c r="AF254" s="34"/>
      <c r="AG254" s="22" t="s">
        <v>1437</v>
      </c>
      <c r="AH254" s="58"/>
      <c r="AI254" s="58"/>
      <c r="AJ254" s="58"/>
      <c r="AK254" s="33"/>
      <c r="AL254" s="36"/>
    </row>
    <row r="255" spans="1:39" ht="14.45" customHeight="1" x14ac:dyDescent="0.25">
      <c r="A255" s="107">
        <v>10</v>
      </c>
      <c r="B255" s="18"/>
      <c r="C255" s="50" t="s">
        <v>5753</v>
      </c>
      <c r="D255" s="20" t="s">
        <v>1490</v>
      </c>
      <c r="E255" s="21" t="s">
        <v>56</v>
      </c>
      <c r="F255" s="22" t="s">
        <v>192</v>
      </c>
      <c r="G255" s="23" t="s">
        <v>227</v>
      </c>
      <c r="H255" s="22" t="s">
        <v>228</v>
      </c>
      <c r="I255" s="22" t="s">
        <v>155</v>
      </c>
      <c r="J255" s="22" t="s">
        <v>1104</v>
      </c>
      <c r="K255" s="24" t="s">
        <v>195</v>
      </c>
      <c r="L255" s="22"/>
      <c r="M255" s="22"/>
      <c r="N255" s="22"/>
      <c r="O255" s="22"/>
      <c r="P255" s="22"/>
      <c r="Q255" s="22"/>
      <c r="R255" s="22"/>
      <c r="S255" s="23" t="s">
        <v>84</v>
      </c>
      <c r="T255" s="23"/>
      <c r="U255" s="23"/>
      <c r="V255" s="23"/>
      <c r="W255" s="69">
        <v>45809</v>
      </c>
      <c r="X255" s="69">
        <v>45810</v>
      </c>
      <c r="Y255" s="69">
        <v>45810</v>
      </c>
      <c r="Z255" s="31" t="str">
        <f ca="1">DATEDIF(X255,TODAY(),"y")&amp;" Tahun "&amp;DATEDIF(X255,TODAY(),"ym")&amp;" Bulan "&amp;DATEDIF(X255,TODAY(),"md")&amp;" Hari"</f>
        <v>0 Tahun 4 Bulan 29 Hari</v>
      </c>
      <c r="AA255" s="23" t="s">
        <v>203</v>
      </c>
      <c r="AB255" s="32">
        <v>36646</v>
      </c>
      <c r="AC255" s="32" t="s">
        <v>1491</v>
      </c>
      <c r="AD255" s="22" t="str">
        <f t="shared" ca="1" si="17"/>
        <v xml:space="preserve">25 Tahun 6 Bulan </v>
      </c>
      <c r="AE255" s="33" t="s">
        <v>1106</v>
      </c>
      <c r="AF255" s="34"/>
      <c r="AG255" s="22" t="s">
        <v>1437</v>
      </c>
      <c r="AH255" s="22"/>
      <c r="AI255" s="22"/>
      <c r="AJ255" s="22"/>
      <c r="AK255" s="33" t="s">
        <v>485</v>
      </c>
      <c r="AL255" s="36"/>
    </row>
    <row r="256" spans="1:39" s="47" customFormat="1" ht="14.25" customHeight="1" x14ac:dyDescent="0.25">
      <c r="A256" s="17">
        <v>11</v>
      </c>
      <c r="B256" s="18"/>
      <c r="C256" s="50" t="s">
        <v>5754</v>
      </c>
      <c r="D256" s="20" t="s">
        <v>1492</v>
      </c>
      <c r="E256" s="21" t="s">
        <v>56</v>
      </c>
      <c r="F256" s="22" t="s">
        <v>192</v>
      </c>
      <c r="G256" s="23" t="s">
        <v>227</v>
      </c>
      <c r="H256" s="22" t="s">
        <v>228</v>
      </c>
      <c r="I256" s="22" t="s">
        <v>155</v>
      </c>
      <c r="J256" s="22" t="s">
        <v>1104</v>
      </c>
      <c r="K256" s="24" t="s">
        <v>195</v>
      </c>
      <c r="L256" s="22"/>
      <c r="M256" s="22"/>
      <c r="N256" s="22"/>
      <c r="O256" s="22"/>
      <c r="P256" s="22"/>
      <c r="Q256" s="22"/>
      <c r="R256" s="22"/>
      <c r="S256" s="23" t="s">
        <v>84</v>
      </c>
      <c r="T256" s="23"/>
      <c r="U256" s="23"/>
      <c r="V256" s="23"/>
      <c r="W256" s="69">
        <v>45809</v>
      </c>
      <c r="X256" s="69">
        <v>45810</v>
      </c>
      <c r="Y256" s="69">
        <v>45810</v>
      </c>
      <c r="Z256" s="31" t="str">
        <f ca="1">DATEDIF(X256,TODAY(),"y")&amp;" Tahun "&amp;DATEDIF(X256,TODAY(),"ym")&amp;" Bulan "&amp;DATEDIF(X256,TODAY(),"md")&amp;" Hari"</f>
        <v>0 Tahun 4 Bulan 29 Hari</v>
      </c>
      <c r="AA256" s="23" t="s">
        <v>1381</v>
      </c>
      <c r="AB256" s="32">
        <v>35791</v>
      </c>
      <c r="AC256" s="32" t="s">
        <v>1493</v>
      </c>
      <c r="AD256" s="22" t="str">
        <f t="shared" ca="1" si="17"/>
        <v xml:space="preserve">27 Tahun 10 Bulan </v>
      </c>
      <c r="AE256" s="33" t="s">
        <v>1106</v>
      </c>
      <c r="AF256" s="34"/>
      <c r="AG256" s="22" t="s">
        <v>1437</v>
      </c>
      <c r="AH256" s="22"/>
      <c r="AI256" s="22"/>
      <c r="AJ256" s="22"/>
      <c r="AK256" s="33"/>
      <c r="AL256" s="36"/>
      <c r="AM256" s="13"/>
    </row>
    <row r="257" spans="1:39" ht="14.45" customHeight="1" x14ac:dyDescent="0.25">
      <c r="A257" s="107">
        <v>12</v>
      </c>
      <c r="B257" s="18"/>
      <c r="C257" s="50" t="s">
        <v>1494</v>
      </c>
      <c r="D257" s="20" t="s">
        <v>1495</v>
      </c>
      <c r="E257" s="21" t="s">
        <v>56</v>
      </c>
      <c r="F257" s="22" t="s">
        <v>41</v>
      </c>
      <c r="G257" s="23" t="s">
        <v>115</v>
      </c>
      <c r="H257" s="22" t="s">
        <v>116</v>
      </c>
      <c r="I257" s="22" t="s">
        <v>44</v>
      </c>
      <c r="J257" s="22" t="s">
        <v>148</v>
      </c>
      <c r="K257" s="24">
        <v>45931</v>
      </c>
      <c r="L257" s="53" t="s">
        <v>1496</v>
      </c>
      <c r="M257" s="26">
        <v>43146</v>
      </c>
      <c r="N257" s="26">
        <v>44967</v>
      </c>
      <c r="O257" s="27" t="s">
        <v>84</v>
      </c>
      <c r="P257" s="28" t="s">
        <v>1497</v>
      </c>
      <c r="Q257" s="29">
        <v>43192</v>
      </c>
      <c r="R257" s="26">
        <v>44967</v>
      </c>
      <c r="S257" s="23" t="s">
        <v>84</v>
      </c>
      <c r="T257" s="23"/>
      <c r="U257" s="23"/>
      <c r="V257" s="23"/>
      <c r="W257" s="30">
        <v>34029</v>
      </c>
      <c r="X257" s="30">
        <v>34029</v>
      </c>
      <c r="Y257" s="30">
        <v>41730</v>
      </c>
      <c r="Z257" s="31" t="str">
        <f ca="1">DATEDIF(W257,TODAY(),"y")&amp;" Tahun "&amp;DATEDIF(W257,TODAY(),"ym")&amp;" Bulan "&amp;DATEDIF(W257,TODAY(),"md")&amp;" Hari"</f>
        <v>32 Tahun 7 Bulan 30 Hari</v>
      </c>
      <c r="AA257" s="31" t="s">
        <v>76</v>
      </c>
      <c r="AB257" s="32">
        <v>25609</v>
      </c>
      <c r="AC257" s="32" t="s">
        <v>1498</v>
      </c>
      <c r="AD257" s="22" t="str">
        <f t="shared" ca="1" si="17"/>
        <v xml:space="preserve">55 Tahun 8 Bulan </v>
      </c>
      <c r="AE257" s="33" t="s">
        <v>1151</v>
      </c>
      <c r="AF257" s="34"/>
      <c r="AG257" s="22" t="s">
        <v>1499</v>
      </c>
      <c r="AH257" s="22"/>
      <c r="AI257" s="22"/>
      <c r="AJ257" s="22"/>
      <c r="AK257" s="33" t="s">
        <v>485</v>
      </c>
      <c r="AL257" s="36"/>
    </row>
    <row r="258" spans="1:39" ht="14.45" customHeight="1" x14ac:dyDescent="0.25">
      <c r="A258" s="17">
        <v>5</v>
      </c>
      <c r="B258" s="52"/>
      <c r="C258" s="50" t="s">
        <v>1500</v>
      </c>
      <c r="D258" s="20" t="s">
        <v>1501</v>
      </c>
      <c r="E258" s="52" t="s">
        <v>56</v>
      </c>
      <c r="F258" s="22" t="s">
        <v>41</v>
      </c>
      <c r="G258" s="23" t="s">
        <v>227</v>
      </c>
      <c r="H258" s="22" t="s">
        <v>228</v>
      </c>
      <c r="I258" s="22" t="s">
        <v>44</v>
      </c>
      <c r="J258" s="22" t="s">
        <v>1104</v>
      </c>
      <c r="K258" s="77">
        <v>44621</v>
      </c>
      <c r="L258" s="25"/>
      <c r="M258" s="26"/>
      <c r="N258" s="26"/>
      <c r="O258" s="27"/>
      <c r="P258" s="28"/>
      <c r="Q258" s="29"/>
      <c r="R258" s="26"/>
      <c r="S258" s="23" t="s">
        <v>84</v>
      </c>
      <c r="T258" s="23">
        <v>2020</v>
      </c>
      <c r="U258" s="23"/>
      <c r="V258" s="23"/>
      <c r="W258" s="77">
        <v>44621</v>
      </c>
      <c r="X258" s="77">
        <v>44621</v>
      </c>
      <c r="Y258" s="77">
        <v>44621</v>
      </c>
      <c r="Z258" s="55" t="str">
        <f ca="1">DATEDIF(X258,TODAY(),"y")&amp;" Tahun "&amp;DATEDIF(X258,TODAY(),"ym")&amp;" Bulan "&amp;DATEDIF(X258,TODAY(),"md")&amp;" Hari"</f>
        <v>3 Tahun 7 Bulan 30 Hari</v>
      </c>
      <c r="AA258" s="55" t="s">
        <v>128</v>
      </c>
      <c r="AB258" s="56">
        <v>35514</v>
      </c>
      <c r="AC258" s="32" t="s">
        <v>1502</v>
      </c>
      <c r="AD258" s="57" t="str">
        <f t="shared" ca="1" si="17"/>
        <v xml:space="preserve">28 Tahun 7 Bulan </v>
      </c>
      <c r="AE258" s="33" t="s">
        <v>1106</v>
      </c>
      <c r="AF258" s="71"/>
      <c r="AG258" s="22" t="s">
        <v>1499</v>
      </c>
      <c r="AH258" s="22"/>
      <c r="AI258" s="22"/>
      <c r="AJ258" s="22"/>
      <c r="AK258" s="33" t="s">
        <v>1489</v>
      </c>
      <c r="AL258" s="36"/>
    </row>
    <row r="259" spans="1:39" ht="14.45" customHeight="1" x14ac:dyDescent="0.25">
      <c r="A259" s="17">
        <v>13</v>
      </c>
      <c r="B259" s="78"/>
      <c r="C259" s="50" t="s">
        <v>1503</v>
      </c>
      <c r="D259" s="20" t="s">
        <v>1504</v>
      </c>
      <c r="E259" s="58" t="s">
        <v>56</v>
      </c>
      <c r="F259" s="22" t="s">
        <v>41</v>
      </c>
      <c r="G259" s="33" t="s">
        <v>42</v>
      </c>
      <c r="H259" s="22" t="s">
        <v>43</v>
      </c>
      <c r="I259" s="60" t="s">
        <v>44</v>
      </c>
      <c r="J259" s="60" t="s">
        <v>148</v>
      </c>
      <c r="K259" s="24">
        <v>45200</v>
      </c>
      <c r="L259" s="53" t="s">
        <v>1505</v>
      </c>
      <c r="M259" s="26">
        <v>43130</v>
      </c>
      <c r="N259" s="26">
        <v>44966</v>
      </c>
      <c r="O259" s="27" t="s">
        <v>84</v>
      </c>
      <c r="P259" s="53" t="s">
        <v>1506</v>
      </c>
      <c r="Q259" s="26">
        <v>43256</v>
      </c>
      <c r="R259" s="29">
        <v>44966</v>
      </c>
      <c r="S259" s="33" t="s">
        <v>84</v>
      </c>
      <c r="T259" s="33"/>
      <c r="U259" s="33"/>
      <c r="V259" s="33"/>
      <c r="W259" s="30">
        <v>33664</v>
      </c>
      <c r="X259" s="30"/>
      <c r="Y259" s="30">
        <v>43887</v>
      </c>
      <c r="Z259" s="55" t="str">
        <f ca="1">DATEDIF(W259,TODAY(),"y")&amp;" Tahun "&amp;DATEDIF(W259,TODAY(),"ym")&amp;" Bulan "&amp;DATEDIF(W259,TODAY(),"md")&amp;" Hari"</f>
        <v>33 Tahun 7 Bulan 30 Hari</v>
      </c>
      <c r="AA259" s="66" t="s">
        <v>861</v>
      </c>
      <c r="AB259" s="56">
        <v>25608</v>
      </c>
      <c r="AC259" s="31" t="s">
        <v>1507</v>
      </c>
      <c r="AD259" s="57" t="str">
        <f t="shared" ca="1" si="17"/>
        <v xml:space="preserve">55 Tahun 8 Bulan </v>
      </c>
      <c r="AE259" s="33" t="s">
        <v>1158</v>
      </c>
      <c r="AF259" s="71"/>
      <c r="AG259" s="22" t="s">
        <v>1499</v>
      </c>
      <c r="AH259" s="22"/>
      <c r="AI259" s="22"/>
      <c r="AJ259" s="22"/>
      <c r="AK259" s="33" t="s">
        <v>200</v>
      </c>
      <c r="AL259" s="36"/>
    </row>
    <row r="260" spans="1:39" ht="14.45" customHeight="1" x14ac:dyDescent="0.25">
      <c r="A260" s="107">
        <v>14</v>
      </c>
      <c r="B260" s="78"/>
      <c r="C260" s="50" t="s">
        <v>1508</v>
      </c>
      <c r="D260" s="20" t="s">
        <v>1509</v>
      </c>
      <c r="E260" s="52" t="s">
        <v>56</v>
      </c>
      <c r="F260" s="22" t="s">
        <v>41</v>
      </c>
      <c r="G260" s="23" t="s">
        <v>42</v>
      </c>
      <c r="H260" s="22" t="s">
        <v>43</v>
      </c>
      <c r="I260" s="22" t="s">
        <v>44</v>
      </c>
      <c r="J260" s="22" t="s">
        <v>148</v>
      </c>
      <c r="K260" s="24">
        <v>45200</v>
      </c>
      <c r="L260" s="25" t="s">
        <v>1510</v>
      </c>
      <c r="M260" s="26">
        <v>41429</v>
      </c>
      <c r="N260" s="26">
        <v>43375</v>
      </c>
      <c r="O260" s="27" t="s">
        <v>84</v>
      </c>
      <c r="P260" s="28" t="s">
        <v>1511</v>
      </c>
      <c r="Q260" s="29">
        <v>42080</v>
      </c>
      <c r="R260" s="26">
        <v>43375</v>
      </c>
      <c r="S260" s="23" t="s">
        <v>84</v>
      </c>
      <c r="T260" s="23"/>
      <c r="U260" s="23"/>
      <c r="V260" s="23"/>
      <c r="W260" s="30">
        <v>35490</v>
      </c>
      <c r="X260" s="30">
        <v>35490</v>
      </c>
      <c r="Y260" s="30">
        <v>42339</v>
      </c>
      <c r="Z260" s="55" t="str">
        <f ca="1">DATEDIF(W260,TODAY(),"y")&amp;" Tahun "&amp;DATEDIF(W260,TODAY(),"ym")&amp;" Bulan "&amp;DATEDIF(W260,TODAY(),"md")&amp;" Hari"</f>
        <v>28 Tahun 7 Bulan 30 Hari</v>
      </c>
      <c r="AA260" s="55" t="s">
        <v>1512</v>
      </c>
      <c r="AB260" s="56">
        <v>27669</v>
      </c>
      <c r="AC260" s="32" t="s">
        <v>1513</v>
      </c>
      <c r="AD260" s="57" t="str">
        <f t="shared" ca="1" si="17"/>
        <v xml:space="preserve">50 Tahun 0 Bulan </v>
      </c>
      <c r="AE260" s="33" t="s">
        <v>1158</v>
      </c>
      <c r="AF260" s="79"/>
      <c r="AG260" s="22" t="s">
        <v>1499</v>
      </c>
      <c r="AH260" s="22"/>
      <c r="AI260" s="22"/>
      <c r="AJ260" s="22"/>
      <c r="AK260" s="33" t="s">
        <v>200</v>
      </c>
      <c r="AL260" s="36"/>
    </row>
    <row r="261" spans="1:39" ht="12.75" customHeight="1" x14ac:dyDescent="0.25">
      <c r="A261" s="17">
        <v>1</v>
      </c>
      <c r="B261" s="78"/>
      <c r="C261" s="50" t="s">
        <v>1514</v>
      </c>
      <c r="D261" s="62" t="s">
        <v>1515</v>
      </c>
      <c r="E261" s="21" t="s">
        <v>56</v>
      </c>
      <c r="F261" s="22" t="s">
        <v>238</v>
      </c>
      <c r="G261" s="23" t="s">
        <v>3872</v>
      </c>
      <c r="H261" s="22" t="s">
        <v>305</v>
      </c>
      <c r="I261" s="22" t="s">
        <v>44</v>
      </c>
      <c r="J261" s="22" t="s">
        <v>1104</v>
      </c>
      <c r="K261" s="30"/>
      <c r="L261" s="25"/>
      <c r="M261" s="29"/>
      <c r="N261" s="26"/>
      <c r="O261" s="27"/>
      <c r="P261" s="28"/>
      <c r="Q261" s="29"/>
      <c r="R261" s="26"/>
      <c r="S261" s="23" t="s">
        <v>84</v>
      </c>
      <c r="T261" s="23"/>
      <c r="U261" s="23"/>
      <c r="V261" s="23"/>
      <c r="W261" s="30">
        <v>45383</v>
      </c>
      <c r="X261" s="30">
        <v>45383</v>
      </c>
      <c r="Y261" s="30">
        <v>45383</v>
      </c>
      <c r="Z261" s="31" t="str">
        <f ca="1">DATEDIF(X261,TODAY(),"y")&amp;" Tahun "&amp;DATEDIF(X261,TODAY(),"ym")&amp;" Bulan "&amp;DATEDIF(X261,TODAY(),"md")&amp;" Hari"</f>
        <v>1 Tahun 6 Bulan 30 Hari</v>
      </c>
      <c r="AA261" s="31" t="s">
        <v>1516</v>
      </c>
      <c r="AB261" s="32">
        <v>35327</v>
      </c>
      <c r="AC261" s="31" t="s">
        <v>1517</v>
      </c>
      <c r="AD261" s="22" t="str">
        <f t="shared" ca="1" si="17"/>
        <v xml:space="preserve">29 Tahun 1 Bulan </v>
      </c>
      <c r="AE261" s="33" t="s">
        <v>1106</v>
      </c>
      <c r="AF261" s="34"/>
      <c r="AG261" s="22" t="s">
        <v>1499</v>
      </c>
      <c r="AH261" s="22"/>
      <c r="AI261" s="22"/>
      <c r="AJ261" s="22"/>
      <c r="AK261" s="33"/>
      <c r="AL261" s="22"/>
    </row>
    <row r="262" spans="1:39" ht="14.45" customHeight="1" x14ac:dyDescent="0.25">
      <c r="A262" s="17">
        <v>2</v>
      </c>
      <c r="B262" s="78"/>
      <c r="C262" s="139" t="s">
        <v>1518</v>
      </c>
      <c r="D262" s="137" t="s">
        <v>1519</v>
      </c>
      <c r="E262" s="21" t="s">
        <v>56</v>
      </c>
      <c r="F262" s="22" t="s">
        <v>41</v>
      </c>
      <c r="G262" s="89" t="s">
        <v>102</v>
      </c>
      <c r="H262" s="22" t="s">
        <v>103</v>
      </c>
      <c r="I262" s="58" t="s">
        <v>44</v>
      </c>
      <c r="J262" s="22" t="s">
        <v>1166</v>
      </c>
      <c r="K262" s="24">
        <v>45566</v>
      </c>
      <c r="L262" s="25" t="s">
        <v>1520</v>
      </c>
      <c r="M262" s="26">
        <v>42300</v>
      </c>
      <c r="N262" s="26">
        <v>43916</v>
      </c>
      <c r="O262" s="27" t="s">
        <v>148</v>
      </c>
      <c r="P262" s="53" t="s">
        <v>1521</v>
      </c>
      <c r="Q262" s="29">
        <v>43048</v>
      </c>
      <c r="R262" s="26">
        <v>43916</v>
      </c>
      <c r="S262" s="33" t="s">
        <v>1172</v>
      </c>
      <c r="T262" s="33"/>
      <c r="U262" s="33"/>
      <c r="V262" s="33"/>
      <c r="W262" s="95">
        <v>41244</v>
      </c>
      <c r="X262" s="30">
        <v>41334</v>
      </c>
      <c r="Y262" s="22"/>
      <c r="Z262" s="31" t="str">
        <f ca="1">DATEDIF(W262,TODAY(),"y")&amp;" Tahun "&amp;DATEDIF(W262,TODAY(),"ym")&amp;" Bulan "&amp;DATEDIF(W262,TODAY(),"md")&amp;" Hari"</f>
        <v>12 Tahun 10 Bulan 30 Hari</v>
      </c>
      <c r="AA262" s="31" t="s">
        <v>128</v>
      </c>
      <c r="AB262" s="32">
        <v>32593</v>
      </c>
      <c r="AC262" s="31" t="s">
        <v>1522</v>
      </c>
      <c r="AD262" s="22" t="str">
        <f t="shared" ca="1" si="17"/>
        <v xml:space="preserve">36 Tahun 7 Bulan </v>
      </c>
      <c r="AE262" s="33" t="s">
        <v>1158</v>
      </c>
      <c r="AF262" s="34"/>
      <c r="AG262" s="22" t="s">
        <v>1499</v>
      </c>
      <c r="AH262" s="58"/>
      <c r="AI262" s="58"/>
      <c r="AJ262" s="58"/>
      <c r="AK262" s="33"/>
      <c r="AL262" s="36"/>
    </row>
    <row r="263" spans="1:39" ht="14.45" customHeight="1" x14ac:dyDescent="0.25">
      <c r="A263" s="17">
        <v>3</v>
      </c>
      <c r="B263" s="78"/>
      <c r="C263" s="50" t="s">
        <v>1523</v>
      </c>
      <c r="D263" s="20" t="s">
        <v>1524</v>
      </c>
      <c r="E263" s="52" t="s">
        <v>56</v>
      </c>
      <c r="F263" s="58" t="s">
        <v>238</v>
      </c>
      <c r="G263" s="22" t="s">
        <v>3872</v>
      </c>
      <c r="H263" s="22" t="s">
        <v>1078</v>
      </c>
      <c r="I263" s="22" t="s">
        <v>44</v>
      </c>
      <c r="J263" s="22" t="s">
        <v>1293</v>
      </c>
      <c r="K263" s="22"/>
      <c r="L263" s="53" t="s">
        <v>1525</v>
      </c>
      <c r="M263" s="26">
        <v>42926</v>
      </c>
      <c r="N263" s="26">
        <v>44715</v>
      </c>
      <c r="O263" s="40" t="s">
        <v>1155</v>
      </c>
      <c r="P263" s="53" t="s">
        <v>1526</v>
      </c>
      <c r="Q263" s="26">
        <v>43071</v>
      </c>
      <c r="R263" s="26">
        <v>44626</v>
      </c>
      <c r="S263" s="33" t="s">
        <v>1172</v>
      </c>
      <c r="T263" s="33"/>
      <c r="U263" s="33"/>
      <c r="V263" s="33"/>
      <c r="W263" s="77">
        <v>45383</v>
      </c>
      <c r="X263" s="30">
        <v>40695</v>
      </c>
      <c r="Y263" s="30">
        <v>40551</v>
      </c>
      <c r="Z263" s="55" t="str">
        <f ca="1">DATEDIF(X263,TODAY(),"y")&amp;" Tahun "&amp;DATEDIF(X263,TODAY(),"ym")&amp;" Bulan "&amp;DATEDIF(X263,TODAY(),"md")&amp;" Hari"</f>
        <v>14 Tahun 4 Bulan 30 Hari</v>
      </c>
      <c r="AA263" s="55" t="s">
        <v>1527</v>
      </c>
      <c r="AB263" s="56">
        <v>32938</v>
      </c>
      <c r="AC263" s="31" t="s">
        <v>1528</v>
      </c>
      <c r="AD263" s="57" t="str">
        <f t="shared" ca="1" si="17"/>
        <v xml:space="preserve">35 Tahun 7 Bulan </v>
      </c>
      <c r="AE263" s="33" t="s">
        <v>1106</v>
      </c>
      <c r="AF263" s="71"/>
      <c r="AG263" s="22" t="s">
        <v>1499</v>
      </c>
      <c r="AH263" s="58"/>
      <c r="AI263" s="58"/>
      <c r="AJ263" s="58"/>
      <c r="AK263" s="33"/>
      <c r="AL263" s="22"/>
    </row>
    <row r="264" spans="1:39" ht="14.45" customHeight="1" x14ac:dyDescent="0.25">
      <c r="A264" s="17">
        <v>4</v>
      </c>
      <c r="B264" s="76"/>
      <c r="C264" s="138" t="s">
        <v>1529</v>
      </c>
      <c r="D264" s="20" t="s">
        <v>1530</v>
      </c>
      <c r="E264" s="52" t="s">
        <v>56</v>
      </c>
      <c r="F264" s="22" t="s">
        <v>66</v>
      </c>
      <c r="G264" s="33" t="s">
        <v>3872</v>
      </c>
      <c r="H264" s="22" t="s">
        <v>3872</v>
      </c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3" t="s">
        <v>202</v>
      </c>
      <c r="T264" s="23"/>
      <c r="U264" s="23"/>
      <c r="V264" s="23"/>
      <c r="W264" s="22"/>
      <c r="X264" s="30">
        <v>39722</v>
      </c>
      <c r="Y264" s="30">
        <v>43672</v>
      </c>
      <c r="Z264" s="55" t="str">
        <f ca="1">DATEDIF(X264,TODAY(),"y")&amp;" Tahun "&amp;DATEDIF(X264,TODAY(),"ym")&amp;" Bulan "&amp;DATEDIF(X264,TODAY(),"md")&amp;" Hari"</f>
        <v>17 Tahun 0 Bulan 30 Hari</v>
      </c>
      <c r="AA264" s="55" t="s">
        <v>76</v>
      </c>
      <c r="AB264" s="56">
        <v>30711</v>
      </c>
      <c r="AC264" s="31" t="s">
        <v>1531</v>
      </c>
      <c r="AD264" s="57" t="str">
        <f t="shared" ca="1" si="17"/>
        <v xml:space="preserve">41 Tahun 9 Bulan </v>
      </c>
      <c r="AE264" s="33" t="s">
        <v>1341</v>
      </c>
      <c r="AF264" s="34"/>
      <c r="AG264" s="22" t="s">
        <v>1499</v>
      </c>
      <c r="AH264" s="22"/>
      <c r="AI264" s="22"/>
      <c r="AJ264" s="60"/>
      <c r="AK264" s="61"/>
      <c r="AL264" s="36"/>
      <c r="AM264" s="14"/>
    </row>
    <row r="265" spans="1:39" ht="14.45" customHeight="1" x14ac:dyDescent="0.25">
      <c r="A265" s="17">
        <v>5</v>
      </c>
      <c r="B265" s="78"/>
      <c r="C265" s="50" t="s">
        <v>1533</v>
      </c>
      <c r="D265" s="20">
        <v>2024080739</v>
      </c>
      <c r="E265" s="21" t="s">
        <v>40</v>
      </c>
      <c r="F265" s="22" t="s">
        <v>1063</v>
      </c>
      <c r="G265" s="23" t="s">
        <v>3872</v>
      </c>
      <c r="H265" s="22" t="s">
        <v>3872</v>
      </c>
      <c r="I265" s="22"/>
      <c r="J265" s="22"/>
      <c r="K265" s="30"/>
      <c r="L265" s="53"/>
      <c r="M265" s="26"/>
      <c r="N265" s="26"/>
      <c r="O265" s="27"/>
      <c r="P265" s="53"/>
      <c r="Q265" s="26"/>
      <c r="R265" s="29"/>
      <c r="S265" s="23" t="s">
        <v>84</v>
      </c>
      <c r="T265" s="23"/>
      <c r="U265" s="23"/>
      <c r="V265" s="23"/>
      <c r="W265" s="30"/>
      <c r="X265" s="30">
        <v>45505</v>
      </c>
      <c r="Y265" s="30">
        <v>45505</v>
      </c>
      <c r="Z265" s="31" t="str">
        <f ca="1">DATEDIF(X265,TODAY(),"y")&amp;" Tahun "&amp;DATEDIF(X265,TODAY(),"ym")&amp;" Bulan "&amp;DATEDIF(X265,TODAY(),"md")&amp;" Hari"</f>
        <v>1 Tahun 2 Bulan 30 Hari</v>
      </c>
      <c r="AA265" s="31" t="s">
        <v>1534</v>
      </c>
      <c r="AB265" s="32">
        <v>36248</v>
      </c>
      <c r="AC265" s="31" t="s">
        <v>1535</v>
      </c>
      <c r="AD265" s="22" t="str">
        <f t="shared" ca="1" si="17"/>
        <v xml:space="preserve">26 Tahun 7 Bulan </v>
      </c>
      <c r="AE265" s="33" t="s">
        <v>1106</v>
      </c>
      <c r="AF265" s="34"/>
      <c r="AG265" s="22" t="s">
        <v>1499</v>
      </c>
      <c r="AH265" s="22"/>
      <c r="AI265" s="22"/>
      <c r="AJ265" s="22"/>
      <c r="AK265" s="33" t="s">
        <v>485</v>
      </c>
      <c r="AL265" s="36"/>
    </row>
    <row r="266" spans="1:39" ht="14.45" customHeight="1" x14ac:dyDescent="0.25">
      <c r="A266" s="17">
        <v>6</v>
      </c>
      <c r="B266" s="78"/>
      <c r="C266" s="50" t="s">
        <v>1536</v>
      </c>
      <c r="D266" s="20" t="s">
        <v>1537</v>
      </c>
      <c r="E266" s="21" t="s">
        <v>56</v>
      </c>
      <c r="F266" s="22" t="s">
        <v>41</v>
      </c>
      <c r="G266" s="23" t="s">
        <v>137</v>
      </c>
      <c r="H266" s="22" t="s">
        <v>138</v>
      </c>
      <c r="I266" s="22" t="s">
        <v>44</v>
      </c>
      <c r="J266" s="22" t="s">
        <v>1166</v>
      </c>
      <c r="K266" s="24">
        <v>45566</v>
      </c>
      <c r="L266" s="25" t="s">
        <v>1538</v>
      </c>
      <c r="M266" s="26">
        <v>42290</v>
      </c>
      <c r="N266" s="26">
        <v>43835</v>
      </c>
      <c r="O266" s="27" t="s">
        <v>148</v>
      </c>
      <c r="P266" s="28" t="s">
        <v>1539</v>
      </c>
      <c r="Q266" s="29">
        <v>43151</v>
      </c>
      <c r="R266" s="26">
        <v>43835</v>
      </c>
      <c r="S266" s="23" t="s">
        <v>1172</v>
      </c>
      <c r="T266" s="23"/>
      <c r="U266" s="23"/>
      <c r="V266" s="23"/>
      <c r="W266" s="30">
        <v>40148</v>
      </c>
      <c r="X266" s="30">
        <v>40238</v>
      </c>
      <c r="Y266" s="22"/>
      <c r="Z266" s="31" t="str">
        <f ca="1">DATEDIF(W266,TODAY(),"y")&amp;" Tahun "&amp;DATEDIF(W266,TODAY(),"ym")&amp;" Bulan "&amp;DATEDIF(W266,TODAY(),"md")&amp;" Hari"</f>
        <v>15 Tahun 10 Bulan 30 Hari</v>
      </c>
      <c r="AA266" s="31" t="s">
        <v>1540</v>
      </c>
      <c r="AB266" s="32">
        <v>29591</v>
      </c>
      <c r="AC266" s="32" t="s">
        <v>1541</v>
      </c>
      <c r="AD266" s="22" t="str">
        <f t="shared" ca="1" si="17"/>
        <v xml:space="preserve">44 Tahun 9 Bulan </v>
      </c>
      <c r="AE266" s="33" t="s">
        <v>1106</v>
      </c>
      <c r="AF266" s="34"/>
      <c r="AG266" s="22" t="s">
        <v>1499</v>
      </c>
      <c r="AH266" s="22"/>
      <c r="AI266" s="22"/>
      <c r="AJ266" s="22"/>
      <c r="AK266" s="34"/>
      <c r="AL266" s="36"/>
    </row>
    <row r="267" spans="1:39" ht="14.45" customHeight="1" x14ac:dyDescent="0.25">
      <c r="A267" s="17">
        <v>7</v>
      </c>
      <c r="B267" s="78"/>
      <c r="C267" s="50" t="s">
        <v>1945</v>
      </c>
      <c r="D267" s="62">
        <v>2023110699</v>
      </c>
      <c r="E267" s="21" t="s">
        <v>56</v>
      </c>
      <c r="F267" s="22" t="s">
        <v>1063</v>
      </c>
      <c r="G267" s="23" t="s">
        <v>3872</v>
      </c>
      <c r="H267" s="22" t="s">
        <v>3872</v>
      </c>
      <c r="I267" s="22"/>
      <c r="J267" s="22"/>
      <c r="K267" s="30"/>
      <c r="L267" s="25"/>
      <c r="M267" s="29"/>
      <c r="N267" s="26"/>
      <c r="O267" s="27"/>
      <c r="P267" s="28"/>
      <c r="Q267" s="29"/>
      <c r="R267" s="26"/>
      <c r="S267" s="23" t="s">
        <v>1172</v>
      </c>
      <c r="T267" s="23">
        <v>2019</v>
      </c>
      <c r="U267" s="23"/>
      <c r="V267" s="23"/>
      <c r="W267" s="30"/>
      <c r="X267" s="30">
        <v>45231</v>
      </c>
      <c r="Y267" s="30">
        <v>45231</v>
      </c>
      <c r="Z267" s="31" t="str">
        <f ca="1">DATEDIF(X267,TODAY(),"y")&amp;" Tahun "&amp;DATEDIF(X267,TODAY(),"ym")&amp;" Bulan "&amp;DATEDIF(X267,TODAY(),"md")&amp;" Hari"</f>
        <v>1 Tahun 11 Bulan 30 Hari</v>
      </c>
      <c r="AA267" s="31" t="s">
        <v>76</v>
      </c>
      <c r="AB267" s="32">
        <v>35476</v>
      </c>
      <c r="AC267" s="31" t="s">
        <v>1946</v>
      </c>
      <c r="AD267" s="22" t="str">
        <f t="shared" ca="1" si="17"/>
        <v xml:space="preserve">28 Tahun 8 Bulan </v>
      </c>
      <c r="AE267" s="33" t="s">
        <v>1106</v>
      </c>
      <c r="AF267" s="34"/>
      <c r="AG267" s="22" t="s">
        <v>1499</v>
      </c>
      <c r="AH267" s="58"/>
      <c r="AI267" s="58"/>
      <c r="AJ267" s="58"/>
      <c r="AK267" s="33" t="s">
        <v>485</v>
      </c>
      <c r="AL267" s="36"/>
    </row>
    <row r="268" spans="1:39" ht="14.45" customHeight="1" x14ac:dyDescent="0.25">
      <c r="A268" s="17">
        <v>8</v>
      </c>
      <c r="B268" s="18"/>
      <c r="C268" s="50" t="s">
        <v>5755</v>
      </c>
      <c r="D268" s="20" t="s">
        <v>1542</v>
      </c>
      <c r="E268" s="21" t="s">
        <v>56</v>
      </c>
      <c r="F268" s="22" t="s">
        <v>192</v>
      </c>
      <c r="G268" s="23" t="s">
        <v>227</v>
      </c>
      <c r="H268" s="22" t="s">
        <v>228</v>
      </c>
      <c r="I268" s="22" t="s">
        <v>155</v>
      </c>
      <c r="J268" s="22" t="s">
        <v>1104</v>
      </c>
      <c r="K268" s="24" t="s">
        <v>195</v>
      </c>
      <c r="L268" s="22"/>
      <c r="M268" s="22"/>
      <c r="N268" s="22"/>
      <c r="O268" s="22"/>
      <c r="P268" s="22"/>
      <c r="Q268" s="22"/>
      <c r="R268" s="22"/>
      <c r="S268" s="23" t="s">
        <v>84</v>
      </c>
      <c r="T268" s="23"/>
      <c r="U268" s="23"/>
      <c r="V268" s="23"/>
      <c r="W268" s="69">
        <v>45809</v>
      </c>
      <c r="X268" s="69">
        <v>45810</v>
      </c>
      <c r="Y268" s="69">
        <v>45810</v>
      </c>
      <c r="Z268" s="31" t="str">
        <f ca="1">DATEDIF(X268,TODAY(),"y")&amp;" Tahun "&amp;DATEDIF(X268,TODAY(),"ym")&amp;" Bulan "&amp;DATEDIF(X268,TODAY(),"md")&amp;" Hari"</f>
        <v>0 Tahun 4 Bulan 29 Hari</v>
      </c>
      <c r="AA268" s="23" t="s">
        <v>203</v>
      </c>
      <c r="AB268" s="32">
        <v>35811</v>
      </c>
      <c r="AC268" s="32" t="s">
        <v>1543</v>
      </c>
      <c r="AD268" s="22" t="str">
        <f t="shared" ca="1" si="17"/>
        <v xml:space="preserve">27 Tahun 9 Bulan </v>
      </c>
      <c r="AE268" s="33" t="s">
        <v>1106</v>
      </c>
      <c r="AF268" s="34"/>
      <c r="AG268" s="22" t="s">
        <v>1499</v>
      </c>
      <c r="AH268" s="22"/>
      <c r="AI268" s="22"/>
      <c r="AJ268" s="22"/>
      <c r="AK268" s="33" t="s">
        <v>1532</v>
      </c>
      <c r="AL268" s="36"/>
    </row>
    <row r="269" spans="1:39" ht="14.45" customHeight="1" x14ac:dyDescent="0.25">
      <c r="A269" s="17">
        <v>9</v>
      </c>
      <c r="B269" s="18"/>
      <c r="C269" s="50" t="s">
        <v>5756</v>
      </c>
      <c r="D269" s="20" t="s">
        <v>1544</v>
      </c>
      <c r="E269" s="21" t="s">
        <v>56</v>
      </c>
      <c r="F269" s="22" t="s">
        <v>192</v>
      </c>
      <c r="G269" s="23" t="s">
        <v>227</v>
      </c>
      <c r="H269" s="22" t="s">
        <v>228</v>
      </c>
      <c r="I269" s="22" t="s">
        <v>155</v>
      </c>
      <c r="J269" s="22" t="s">
        <v>1104</v>
      </c>
      <c r="K269" s="24" t="s">
        <v>195</v>
      </c>
      <c r="L269" s="22"/>
      <c r="M269" s="22"/>
      <c r="N269" s="22"/>
      <c r="O269" s="22"/>
      <c r="P269" s="22"/>
      <c r="Q269" s="22"/>
      <c r="R269" s="22"/>
      <c r="S269" s="23" t="s">
        <v>84</v>
      </c>
      <c r="T269" s="23"/>
      <c r="U269" s="23"/>
      <c r="V269" s="23"/>
      <c r="W269" s="69">
        <v>45809</v>
      </c>
      <c r="X269" s="69">
        <v>45810</v>
      </c>
      <c r="Y269" s="69">
        <v>45810</v>
      </c>
      <c r="Z269" s="31" t="str">
        <f ca="1">DATEDIF(X269,TODAY(),"y")&amp;" Tahun "&amp;DATEDIF(X269,TODAY(),"ym")&amp;" Bulan "&amp;DATEDIF(X269,TODAY(),"md")&amp;" Hari"</f>
        <v>0 Tahun 4 Bulan 29 Hari</v>
      </c>
      <c r="AA269" s="23" t="s">
        <v>751</v>
      </c>
      <c r="AB269" s="32">
        <v>36330</v>
      </c>
      <c r="AC269" s="32" t="s">
        <v>1545</v>
      </c>
      <c r="AD269" s="22" t="str">
        <f t="shared" ca="1" si="17"/>
        <v xml:space="preserve">26 Tahun 4 Bulan </v>
      </c>
      <c r="AE269" s="33" t="s">
        <v>1106</v>
      </c>
      <c r="AF269" s="34"/>
      <c r="AG269" s="22" t="s">
        <v>1499</v>
      </c>
      <c r="AH269" s="22"/>
      <c r="AI269" s="22"/>
      <c r="AJ269" s="22"/>
      <c r="AK269" s="33" t="s">
        <v>1421</v>
      </c>
      <c r="AL269" s="36"/>
      <c r="AM269" s="14"/>
    </row>
    <row r="270" spans="1:39" ht="14.45" customHeight="1" x14ac:dyDescent="0.25">
      <c r="A270" s="17">
        <v>10</v>
      </c>
      <c r="B270" s="18"/>
      <c r="C270" s="50" t="s">
        <v>5757</v>
      </c>
      <c r="D270" s="20" t="s">
        <v>1546</v>
      </c>
      <c r="E270" s="21" t="s">
        <v>40</v>
      </c>
      <c r="F270" s="22" t="s">
        <v>192</v>
      </c>
      <c r="G270" s="23" t="s">
        <v>1547</v>
      </c>
      <c r="H270" s="22" t="s">
        <v>1548</v>
      </c>
      <c r="I270" s="22" t="s">
        <v>155</v>
      </c>
      <c r="J270" s="22" t="s">
        <v>1293</v>
      </c>
      <c r="K270" s="24" t="s">
        <v>195</v>
      </c>
      <c r="L270" s="22"/>
      <c r="M270" s="22"/>
      <c r="N270" s="22"/>
      <c r="O270" s="22"/>
      <c r="P270" s="22"/>
      <c r="Q270" s="22"/>
      <c r="R270" s="22"/>
      <c r="S270" s="23" t="s">
        <v>1172</v>
      </c>
      <c r="T270" s="23"/>
      <c r="U270" s="23"/>
      <c r="V270" s="23"/>
      <c r="W270" s="69">
        <v>45809</v>
      </c>
      <c r="X270" s="69">
        <v>45810</v>
      </c>
      <c r="Y270" s="69">
        <v>45810</v>
      </c>
      <c r="Z270" s="31" t="str">
        <f ca="1">DATEDIF(X270,TODAY(),"y")&amp;" Tahun "&amp;DATEDIF(X270,TODAY(),"ym")&amp;" Bulan "&amp;DATEDIF(X270,TODAY(),"md")&amp;" Hari"</f>
        <v>0 Tahun 4 Bulan 29 Hari</v>
      </c>
      <c r="AA270" s="23" t="s">
        <v>203</v>
      </c>
      <c r="AB270" s="32">
        <v>36605</v>
      </c>
      <c r="AC270" s="32" t="s">
        <v>1549</v>
      </c>
      <c r="AD270" s="22" t="str">
        <f t="shared" ca="1" si="17"/>
        <v xml:space="preserve">25 Tahun 7 Bulan </v>
      </c>
      <c r="AE270" s="23" t="s">
        <v>1106</v>
      </c>
      <c r="AF270" s="34"/>
      <c r="AG270" s="22" t="s">
        <v>1499</v>
      </c>
      <c r="AH270" s="22"/>
      <c r="AI270" s="22"/>
      <c r="AJ270" s="22"/>
      <c r="AK270" s="33"/>
      <c r="AL270" s="36"/>
    </row>
    <row r="271" spans="1:39" ht="14.45" customHeight="1" x14ac:dyDescent="0.25">
      <c r="A271" s="17">
        <v>11</v>
      </c>
      <c r="B271" s="134"/>
      <c r="C271" s="50" t="s">
        <v>1550</v>
      </c>
      <c r="D271" s="20" t="s">
        <v>1551</v>
      </c>
      <c r="E271" s="52" t="s">
        <v>56</v>
      </c>
      <c r="F271" s="58" t="s">
        <v>238</v>
      </c>
      <c r="G271" s="33" t="s">
        <v>3872</v>
      </c>
      <c r="H271" s="22" t="s">
        <v>1078</v>
      </c>
      <c r="I271" s="22" t="s">
        <v>44</v>
      </c>
      <c r="J271" s="22" t="s">
        <v>1293</v>
      </c>
      <c r="K271" s="22"/>
      <c r="L271" s="53" t="s">
        <v>1552</v>
      </c>
      <c r="M271" s="26">
        <v>43145</v>
      </c>
      <c r="N271" s="26">
        <v>45207</v>
      </c>
      <c r="O271" s="27" t="s">
        <v>148</v>
      </c>
      <c r="P271" s="28" t="s">
        <v>1553</v>
      </c>
      <c r="Q271" s="29">
        <v>43192</v>
      </c>
      <c r="R271" s="26">
        <v>45207</v>
      </c>
      <c r="S271" s="23" t="s">
        <v>1167</v>
      </c>
      <c r="T271" s="23"/>
      <c r="U271" s="23"/>
      <c r="V271" s="23"/>
      <c r="W271" s="77">
        <v>45047</v>
      </c>
      <c r="X271" s="30">
        <v>38899</v>
      </c>
      <c r="Y271" s="30">
        <v>42339</v>
      </c>
      <c r="Z271" s="55" t="str">
        <f ca="1">DATEDIF(X271,TODAY(),"y")&amp;" Tahun "&amp;DATEDIF(X271,TODAY(),"ym")&amp;" Bulan "&amp;DATEDIF(X271,TODAY(),"md")&amp;" Hari"</f>
        <v>19 Tahun 3 Bulan 30 Hari</v>
      </c>
      <c r="AA271" s="55" t="s">
        <v>76</v>
      </c>
      <c r="AB271" s="56">
        <v>30232</v>
      </c>
      <c r="AC271" s="32" t="s">
        <v>1554</v>
      </c>
      <c r="AD271" s="57" t="str">
        <f t="shared" ca="1" si="17"/>
        <v xml:space="preserve">43 Tahun 0 Bulan </v>
      </c>
      <c r="AE271" s="33" t="s">
        <v>1151</v>
      </c>
      <c r="AF271" s="71" t="s">
        <v>1555</v>
      </c>
      <c r="AG271" s="58" t="s">
        <v>1556</v>
      </c>
      <c r="AH271" s="22"/>
      <c r="AI271" s="22"/>
      <c r="AJ271" s="22"/>
      <c r="AK271" s="33" t="s">
        <v>200</v>
      </c>
      <c r="AL271" s="36"/>
    </row>
    <row r="272" spans="1:39" ht="14.45" customHeight="1" x14ac:dyDescent="0.25">
      <c r="A272" s="17">
        <v>12</v>
      </c>
      <c r="B272" s="78"/>
      <c r="C272" s="50" t="s">
        <v>1557</v>
      </c>
      <c r="D272" s="20" t="s">
        <v>1558</v>
      </c>
      <c r="E272" s="58" t="s">
        <v>56</v>
      </c>
      <c r="F272" s="22" t="s">
        <v>41</v>
      </c>
      <c r="G272" s="23" t="s">
        <v>227</v>
      </c>
      <c r="H272" s="6" t="s">
        <v>228</v>
      </c>
      <c r="I272" s="6" t="s">
        <v>44</v>
      </c>
      <c r="J272" s="22" t="s">
        <v>1559</v>
      </c>
      <c r="K272" s="24">
        <v>45200</v>
      </c>
      <c r="L272" s="25" t="s">
        <v>1560</v>
      </c>
      <c r="M272" s="26">
        <v>42290</v>
      </c>
      <c r="N272" s="26">
        <v>44124</v>
      </c>
      <c r="O272" s="27" t="s">
        <v>148</v>
      </c>
      <c r="P272" s="28" t="s">
        <v>1561</v>
      </c>
      <c r="Q272" s="29">
        <v>43151</v>
      </c>
      <c r="R272" s="26">
        <v>44124</v>
      </c>
      <c r="S272" s="23" t="s">
        <v>1172</v>
      </c>
      <c r="T272" s="23"/>
      <c r="U272" s="23"/>
      <c r="V272" s="23"/>
      <c r="W272" s="30">
        <v>42095</v>
      </c>
      <c r="X272" s="30">
        <v>42095</v>
      </c>
      <c r="Y272" s="30">
        <v>43887</v>
      </c>
      <c r="Z272" s="55" t="str">
        <f ca="1">DATEDIF(W272,TODAY(),"y")&amp;" Tahun "&amp;DATEDIF(W272,TODAY(),"ym")&amp;" Bulan "&amp;DATEDIF(W272,TODAY(),"md")&amp;" Hari"</f>
        <v>10 Tahun 6 Bulan 30 Hari</v>
      </c>
      <c r="AA272" s="56" t="s">
        <v>76</v>
      </c>
      <c r="AB272" s="56">
        <v>30244</v>
      </c>
      <c r="AC272" s="31" t="s">
        <v>1562</v>
      </c>
      <c r="AD272" s="57" t="str">
        <f t="shared" ca="1" si="17"/>
        <v xml:space="preserve">43 Tahun 0 Bulan </v>
      </c>
      <c r="AE272" s="33" t="s">
        <v>1158</v>
      </c>
      <c r="AF272" s="71"/>
      <c r="AG272" s="58" t="s">
        <v>1556</v>
      </c>
      <c r="AH272" s="22"/>
      <c r="AI272" s="22"/>
      <c r="AJ272" s="22"/>
      <c r="AK272" s="33" t="s">
        <v>200</v>
      </c>
      <c r="AL272" s="36"/>
    </row>
    <row r="273" spans="1:39" ht="14.45" customHeight="1" x14ac:dyDescent="0.25">
      <c r="A273" s="17">
        <v>13</v>
      </c>
      <c r="B273" s="78"/>
      <c r="C273" s="50" t="s">
        <v>1563</v>
      </c>
      <c r="D273" s="20" t="s">
        <v>1564</v>
      </c>
      <c r="E273" s="21" t="s">
        <v>56</v>
      </c>
      <c r="F273" s="22" t="s">
        <v>41</v>
      </c>
      <c r="G273" s="23" t="s">
        <v>42</v>
      </c>
      <c r="H273" s="22" t="s">
        <v>43</v>
      </c>
      <c r="I273" s="22" t="s">
        <v>44</v>
      </c>
      <c r="J273" s="22" t="s">
        <v>148</v>
      </c>
      <c r="K273" s="24">
        <v>45200</v>
      </c>
      <c r="L273" s="53" t="s">
        <v>1565</v>
      </c>
      <c r="M273" s="26">
        <v>43117</v>
      </c>
      <c r="N273" s="26">
        <v>45268</v>
      </c>
      <c r="O273" s="27" t="s">
        <v>148</v>
      </c>
      <c r="P273" s="28" t="s">
        <v>1566</v>
      </c>
      <c r="Q273" s="29">
        <v>43192</v>
      </c>
      <c r="R273" s="26">
        <v>45268</v>
      </c>
      <c r="S273" s="23" t="s">
        <v>84</v>
      </c>
      <c r="T273" s="23"/>
      <c r="U273" s="23"/>
      <c r="V273" s="23"/>
      <c r="W273" s="30">
        <v>35125</v>
      </c>
      <c r="X273" s="30">
        <v>35125</v>
      </c>
      <c r="Y273" s="30">
        <v>43887</v>
      </c>
      <c r="Z273" s="31" t="str">
        <f ca="1">DATEDIF(W273,TODAY(),"y")&amp;" Tahun "&amp;DATEDIF(W273,TODAY(),"ym")&amp;" Bulan "&amp;DATEDIF(W273,TODAY(),"md")&amp;" Hari"</f>
        <v>29 Tahun 7 Bulan 30 Hari</v>
      </c>
      <c r="AA273" s="31" t="s">
        <v>76</v>
      </c>
      <c r="AB273" s="32">
        <v>26275</v>
      </c>
      <c r="AC273" s="32" t="s">
        <v>1567</v>
      </c>
      <c r="AD273" s="22" t="str">
        <f t="shared" ca="1" si="17"/>
        <v xml:space="preserve">53 Tahun 10 Bulan </v>
      </c>
      <c r="AE273" s="33" t="s">
        <v>1158</v>
      </c>
      <c r="AF273" s="34"/>
      <c r="AG273" s="58" t="s">
        <v>1556</v>
      </c>
      <c r="AH273" s="22"/>
      <c r="AI273" s="22"/>
      <c r="AJ273" s="22"/>
      <c r="AK273" s="33" t="s">
        <v>200</v>
      </c>
      <c r="AL273" s="36"/>
    </row>
    <row r="274" spans="1:39" ht="14.45" customHeight="1" x14ac:dyDescent="0.25">
      <c r="A274" s="17">
        <v>1</v>
      </c>
      <c r="B274" s="78"/>
      <c r="C274" s="139" t="s">
        <v>1568</v>
      </c>
      <c r="D274" s="20" t="s">
        <v>1569</v>
      </c>
      <c r="E274" s="52" t="s">
        <v>40</v>
      </c>
      <c r="F274" s="60" t="s">
        <v>41</v>
      </c>
      <c r="G274" s="23" t="s">
        <v>137</v>
      </c>
      <c r="H274" s="22" t="s">
        <v>138</v>
      </c>
      <c r="I274" s="22" t="s">
        <v>44</v>
      </c>
      <c r="J274" s="22" t="s">
        <v>1166</v>
      </c>
      <c r="K274" s="24">
        <v>43252</v>
      </c>
      <c r="L274" s="25" t="s">
        <v>1570</v>
      </c>
      <c r="M274" s="26">
        <v>42926</v>
      </c>
      <c r="N274" s="26">
        <v>44701</v>
      </c>
      <c r="O274" s="27" t="s">
        <v>1155</v>
      </c>
      <c r="P274" s="28" t="s">
        <v>1571</v>
      </c>
      <c r="Q274" s="29">
        <v>43151</v>
      </c>
      <c r="R274" s="26">
        <v>44701</v>
      </c>
      <c r="S274" s="23" t="s">
        <v>1172</v>
      </c>
      <c r="T274" s="23"/>
      <c r="U274" s="23"/>
      <c r="V274" s="23"/>
      <c r="W274" s="30">
        <v>35125</v>
      </c>
      <c r="X274" s="30">
        <v>35125</v>
      </c>
      <c r="Y274" s="30">
        <v>42005</v>
      </c>
      <c r="Z274" s="55" t="str">
        <f ca="1">DATEDIF(W274,TODAY(),"y")&amp;" Tahun "&amp;DATEDIF(W274,TODAY(),"ym")&amp;" Bulan "&amp;DATEDIF(W274,TODAY(),"md")&amp;" Hari"</f>
        <v>29 Tahun 7 Bulan 30 Hari</v>
      </c>
      <c r="AA274" s="55" t="s">
        <v>1572</v>
      </c>
      <c r="AB274" s="56">
        <v>27169</v>
      </c>
      <c r="AC274" s="31" t="s">
        <v>1573</v>
      </c>
      <c r="AD274" s="57" t="str">
        <f t="shared" ca="1" si="17"/>
        <v xml:space="preserve">51 Tahun 5 Bulan </v>
      </c>
      <c r="AE274" s="33" t="s">
        <v>1106</v>
      </c>
      <c r="AF274" s="71"/>
      <c r="AG274" s="58" t="s">
        <v>1556</v>
      </c>
      <c r="AH274" s="58"/>
      <c r="AI274" s="58"/>
      <c r="AJ274" s="58"/>
      <c r="AK274" s="33" t="s">
        <v>314</v>
      </c>
      <c r="AL274" s="36"/>
    </row>
    <row r="275" spans="1:39" ht="14.45" customHeight="1" x14ac:dyDescent="0.25">
      <c r="A275" s="17">
        <v>2</v>
      </c>
      <c r="B275" s="52"/>
      <c r="C275" s="50" t="s">
        <v>1574</v>
      </c>
      <c r="D275" s="20" t="s">
        <v>1575</v>
      </c>
      <c r="E275" s="52" t="s">
        <v>56</v>
      </c>
      <c r="F275" s="22" t="s">
        <v>41</v>
      </c>
      <c r="G275" s="23" t="s">
        <v>227</v>
      </c>
      <c r="H275" s="22" t="s">
        <v>228</v>
      </c>
      <c r="I275" s="22" t="s">
        <v>44</v>
      </c>
      <c r="J275" s="22" t="s">
        <v>1104</v>
      </c>
      <c r="K275" s="77">
        <v>44621</v>
      </c>
      <c r="L275" s="25"/>
      <c r="M275" s="26"/>
      <c r="N275" s="26"/>
      <c r="O275" s="27"/>
      <c r="P275" s="28"/>
      <c r="Q275" s="29"/>
      <c r="R275" s="26"/>
      <c r="S275" s="23" t="s">
        <v>84</v>
      </c>
      <c r="T275" s="23">
        <v>2020</v>
      </c>
      <c r="U275" s="23"/>
      <c r="V275" s="23"/>
      <c r="W275" s="77">
        <v>44621</v>
      </c>
      <c r="X275" s="77">
        <v>44621</v>
      </c>
      <c r="Y275" s="77">
        <v>44621</v>
      </c>
      <c r="Z275" s="55" t="str">
        <f t="shared" ref="Z275:Z282" ca="1" si="20">DATEDIF(X275,TODAY(),"y")&amp;" Tahun "&amp;DATEDIF(X275,TODAY(),"ym")&amp;" Bulan "&amp;DATEDIF(X275,TODAY(),"md")&amp;" Hari"</f>
        <v>3 Tahun 7 Bulan 30 Hari</v>
      </c>
      <c r="AA275" s="55" t="s">
        <v>846</v>
      </c>
      <c r="AB275" s="56">
        <v>35647</v>
      </c>
      <c r="AC275" s="32" t="s">
        <v>1576</v>
      </c>
      <c r="AD275" s="57" t="str">
        <f t="shared" ca="1" si="17"/>
        <v xml:space="preserve">28 Tahun 2 Bulan </v>
      </c>
      <c r="AE275" s="33" t="s">
        <v>1106</v>
      </c>
      <c r="AF275" s="71"/>
      <c r="AG275" s="58" t="s">
        <v>1556</v>
      </c>
      <c r="AH275" s="22"/>
      <c r="AI275" s="22"/>
      <c r="AJ275" s="60"/>
      <c r="AK275" s="61"/>
      <c r="AL275" s="22"/>
    </row>
    <row r="276" spans="1:39" ht="14.45" customHeight="1" x14ac:dyDescent="0.25">
      <c r="A276" s="17">
        <v>3</v>
      </c>
      <c r="B276" s="78"/>
      <c r="C276" s="50" t="s">
        <v>1577</v>
      </c>
      <c r="D276" s="62" t="s">
        <v>1578</v>
      </c>
      <c r="E276" s="21" t="s">
        <v>56</v>
      </c>
      <c r="F276" s="22" t="s">
        <v>238</v>
      </c>
      <c r="G276" s="23" t="s">
        <v>3872</v>
      </c>
      <c r="H276" s="22" t="s">
        <v>305</v>
      </c>
      <c r="I276" s="22" t="s">
        <v>44</v>
      </c>
      <c r="J276" s="22" t="s">
        <v>1104</v>
      </c>
      <c r="K276" s="30"/>
      <c r="L276" s="25"/>
      <c r="M276" s="29"/>
      <c r="N276" s="26"/>
      <c r="O276" s="27"/>
      <c r="P276" s="28"/>
      <c r="Q276" s="29"/>
      <c r="R276" s="26"/>
      <c r="S276" s="23" t="s">
        <v>84</v>
      </c>
      <c r="T276" s="23"/>
      <c r="U276" s="23"/>
      <c r="V276" s="23"/>
      <c r="W276" s="30">
        <v>45383</v>
      </c>
      <c r="X276" s="30">
        <v>45383</v>
      </c>
      <c r="Y276" s="30">
        <v>45383</v>
      </c>
      <c r="Z276" s="31" t="str">
        <f t="shared" ca="1" si="20"/>
        <v>1 Tahun 6 Bulan 30 Hari</v>
      </c>
      <c r="AA276" s="31" t="s">
        <v>1579</v>
      </c>
      <c r="AB276" s="32">
        <v>31361</v>
      </c>
      <c r="AC276" s="31" t="s">
        <v>1580</v>
      </c>
      <c r="AD276" s="22" t="str">
        <f t="shared" ca="1" si="17"/>
        <v xml:space="preserve">39 Tahun 11 Bulan </v>
      </c>
      <c r="AE276" s="33" t="s">
        <v>1106</v>
      </c>
      <c r="AF276" s="34"/>
      <c r="AG276" s="58" t="s">
        <v>1556</v>
      </c>
      <c r="AH276" s="22"/>
      <c r="AI276" s="22"/>
      <c r="AJ276" s="22"/>
      <c r="AK276" s="33"/>
      <c r="AL276" s="36"/>
    </row>
    <row r="277" spans="1:39" ht="14.45" customHeight="1" x14ac:dyDescent="0.25">
      <c r="A277" s="17">
        <v>4</v>
      </c>
      <c r="B277" s="78"/>
      <c r="C277" s="50" t="s">
        <v>1581</v>
      </c>
      <c r="D277" s="20" t="s">
        <v>1582</v>
      </c>
      <c r="E277" s="21" t="s">
        <v>56</v>
      </c>
      <c r="F277" s="22" t="s">
        <v>238</v>
      </c>
      <c r="G277" s="33" t="s">
        <v>3872</v>
      </c>
      <c r="H277" s="22" t="s">
        <v>1078</v>
      </c>
      <c r="I277" s="22" t="s">
        <v>44</v>
      </c>
      <c r="J277" s="22" t="s">
        <v>1293</v>
      </c>
      <c r="K277" s="22"/>
      <c r="L277" s="53" t="s">
        <v>1583</v>
      </c>
      <c r="M277" s="26">
        <v>43117</v>
      </c>
      <c r="N277" s="26">
        <v>45141</v>
      </c>
      <c r="O277" s="27" t="s">
        <v>148</v>
      </c>
      <c r="P277" s="28" t="s">
        <v>1584</v>
      </c>
      <c r="Q277" s="29">
        <v>43192</v>
      </c>
      <c r="R277" s="26">
        <v>45141</v>
      </c>
      <c r="S277" s="23" t="s">
        <v>1172</v>
      </c>
      <c r="T277" s="23"/>
      <c r="U277" s="23"/>
      <c r="V277" s="23"/>
      <c r="W277" s="77">
        <v>45047</v>
      </c>
      <c r="X277" s="30">
        <v>41030</v>
      </c>
      <c r="Y277" s="30">
        <v>41061</v>
      </c>
      <c r="Z277" s="31" t="str">
        <f t="shared" ca="1" si="20"/>
        <v>13 Tahun 5 Bulan 30 Hari</v>
      </c>
      <c r="AA277" s="31" t="s">
        <v>76</v>
      </c>
      <c r="AB277" s="32">
        <v>29801</v>
      </c>
      <c r="AC277" s="32" t="s">
        <v>1585</v>
      </c>
      <c r="AD277" s="22" t="str">
        <f t="shared" ca="1" si="17"/>
        <v xml:space="preserve">44 Tahun 2 Bulan </v>
      </c>
      <c r="AE277" s="33" t="s">
        <v>1106</v>
      </c>
      <c r="AF277" s="34"/>
      <c r="AG277" s="58" t="s">
        <v>1556</v>
      </c>
      <c r="AH277" s="58"/>
      <c r="AI277" s="58"/>
      <c r="AJ277" s="58"/>
      <c r="AK277" s="33"/>
      <c r="AL277" s="36"/>
    </row>
    <row r="278" spans="1:39" ht="14.45" customHeight="1" x14ac:dyDescent="0.25">
      <c r="A278" s="17">
        <v>6</v>
      </c>
      <c r="B278" s="78"/>
      <c r="C278" s="50" t="s">
        <v>1586</v>
      </c>
      <c r="D278" s="62" t="s">
        <v>1587</v>
      </c>
      <c r="E278" s="21" t="s">
        <v>56</v>
      </c>
      <c r="F278" s="22" t="s">
        <v>238</v>
      </c>
      <c r="G278" s="23" t="s">
        <v>3872</v>
      </c>
      <c r="H278" s="22" t="s">
        <v>305</v>
      </c>
      <c r="I278" s="22" t="s">
        <v>44</v>
      </c>
      <c r="J278" s="22" t="s">
        <v>1104</v>
      </c>
      <c r="K278" s="30"/>
      <c r="L278" s="25"/>
      <c r="M278" s="29"/>
      <c r="N278" s="26"/>
      <c r="O278" s="27"/>
      <c r="P278" s="28"/>
      <c r="Q278" s="29"/>
      <c r="R278" s="26"/>
      <c r="S278" s="23" t="s">
        <v>84</v>
      </c>
      <c r="T278" s="23"/>
      <c r="U278" s="23"/>
      <c r="V278" s="23"/>
      <c r="W278" s="30">
        <v>45383</v>
      </c>
      <c r="X278" s="30">
        <v>45383</v>
      </c>
      <c r="Y278" s="30">
        <v>45383</v>
      </c>
      <c r="Z278" s="31" t="str">
        <f t="shared" ca="1" si="20"/>
        <v>1 Tahun 6 Bulan 30 Hari</v>
      </c>
      <c r="AA278" s="31" t="s">
        <v>197</v>
      </c>
      <c r="AB278" s="32">
        <v>34836</v>
      </c>
      <c r="AC278" s="31" t="s">
        <v>1588</v>
      </c>
      <c r="AD278" s="22" t="str">
        <f t="shared" ca="1" si="17"/>
        <v xml:space="preserve">30 Tahun 5 Bulan </v>
      </c>
      <c r="AE278" s="33" t="s">
        <v>1106</v>
      </c>
      <c r="AF278" s="34"/>
      <c r="AG278" s="58" t="s">
        <v>1556</v>
      </c>
      <c r="AH278" s="58"/>
      <c r="AI278" s="58"/>
      <c r="AJ278" s="58"/>
      <c r="AK278" s="33"/>
      <c r="AL278" s="36"/>
    </row>
    <row r="279" spans="1:39" ht="14.45" customHeight="1" x14ac:dyDescent="0.25">
      <c r="A279" s="17">
        <v>7</v>
      </c>
      <c r="B279" s="78"/>
      <c r="C279" s="50" t="s">
        <v>1589</v>
      </c>
      <c r="D279" s="20">
        <v>2024080725</v>
      </c>
      <c r="E279" s="21" t="s">
        <v>56</v>
      </c>
      <c r="F279" s="22" t="s">
        <v>1063</v>
      </c>
      <c r="G279" s="23" t="s">
        <v>3872</v>
      </c>
      <c r="H279" s="22" t="s">
        <v>3872</v>
      </c>
      <c r="I279" s="22"/>
      <c r="J279" s="22"/>
      <c r="K279" s="30"/>
      <c r="L279" s="53"/>
      <c r="M279" s="26"/>
      <c r="N279" s="26"/>
      <c r="O279" s="27"/>
      <c r="P279" s="53"/>
      <c r="Q279" s="26"/>
      <c r="R279" s="29"/>
      <c r="S279" s="23" t="s">
        <v>84</v>
      </c>
      <c r="T279" s="23"/>
      <c r="U279" s="23"/>
      <c r="V279" s="23"/>
      <c r="W279" s="30"/>
      <c r="X279" s="30">
        <v>45505</v>
      </c>
      <c r="Y279" s="30">
        <v>45505</v>
      </c>
      <c r="Z279" s="31" t="str">
        <f t="shared" ca="1" si="20"/>
        <v>1 Tahun 2 Bulan 30 Hari</v>
      </c>
      <c r="AA279" s="31" t="s">
        <v>76</v>
      </c>
      <c r="AB279" s="32">
        <v>34422</v>
      </c>
      <c r="AC279" s="31" t="s">
        <v>1590</v>
      </c>
      <c r="AD279" s="22" t="str">
        <f t="shared" ca="1" si="17"/>
        <v xml:space="preserve">31 Tahun 7 Bulan </v>
      </c>
      <c r="AE279" s="33" t="s">
        <v>1106</v>
      </c>
      <c r="AF279" s="34"/>
      <c r="AG279" s="58" t="s">
        <v>1556</v>
      </c>
      <c r="AH279" s="22"/>
      <c r="AI279" s="22"/>
      <c r="AJ279" s="22"/>
      <c r="AK279" s="33" t="s">
        <v>485</v>
      </c>
      <c r="AL279" s="36"/>
    </row>
    <row r="280" spans="1:39" ht="14.45" customHeight="1" x14ac:dyDescent="0.25">
      <c r="A280" s="17">
        <v>8</v>
      </c>
      <c r="B280" s="52"/>
      <c r="C280" s="50" t="s">
        <v>1591</v>
      </c>
      <c r="D280" s="20" t="s">
        <v>1592</v>
      </c>
      <c r="E280" s="52" t="s">
        <v>56</v>
      </c>
      <c r="F280" s="22" t="s">
        <v>41</v>
      </c>
      <c r="G280" s="23" t="s">
        <v>227</v>
      </c>
      <c r="H280" s="22" t="s">
        <v>228</v>
      </c>
      <c r="I280" s="22" t="s">
        <v>44</v>
      </c>
      <c r="J280" s="22" t="s">
        <v>1104</v>
      </c>
      <c r="K280" s="77">
        <v>44621</v>
      </c>
      <c r="L280" s="25"/>
      <c r="M280" s="26"/>
      <c r="N280" s="26"/>
      <c r="O280" s="27"/>
      <c r="P280" s="28"/>
      <c r="Q280" s="29"/>
      <c r="R280" s="26"/>
      <c r="S280" s="23" t="s">
        <v>84</v>
      </c>
      <c r="T280" s="23">
        <v>2018</v>
      </c>
      <c r="U280" s="23"/>
      <c r="V280" s="23"/>
      <c r="W280" s="77">
        <v>44621</v>
      </c>
      <c r="X280" s="77">
        <v>44621</v>
      </c>
      <c r="Y280" s="77">
        <v>44621</v>
      </c>
      <c r="Z280" s="55" t="str">
        <f t="shared" ca="1" si="20"/>
        <v>3 Tahun 7 Bulan 30 Hari</v>
      </c>
      <c r="AA280" s="55" t="s">
        <v>1540</v>
      </c>
      <c r="AB280" s="56">
        <v>34357</v>
      </c>
      <c r="AC280" s="32" t="s">
        <v>1593</v>
      </c>
      <c r="AD280" s="57" t="str">
        <f t="shared" ca="1" si="17"/>
        <v xml:space="preserve">31 Tahun 9 Bulan </v>
      </c>
      <c r="AE280" s="33" t="s">
        <v>1106</v>
      </c>
      <c r="AF280" s="71"/>
      <c r="AG280" s="58" t="s">
        <v>1556</v>
      </c>
      <c r="AH280" s="22"/>
      <c r="AI280" s="22"/>
      <c r="AJ280" s="22"/>
      <c r="AK280" s="33" t="s">
        <v>385</v>
      </c>
      <c r="AL280" s="36"/>
      <c r="AM280" s="14"/>
    </row>
    <row r="281" spans="1:39" ht="14.45" customHeight="1" x14ac:dyDescent="0.25">
      <c r="A281" s="17">
        <v>9</v>
      </c>
      <c r="B281" s="18"/>
      <c r="C281" s="50" t="s">
        <v>5758</v>
      </c>
      <c r="D281" s="20" t="s">
        <v>1594</v>
      </c>
      <c r="E281" s="21" t="s">
        <v>56</v>
      </c>
      <c r="F281" s="22" t="s">
        <v>192</v>
      </c>
      <c r="G281" s="23" t="s">
        <v>227</v>
      </c>
      <c r="H281" s="22" t="s">
        <v>228</v>
      </c>
      <c r="I281" s="22" t="s">
        <v>155</v>
      </c>
      <c r="J281" s="22" t="s">
        <v>1104</v>
      </c>
      <c r="K281" s="24" t="s">
        <v>195</v>
      </c>
      <c r="L281" s="22"/>
      <c r="M281" s="22"/>
      <c r="N281" s="22"/>
      <c r="O281" s="22"/>
      <c r="P281" s="22"/>
      <c r="Q281" s="22"/>
      <c r="R281" s="22"/>
      <c r="S281" s="23" t="s">
        <v>84</v>
      </c>
      <c r="T281" s="23"/>
      <c r="U281" s="23"/>
      <c r="V281" s="23"/>
      <c r="W281" s="69">
        <v>45809</v>
      </c>
      <c r="X281" s="69">
        <v>45810</v>
      </c>
      <c r="Y281" s="69">
        <v>45810</v>
      </c>
      <c r="Z281" s="31" t="str">
        <f t="shared" ca="1" si="20"/>
        <v>0 Tahun 4 Bulan 29 Hari</v>
      </c>
      <c r="AA281" s="23" t="s">
        <v>934</v>
      </c>
      <c r="AB281" s="32">
        <v>36548</v>
      </c>
      <c r="AC281" s="32" t="s">
        <v>1595</v>
      </c>
      <c r="AD281" s="22" t="str">
        <f t="shared" ca="1" si="17"/>
        <v xml:space="preserve">25 Tahun 9 Bulan </v>
      </c>
      <c r="AE281" s="33" t="s">
        <v>1106</v>
      </c>
      <c r="AF281" s="34"/>
      <c r="AG281" s="58" t="s">
        <v>1556</v>
      </c>
      <c r="AH281" s="22"/>
      <c r="AI281" s="22"/>
      <c r="AJ281" s="22"/>
      <c r="AK281" s="33" t="s">
        <v>485</v>
      </c>
      <c r="AL281" s="36"/>
    </row>
    <row r="282" spans="1:39" ht="14.45" customHeight="1" x14ac:dyDescent="0.25">
      <c r="A282" s="17">
        <v>10</v>
      </c>
      <c r="B282" s="18"/>
      <c r="C282" s="50" t="s">
        <v>5759</v>
      </c>
      <c r="D282" s="20" t="s">
        <v>1596</v>
      </c>
      <c r="E282" s="21" t="s">
        <v>56</v>
      </c>
      <c r="F282" s="22" t="s">
        <v>192</v>
      </c>
      <c r="G282" s="23" t="s">
        <v>227</v>
      </c>
      <c r="H282" s="22" t="s">
        <v>228</v>
      </c>
      <c r="I282" s="22" t="s">
        <v>155</v>
      </c>
      <c r="J282" s="22" t="s">
        <v>1104</v>
      </c>
      <c r="K282" s="24" t="s">
        <v>195</v>
      </c>
      <c r="L282" s="22"/>
      <c r="M282" s="22"/>
      <c r="N282" s="22"/>
      <c r="O282" s="22"/>
      <c r="P282" s="22"/>
      <c r="Q282" s="22"/>
      <c r="R282" s="22"/>
      <c r="S282" s="23" t="s">
        <v>84</v>
      </c>
      <c r="T282" s="23"/>
      <c r="U282" s="23"/>
      <c r="V282" s="23"/>
      <c r="W282" s="69">
        <v>45809</v>
      </c>
      <c r="X282" s="69">
        <v>45810</v>
      </c>
      <c r="Y282" s="69">
        <v>45810</v>
      </c>
      <c r="Z282" s="31" t="str">
        <f t="shared" ca="1" si="20"/>
        <v>0 Tahun 4 Bulan 29 Hari</v>
      </c>
      <c r="AA282" s="23" t="s">
        <v>203</v>
      </c>
      <c r="AB282" s="32">
        <v>36217</v>
      </c>
      <c r="AC282" s="32" t="s">
        <v>1597</v>
      </c>
      <c r="AD282" s="22" t="str">
        <f t="shared" ca="1" si="17"/>
        <v xml:space="preserve">26 Tahun 8 Bulan </v>
      </c>
      <c r="AE282" s="33" t="s">
        <v>1106</v>
      </c>
      <c r="AF282" s="34"/>
      <c r="AG282" s="58" t="s">
        <v>1556</v>
      </c>
      <c r="AH282" s="22"/>
      <c r="AI282" s="22"/>
      <c r="AJ282" s="22"/>
      <c r="AK282" s="33" t="s">
        <v>1421</v>
      </c>
      <c r="AL282" s="36"/>
      <c r="AM282" s="14"/>
    </row>
    <row r="283" spans="1:39" ht="14.45" customHeight="1" x14ac:dyDescent="0.25">
      <c r="A283" s="17">
        <v>11</v>
      </c>
      <c r="B283" s="18"/>
      <c r="C283" s="50" t="s">
        <v>1598</v>
      </c>
      <c r="D283" s="20" t="s">
        <v>1599</v>
      </c>
      <c r="E283" s="21" t="s">
        <v>56</v>
      </c>
      <c r="F283" s="22" t="s">
        <v>41</v>
      </c>
      <c r="G283" s="23" t="s">
        <v>42</v>
      </c>
      <c r="H283" s="22" t="s">
        <v>43</v>
      </c>
      <c r="I283" s="22" t="s">
        <v>44</v>
      </c>
      <c r="J283" s="22" t="s">
        <v>148</v>
      </c>
      <c r="K283" s="24">
        <v>45870</v>
      </c>
      <c r="L283" s="53" t="s">
        <v>1600</v>
      </c>
      <c r="M283" s="26">
        <v>43117</v>
      </c>
      <c r="N283" s="26">
        <v>45165</v>
      </c>
      <c r="O283" s="27" t="s">
        <v>148</v>
      </c>
      <c r="P283" s="28" t="s">
        <v>1601</v>
      </c>
      <c r="Q283" s="29">
        <v>43192</v>
      </c>
      <c r="R283" s="26">
        <v>45165</v>
      </c>
      <c r="S283" s="23" t="s">
        <v>84</v>
      </c>
      <c r="T283" s="23"/>
      <c r="U283" s="23"/>
      <c r="V283" s="23"/>
      <c r="W283" s="30">
        <v>37956</v>
      </c>
      <c r="X283" s="30">
        <v>37956</v>
      </c>
      <c r="Y283" s="30">
        <v>43887</v>
      </c>
      <c r="Z283" s="55" t="str">
        <f ca="1">DATEDIF(W283,TODAY(),"y")&amp;" Tahun "&amp;DATEDIF(W283,TODAY(),"ym")&amp;" Bulan "&amp;DATEDIF(W283,TODAY(),"md")&amp;" Hari"</f>
        <v>21 Tahun 10 Bulan 30 Hari</v>
      </c>
      <c r="AA283" s="55" t="s">
        <v>76</v>
      </c>
      <c r="AB283" s="56">
        <v>30190</v>
      </c>
      <c r="AC283" s="31" t="s">
        <v>1602</v>
      </c>
      <c r="AD283" s="57" t="str">
        <f t="shared" ca="1" si="17"/>
        <v xml:space="preserve">43 Tahun 2 Bulan </v>
      </c>
      <c r="AE283" s="33" t="s">
        <v>1158</v>
      </c>
      <c r="AF283" s="34"/>
      <c r="AG283" s="58" t="s">
        <v>1603</v>
      </c>
      <c r="AH283" s="58"/>
      <c r="AI283" s="58"/>
      <c r="AJ283" s="58"/>
      <c r="AK283" s="33"/>
      <c r="AL283" s="36"/>
    </row>
    <row r="284" spans="1:39" ht="14.45" customHeight="1" x14ac:dyDescent="0.25">
      <c r="A284" s="17">
        <v>12</v>
      </c>
      <c r="B284" s="78"/>
      <c r="C284" s="50" t="s">
        <v>1604</v>
      </c>
      <c r="D284" s="20" t="s">
        <v>1605</v>
      </c>
      <c r="E284" s="21" t="s">
        <v>40</v>
      </c>
      <c r="F284" s="22" t="s">
        <v>41</v>
      </c>
      <c r="G284" s="23" t="s">
        <v>137</v>
      </c>
      <c r="H284" s="22" t="s">
        <v>138</v>
      </c>
      <c r="I284" s="22" t="s">
        <v>44</v>
      </c>
      <c r="J284" s="22" t="s">
        <v>1166</v>
      </c>
      <c r="K284" s="24">
        <v>43252</v>
      </c>
      <c r="L284" s="53" t="s">
        <v>1606</v>
      </c>
      <c r="M284" s="26">
        <v>43047</v>
      </c>
      <c r="N284" s="26">
        <v>44616</v>
      </c>
      <c r="O284" s="27" t="s">
        <v>1155</v>
      </c>
      <c r="P284" s="53" t="s">
        <v>1607</v>
      </c>
      <c r="Q284" s="26">
        <v>43242</v>
      </c>
      <c r="R284" s="26">
        <v>44616</v>
      </c>
      <c r="S284" s="23" t="s">
        <v>1172</v>
      </c>
      <c r="T284" s="23"/>
      <c r="U284" s="23"/>
      <c r="V284" s="23"/>
      <c r="W284" s="30">
        <v>35490</v>
      </c>
      <c r="X284" s="30">
        <v>35490</v>
      </c>
      <c r="Y284" s="22"/>
      <c r="Z284" s="31" t="str">
        <f ca="1">DATEDIF(W284,TODAY(),"y")&amp;" Tahun "&amp;DATEDIF(W284,TODAY(),"ym")&amp;" Bulan "&amp;DATEDIF(W284,TODAY(),"md")&amp;" Hari"</f>
        <v>28 Tahun 7 Bulan 30 Hari</v>
      </c>
      <c r="AA284" s="31" t="s">
        <v>76</v>
      </c>
      <c r="AB284" s="32">
        <v>27449</v>
      </c>
      <c r="AC284" s="31" t="s">
        <v>1608</v>
      </c>
      <c r="AD284" s="22" t="str">
        <f t="shared" ca="1" si="17"/>
        <v xml:space="preserve">50 Tahun 8 Bulan </v>
      </c>
      <c r="AE284" s="33" t="s">
        <v>1106</v>
      </c>
      <c r="AF284" s="34"/>
      <c r="AG284" s="58" t="s">
        <v>1603</v>
      </c>
      <c r="AH284" s="22"/>
      <c r="AI284" s="22"/>
      <c r="AJ284" s="22"/>
      <c r="AK284" s="33" t="s">
        <v>200</v>
      </c>
      <c r="AL284" s="36"/>
    </row>
    <row r="285" spans="1:39" ht="14.45" customHeight="1" x14ac:dyDescent="0.25">
      <c r="A285" s="17">
        <v>13</v>
      </c>
      <c r="B285" s="134"/>
      <c r="C285" s="50" t="s">
        <v>5760</v>
      </c>
      <c r="D285" s="20" t="s">
        <v>1609</v>
      </c>
      <c r="E285" s="52" t="s">
        <v>56</v>
      </c>
      <c r="F285" s="58" t="s">
        <v>238</v>
      </c>
      <c r="G285" s="33" t="s">
        <v>3872</v>
      </c>
      <c r="H285" s="22" t="s">
        <v>305</v>
      </c>
      <c r="I285" s="22" t="s">
        <v>44</v>
      </c>
      <c r="J285" s="22" t="s">
        <v>1104</v>
      </c>
      <c r="K285" s="22"/>
      <c r="L285" s="53"/>
      <c r="M285" s="26"/>
      <c r="N285" s="26"/>
      <c r="O285" s="27"/>
      <c r="P285" s="28"/>
      <c r="Q285" s="29"/>
      <c r="R285" s="26"/>
      <c r="S285" s="23" t="s">
        <v>84</v>
      </c>
      <c r="T285" s="23"/>
      <c r="U285" s="23"/>
      <c r="V285" s="23"/>
      <c r="W285" s="77">
        <v>45047</v>
      </c>
      <c r="X285" s="30">
        <v>45048</v>
      </c>
      <c r="Y285" s="30">
        <v>45048</v>
      </c>
      <c r="Z285" s="55" t="str">
        <f t="shared" ref="Z285:Z291" ca="1" si="21">DATEDIF(X285,TODAY(),"y")&amp;" Tahun "&amp;DATEDIF(X285,TODAY(),"ym")&amp;" Bulan "&amp;DATEDIF(X285,TODAY(),"md")&amp;" Hari"</f>
        <v>2 Tahun 5 Bulan 29 Hari</v>
      </c>
      <c r="AA285" s="55" t="s">
        <v>1610</v>
      </c>
      <c r="AB285" s="56">
        <v>31975</v>
      </c>
      <c r="AC285" s="32" t="s">
        <v>1611</v>
      </c>
      <c r="AD285" s="57" t="str">
        <f t="shared" ca="1" si="17"/>
        <v xml:space="preserve">38 Tahun 3 Bulan </v>
      </c>
      <c r="AE285" s="33" t="s">
        <v>1106</v>
      </c>
      <c r="AF285" s="71"/>
      <c r="AG285" s="58" t="s">
        <v>1603</v>
      </c>
      <c r="AH285" s="22"/>
      <c r="AI285" s="22"/>
      <c r="AJ285" s="22"/>
      <c r="AK285" s="33" t="s">
        <v>200</v>
      </c>
      <c r="AL285" s="36"/>
    </row>
    <row r="286" spans="1:39" ht="14.45" customHeight="1" x14ac:dyDescent="0.25">
      <c r="A286" s="17">
        <v>1</v>
      </c>
      <c r="B286" s="78"/>
      <c r="C286" s="50" t="s">
        <v>1612</v>
      </c>
      <c r="D286" s="62" t="s">
        <v>1613</v>
      </c>
      <c r="E286" s="21" t="s">
        <v>56</v>
      </c>
      <c r="F286" s="22" t="s">
        <v>238</v>
      </c>
      <c r="G286" s="23" t="s">
        <v>3872</v>
      </c>
      <c r="H286" s="22" t="s">
        <v>305</v>
      </c>
      <c r="I286" s="22" t="s">
        <v>44</v>
      </c>
      <c r="J286" s="22" t="s">
        <v>1104</v>
      </c>
      <c r="K286" s="30"/>
      <c r="L286" s="25"/>
      <c r="M286" s="29"/>
      <c r="N286" s="26"/>
      <c r="O286" s="27"/>
      <c r="P286" s="28"/>
      <c r="Q286" s="29"/>
      <c r="R286" s="26"/>
      <c r="S286" s="23" t="s">
        <v>84</v>
      </c>
      <c r="T286" s="23"/>
      <c r="U286" s="23"/>
      <c r="V286" s="23"/>
      <c r="W286" s="30">
        <v>45383</v>
      </c>
      <c r="X286" s="30">
        <v>45383</v>
      </c>
      <c r="Y286" s="30">
        <v>45383</v>
      </c>
      <c r="Z286" s="31" t="str">
        <f t="shared" ca="1" si="21"/>
        <v>1 Tahun 6 Bulan 30 Hari</v>
      </c>
      <c r="AA286" s="31" t="s">
        <v>203</v>
      </c>
      <c r="AB286" s="32">
        <v>32650</v>
      </c>
      <c r="AC286" s="31" t="s">
        <v>1614</v>
      </c>
      <c r="AD286" s="22" t="str">
        <f t="shared" ca="1" si="17"/>
        <v xml:space="preserve">36 Tahun 5 Bulan </v>
      </c>
      <c r="AE286" s="33" t="s">
        <v>1106</v>
      </c>
      <c r="AF286" s="34"/>
      <c r="AG286" s="58" t="s">
        <v>1603</v>
      </c>
      <c r="AH286" s="22"/>
      <c r="AI286" s="22"/>
      <c r="AJ286" s="22"/>
      <c r="AK286" s="33"/>
      <c r="AL286" s="36"/>
      <c r="AM286" s="14"/>
    </row>
    <row r="287" spans="1:39" ht="14.45" customHeight="1" x14ac:dyDescent="0.25">
      <c r="A287" s="17">
        <v>2</v>
      </c>
      <c r="B287" s="78"/>
      <c r="C287" s="50" t="s">
        <v>1615</v>
      </c>
      <c r="D287" s="20" t="s">
        <v>1616</v>
      </c>
      <c r="E287" s="21" t="s">
        <v>56</v>
      </c>
      <c r="F287" s="22" t="s">
        <v>238</v>
      </c>
      <c r="G287" s="33" t="s">
        <v>3872</v>
      </c>
      <c r="H287" s="22" t="s">
        <v>1078</v>
      </c>
      <c r="I287" s="22" t="s">
        <v>44</v>
      </c>
      <c r="J287" s="22" t="s">
        <v>1293</v>
      </c>
      <c r="K287" s="30"/>
      <c r="L287" s="25" t="s">
        <v>1617</v>
      </c>
      <c r="M287" s="26">
        <v>42290</v>
      </c>
      <c r="N287" s="26">
        <v>43938</v>
      </c>
      <c r="O287" s="27" t="s">
        <v>148</v>
      </c>
      <c r="P287" s="28" t="s">
        <v>1618</v>
      </c>
      <c r="Q287" s="29">
        <v>43151</v>
      </c>
      <c r="R287" s="26">
        <v>43938</v>
      </c>
      <c r="S287" s="23" t="s">
        <v>1172</v>
      </c>
      <c r="T287" s="23"/>
      <c r="U287" s="23"/>
      <c r="V287" s="23"/>
      <c r="W287" s="30">
        <v>45047</v>
      </c>
      <c r="X287" s="30">
        <v>39965</v>
      </c>
      <c r="Y287" s="30">
        <v>39965</v>
      </c>
      <c r="Z287" s="31" t="str">
        <f t="shared" ca="1" si="21"/>
        <v>16 Tahun 4 Bulan 30 Hari</v>
      </c>
      <c r="AA287" s="31" t="s">
        <v>76</v>
      </c>
      <c r="AB287" s="32">
        <v>31519</v>
      </c>
      <c r="AC287" s="31" t="s">
        <v>1619</v>
      </c>
      <c r="AD287" s="22" t="str">
        <f t="shared" ca="1" si="17"/>
        <v xml:space="preserve">39 Tahun 6 Bulan </v>
      </c>
      <c r="AE287" s="33" t="s">
        <v>1106</v>
      </c>
      <c r="AF287" s="34"/>
      <c r="AG287" s="58" t="s">
        <v>1603</v>
      </c>
      <c r="AH287" s="22"/>
      <c r="AI287" s="22"/>
      <c r="AJ287" s="22"/>
      <c r="AK287" s="33"/>
      <c r="AL287" s="36"/>
    </row>
    <row r="288" spans="1:39" ht="14.45" customHeight="1" x14ac:dyDescent="0.25">
      <c r="A288" s="17">
        <v>3</v>
      </c>
      <c r="B288" s="78"/>
      <c r="C288" s="50" t="s">
        <v>5761</v>
      </c>
      <c r="D288" s="20" t="s">
        <v>1620</v>
      </c>
      <c r="E288" s="21" t="s">
        <v>40</v>
      </c>
      <c r="F288" s="22" t="s">
        <v>41</v>
      </c>
      <c r="G288" s="23" t="s">
        <v>57</v>
      </c>
      <c r="H288" s="22" t="s">
        <v>58</v>
      </c>
      <c r="I288" s="22" t="s">
        <v>44</v>
      </c>
      <c r="J288" s="22" t="s">
        <v>148</v>
      </c>
      <c r="K288" s="24">
        <v>44470</v>
      </c>
      <c r="L288" s="53" t="s">
        <v>1621</v>
      </c>
      <c r="M288" s="26">
        <v>43034</v>
      </c>
      <c r="N288" s="26">
        <v>44876</v>
      </c>
      <c r="O288" s="27" t="s">
        <v>1162</v>
      </c>
      <c r="P288" s="53" t="s">
        <v>1622</v>
      </c>
      <c r="Q288" s="26">
        <v>43367</v>
      </c>
      <c r="R288" s="26">
        <v>44876</v>
      </c>
      <c r="S288" s="23" t="s">
        <v>1167</v>
      </c>
      <c r="T288" s="23"/>
      <c r="U288" s="23"/>
      <c r="V288" s="23"/>
      <c r="W288" s="30">
        <v>35490</v>
      </c>
      <c r="X288" s="30">
        <v>35490</v>
      </c>
      <c r="Y288" s="30">
        <v>41791</v>
      </c>
      <c r="Z288" s="31" t="str">
        <f t="shared" ca="1" si="21"/>
        <v>28 Tahun 7 Bulan 30 Hari</v>
      </c>
      <c r="AA288" s="31" t="s">
        <v>1178</v>
      </c>
      <c r="AB288" s="32">
        <v>26614</v>
      </c>
      <c r="AC288" s="32" t="s">
        <v>1623</v>
      </c>
      <c r="AD288" s="22" t="str">
        <f t="shared" ca="1" si="17"/>
        <v xml:space="preserve">52 Tahun 11 Bulan </v>
      </c>
      <c r="AE288" s="33" t="s">
        <v>1106</v>
      </c>
      <c r="AF288" s="34"/>
      <c r="AG288" s="58" t="s">
        <v>1603</v>
      </c>
      <c r="AH288" s="58"/>
      <c r="AI288" s="58"/>
      <c r="AJ288" s="58"/>
      <c r="AK288" s="33" t="s">
        <v>308</v>
      </c>
      <c r="AL288" s="36"/>
    </row>
    <row r="289" spans="1:39" ht="14.45" customHeight="1" x14ac:dyDescent="0.25">
      <c r="A289" s="17">
        <v>4</v>
      </c>
      <c r="B289" s="18"/>
      <c r="C289" s="50" t="s">
        <v>5762</v>
      </c>
      <c r="D289" s="20" t="s">
        <v>1624</v>
      </c>
      <c r="E289" s="21" t="s">
        <v>56</v>
      </c>
      <c r="F289" s="22" t="s">
        <v>192</v>
      </c>
      <c r="G289" s="23" t="s">
        <v>227</v>
      </c>
      <c r="H289" s="22" t="s">
        <v>228</v>
      </c>
      <c r="I289" s="22" t="s">
        <v>155</v>
      </c>
      <c r="J289" s="22" t="s">
        <v>1104</v>
      </c>
      <c r="K289" s="24" t="s">
        <v>195</v>
      </c>
      <c r="L289" s="22"/>
      <c r="M289" s="22"/>
      <c r="N289" s="22"/>
      <c r="O289" s="22"/>
      <c r="P289" s="22"/>
      <c r="Q289" s="22"/>
      <c r="R289" s="22"/>
      <c r="S289" s="23" t="s">
        <v>84</v>
      </c>
      <c r="T289" s="23"/>
      <c r="U289" s="23"/>
      <c r="V289" s="23"/>
      <c r="W289" s="69">
        <v>45809</v>
      </c>
      <c r="X289" s="69">
        <v>45810</v>
      </c>
      <c r="Y289" s="69">
        <v>45810</v>
      </c>
      <c r="Z289" s="31" t="str">
        <f t="shared" ca="1" si="21"/>
        <v>0 Tahun 4 Bulan 29 Hari</v>
      </c>
      <c r="AA289" s="23" t="s">
        <v>627</v>
      </c>
      <c r="AB289" s="32">
        <v>35522</v>
      </c>
      <c r="AC289" s="32" t="s">
        <v>1625</v>
      </c>
      <c r="AD289" s="22" t="str">
        <f t="shared" ca="1" si="17"/>
        <v xml:space="preserve">28 Tahun 6 Bulan </v>
      </c>
      <c r="AE289" s="33" t="s">
        <v>1106</v>
      </c>
      <c r="AF289" s="34"/>
      <c r="AG289" s="58" t="s">
        <v>1603</v>
      </c>
      <c r="AH289" s="22"/>
      <c r="AI289" s="22"/>
      <c r="AJ289" s="22"/>
      <c r="AK289" s="33" t="s">
        <v>485</v>
      </c>
      <c r="AL289" s="36"/>
    </row>
    <row r="290" spans="1:39" ht="14.45" customHeight="1" x14ac:dyDescent="0.25">
      <c r="A290" s="17">
        <v>5</v>
      </c>
      <c r="B290" s="18"/>
      <c r="C290" s="50" t="s">
        <v>5763</v>
      </c>
      <c r="D290" s="20" t="s">
        <v>1626</v>
      </c>
      <c r="E290" s="21" t="s">
        <v>40</v>
      </c>
      <c r="F290" s="22" t="s">
        <v>192</v>
      </c>
      <c r="G290" s="23" t="s">
        <v>227</v>
      </c>
      <c r="H290" s="22" t="s">
        <v>228</v>
      </c>
      <c r="I290" s="22" t="s">
        <v>155</v>
      </c>
      <c r="J290" s="22" t="s">
        <v>1104</v>
      </c>
      <c r="K290" s="24" t="s">
        <v>195</v>
      </c>
      <c r="L290" s="22"/>
      <c r="M290" s="22"/>
      <c r="N290" s="22"/>
      <c r="O290" s="22"/>
      <c r="P290" s="22"/>
      <c r="Q290" s="22"/>
      <c r="R290" s="22"/>
      <c r="S290" s="23" t="s">
        <v>84</v>
      </c>
      <c r="T290" s="23"/>
      <c r="U290" s="23"/>
      <c r="V290" s="23"/>
      <c r="W290" s="69">
        <v>45809</v>
      </c>
      <c r="X290" s="69">
        <v>45810</v>
      </c>
      <c r="Y290" s="69">
        <v>45810</v>
      </c>
      <c r="Z290" s="31" t="str">
        <f t="shared" ca="1" si="21"/>
        <v>0 Tahun 4 Bulan 29 Hari</v>
      </c>
      <c r="AA290" s="98" t="s">
        <v>1045</v>
      </c>
      <c r="AB290" s="32">
        <v>33147</v>
      </c>
      <c r="AC290" s="32" t="s">
        <v>1627</v>
      </c>
      <c r="AD290" s="22" t="str">
        <f t="shared" ca="1" si="17"/>
        <v xml:space="preserve">35 Tahun 0 Bulan </v>
      </c>
      <c r="AE290" s="33" t="s">
        <v>1106</v>
      </c>
      <c r="AF290" s="34"/>
      <c r="AG290" s="58" t="s">
        <v>1603</v>
      </c>
      <c r="AH290" s="22"/>
      <c r="AI290" s="22"/>
      <c r="AJ290" s="22"/>
      <c r="AK290" s="33" t="s">
        <v>314</v>
      </c>
      <c r="AL290" s="36"/>
    </row>
    <row r="291" spans="1:39" ht="14.45" customHeight="1" x14ac:dyDescent="0.25">
      <c r="A291" s="17">
        <v>6</v>
      </c>
      <c r="B291" s="18"/>
      <c r="C291" s="50" t="s">
        <v>1628</v>
      </c>
      <c r="D291" s="42">
        <v>2023120748</v>
      </c>
      <c r="E291" s="58" t="s">
        <v>56</v>
      </c>
      <c r="F291" s="87" t="s">
        <v>1063</v>
      </c>
      <c r="G291" s="33" t="s">
        <v>3872</v>
      </c>
      <c r="H291" s="22" t="s">
        <v>3872</v>
      </c>
      <c r="I291" s="22"/>
      <c r="J291" s="22"/>
      <c r="K291" s="30"/>
      <c r="L291" s="25"/>
      <c r="M291" s="26"/>
      <c r="N291" s="26"/>
      <c r="O291" s="27"/>
      <c r="P291" s="28"/>
      <c r="Q291" s="29"/>
      <c r="R291" s="26"/>
      <c r="S291" s="23" t="s">
        <v>1068</v>
      </c>
      <c r="T291" s="33"/>
      <c r="U291" s="33"/>
      <c r="V291" s="33"/>
      <c r="W291" s="30"/>
      <c r="X291" s="30">
        <v>45261</v>
      </c>
      <c r="Y291" s="30">
        <v>45261</v>
      </c>
      <c r="Z291" s="55" t="str">
        <f t="shared" ca="1" si="21"/>
        <v>1 Tahun 10 Bulan 30 Hari</v>
      </c>
      <c r="AA291" s="31" t="s">
        <v>76</v>
      </c>
      <c r="AB291" s="32">
        <v>33001</v>
      </c>
      <c r="AC291" s="31" t="s">
        <v>1629</v>
      </c>
      <c r="AD291" s="57" t="str">
        <f t="shared" ca="1" si="17"/>
        <v xml:space="preserve">35 Tahun 5 Bulan </v>
      </c>
      <c r="AE291" s="33" t="s">
        <v>1341</v>
      </c>
      <c r="AF291" s="71"/>
      <c r="AG291" s="58" t="s">
        <v>1603</v>
      </c>
      <c r="AH291" s="22"/>
      <c r="AI291" s="22"/>
      <c r="AJ291" s="22"/>
      <c r="AK291" s="33"/>
      <c r="AL291" s="36"/>
    </row>
    <row r="292" spans="1:39" ht="14.45" customHeight="1" x14ac:dyDescent="0.25">
      <c r="A292" s="17">
        <v>7</v>
      </c>
      <c r="B292" s="132"/>
      <c r="C292" s="50" t="s">
        <v>1630</v>
      </c>
      <c r="D292" s="20" t="s">
        <v>1631</v>
      </c>
      <c r="E292" s="52" t="s">
        <v>56</v>
      </c>
      <c r="F292" s="58" t="s">
        <v>41</v>
      </c>
      <c r="G292" s="23" t="s">
        <v>42</v>
      </c>
      <c r="H292" s="22" t="s">
        <v>43</v>
      </c>
      <c r="I292" s="22" t="s">
        <v>44</v>
      </c>
      <c r="J292" s="22" t="s">
        <v>148</v>
      </c>
      <c r="K292" s="24">
        <v>45200</v>
      </c>
      <c r="L292" s="25" t="s">
        <v>1632</v>
      </c>
      <c r="M292" s="26">
        <v>43203</v>
      </c>
      <c r="N292" s="26">
        <v>45091</v>
      </c>
      <c r="O292" s="27" t="s">
        <v>84</v>
      </c>
      <c r="P292" s="53" t="s">
        <v>1633</v>
      </c>
      <c r="Q292" s="26">
        <v>43256</v>
      </c>
      <c r="R292" s="29">
        <v>45091</v>
      </c>
      <c r="S292" s="23" t="s">
        <v>84</v>
      </c>
      <c r="T292" s="23"/>
      <c r="U292" s="23"/>
      <c r="V292" s="23"/>
      <c r="W292" s="30">
        <v>34029</v>
      </c>
      <c r="X292" s="30">
        <v>34029</v>
      </c>
      <c r="Y292" s="30">
        <v>41730</v>
      </c>
      <c r="Z292" s="55" t="str">
        <f ca="1">DATEDIF(W292,TODAY(),"y")&amp;" Tahun "&amp;DATEDIF(W292,TODAY(),"ym")&amp;" Bulan "&amp;DATEDIF(W292,TODAY(),"md")&amp;" Hari"</f>
        <v>32 Tahun 7 Bulan 30 Hari</v>
      </c>
      <c r="AA292" s="55" t="s">
        <v>1512</v>
      </c>
      <c r="AB292" s="56">
        <v>25733</v>
      </c>
      <c r="AC292" s="31" t="s">
        <v>1634</v>
      </c>
      <c r="AD292" s="57" t="str">
        <f t="shared" ca="1" si="17"/>
        <v xml:space="preserve">55 Tahun 4 Bulan </v>
      </c>
      <c r="AE292" s="33" t="s">
        <v>1151</v>
      </c>
      <c r="AF292" s="71"/>
      <c r="AG292" s="22" t="s">
        <v>1635</v>
      </c>
      <c r="AH292" s="22"/>
      <c r="AI292" s="22"/>
      <c r="AJ292" s="22"/>
      <c r="AK292" s="33" t="s">
        <v>200</v>
      </c>
      <c r="AL292" s="36"/>
    </row>
    <row r="293" spans="1:39" ht="14.45" customHeight="1" x14ac:dyDescent="0.25">
      <c r="A293" s="17">
        <v>8</v>
      </c>
      <c r="B293" s="78"/>
      <c r="C293" s="50" t="s">
        <v>1636</v>
      </c>
      <c r="D293" s="20" t="s">
        <v>1637</v>
      </c>
      <c r="E293" s="22" t="s">
        <v>56</v>
      </c>
      <c r="F293" s="22" t="s">
        <v>41</v>
      </c>
      <c r="G293" s="33" t="s">
        <v>137</v>
      </c>
      <c r="H293" s="22" t="s">
        <v>138</v>
      </c>
      <c r="I293" s="22" t="s">
        <v>44</v>
      </c>
      <c r="J293" s="22" t="s">
        <v>1148</v>
      </c>
      <c r="K293" s="24">
        <v>45200</v>
      </c>
      <c r="L293" s="25" t="s">
        <v>1638</v>
      </c>
      <c r="M293" s="26">
        <v>42290</v>
      </c>
      <c r="N293" s="26">
        <v>44081</v>
      </c>
      <c r="O293" s="27" t="s">
        <v>84</v>
      </c>
      <c r="P293" s="28" t="s">
        <v>1639</v>
      </c>
      <c r="Q293" s="29">
        <v>42774</v>
      </c>
      <c r="R293" s="26">
        <v>44081</v>
      </c>
      <c r="S293" s="23" t="s">
        <v>84</v>
      </c>
      <c r="T293" s="23"/>
      <c r="U293" s="23"/>
      <c r="V293" s="23"/>
      <c r="W293" s="30">
        <v>42095</v>
      </c>
      <c r="X293" s="30">
        <v>42095</v>
      </c>
      <c r="Y293" s="30">
        <v>43887</v>
      </c>
      <c r="Z293" s="31" t="str">
        <f ca="1">DATEDIF(W293,TODAY(),"y")&amp;" Tahun "&amp;DATEDIF(W293,TODAY(),"ym")&amp;" Bulan "&amp;DATEDIF(W293,TODAY(),"md")&amp;" Hari"</f>
        <v>10 Tahun 6 Bulan 30 Hari</v>
      </c>
      <c r="AA293" s="32" t="s">
        <v>1640</v>
      </c>
      <c r="AB293" s="32">
        <v>33123</v>
      </c>
      <c r="AC293" s="31" t="s">
        <v>1641</v>
      </c>
      <c r="AD293" s="22" t="str">
        <f t="shared" ca="1" si="17"/>
        <v xml:space="preserve">35 Tahun 1 Bulan </v>
      </c>
      <c r="AE293" s="33" t="s">
        <v>1106</v>
      </c>
      <c r="AF293" s="34"/>
      <c r="AG293" s="22" t="s">
        <v>1635</v>
      </c>
      <c r="AH293" s="22"/>
      <c r="AI293" s="22"/>
      <c r="AJ293" s="22"/>
      <c r="AK293" s="33" t="s">
        <v>200</v>
      </c>
      <c r="AL293" s="36"/>
    </row>
    <row r="294" spans="1:39" ht="14.45" customHeight="1" x14ac:dyDescent="0.25">
      <c r="A294" s="17">
        <v>9</v>
      </c>
      <c r="B294" s="78"/>
      <c r="C294" s="50" t="s">
        <v>1642</v>
      </c>
      <c r="D294" s="62" t="s">
        <v>1643</v>
      </c>
      <c r="E294" s="21" t="s">
        <v>40</v>
      </c>
      <c r="F294" s="22" t="s">
        <v>238</v>
      </c>
      <c r="G294" s="23" t="s">
        <v>3872</v>
      </c>
      <c r="H294" s="22" t="s">
        <v>305</v>
      </c>
      <c r="I294" s="22" t="s">
        <v>44</v>
      </c>
      <c r="J294" s="22" t="s">
        <v>1104</v>
      </c>
      <c r="K294" s="30"/>
      <c r="L294" s="25"/>
      <c r="M294" s="29"/>
      <c r="N294" s="26"/>
      <c r="O294" s="27"/>
      <c r="P294" s="28"/>
      <c r="Q294" s="29"/>
      <c r="R294" s="26"/>
      <c r="S294" s="23" t="s">
        <v>84</v>
      </c>
      <c r="T294" s="23"/>
      <c r="U294" s="23"/>
      <c r="V294" s="23"/>
      <c r="W294" s="30">
        <v>45383</v>
      </c>
      <c r="X294" s="30">
        <v>45383</v>
      </c>
      <c r="Y294" s="30">
        <v>45383</v>
      </c>
      <c r="Z294" s="31" t="str">
        <f ca="1">DATEDIF(X294,TODAY(),"y")&amp;" Tahun "&amp;DATEDIF(X294,TODAY(),"ym")&amp;" Bulan "&amp;DATEDIF(X294,TODAY(),"md")&amp;" Hari"</f>
        <v>1 Tahun 6 Bulan 30 Hari</v>
      </c>
      <c r="AA294" s="31" t="s">
        <v>1644</v>
      </c>
      <c r="AB294" s="32">
        <v>33349</v>
      </c>
      <c r="AC294" s="31" t="s">
        <v>1645</v>
      </c>
      <c r="AD294" s="22" t="str">
        <f t="shared" ca="1" si="17"/>
        <v xml:space="preserve">34 Tahun 6 Bulan </v>
      </c>
      <c r="AE294" s="33" t="s">
        <v>1106</v>
      </c>
      <c r="AF294" s="34"/>
      <c r="AG294" s="22" t="s">
        <v>1635</v>
      </c>
      <c r="AH294" s="85"/>
      <c r="AI294" s="58"/>
      <c r="AJ294" s="58"/>
      <c r="AK294" s="33"/>
      <c r="AL294" s="22"/>
      <c r="AM294" s="14"/>
    </row>
    <row r="295" spans="1:39" ht="15" x14ac:dyDescent="0.25">
      <c r="A295" s="17">
        <v>1</v>
      </c>
      <c r="B295" s="78"/>
      <c r="C295" s="50" t="s">
        <v>1646</v>
      </c>
      <c r="D295" s="62" t="s">
        <v>1647</v>
      </c>
      <c r="E295" s="21" t="s">
        <v>56</v>
      </c>
      <c r="F295" s="22" t="s">
        <v>238</v>
      </c>
      <c r="G295" s="23" t="s">
        <v>3872</v>
      </c>
      <c r="H295" s="22" t="s">
        <v>1078</v>
      </c>
      <c r="I295" s="22" t="s">
        <v>44</v>
      </c>
      <c r="J295" s="22" t="s">
        <v>1293</v>
      </c>
      <c r="K295" s="30"/>
      <c r="L295" s="25"/>
      <c r="M295" s="29"/>
      <c r="N295" s="26"/>
      <c r="O295" s="27"/>
      <c r="P295" s="28"/>
      <c r="Q295" s="29"/>
      <c r="R295" s="26"/>
      <c r="S295" s="23" t="s">
        <v>1172</v>
      </c>
      <c r="T295" s="23"/>
      <c r="U295" s="23"/>
      <c r="V295" s="23"/>
      <c r="W295" s="30">
        <v>45383</v>
      </c>
      <c r="X295" s="30">
        <v>45383</v>
      </c>
      <c r="Y295" s="30">
        <v>45383</v>
      </c>
      <c r="Z295" s="31" t="str">
        <f ca="1">DATEDIF(X295,TODAY(),"y")&amp;" Tahun "&amp;DATEDIF(X295,TODAY(),"ym")&amp;" Bulan "&amp;DATEDIF(X295,TODAY(),"md")&amp;" Hari"</f>
        <v>1 Tahun 6 Bulan 30 Hari</v>
      </c>
      <c r="AA295" s="31" t="s">
        <v>203</v>
      </c>
      <c r="AB295" s="32">
        <v>34162</v>
      </c>
      <c r="AC295" s="31" t="s">
        <v>1648</v>
      </c>
      <c r="AD295" s="22" t="str">
        <f t="shared" ca="1" si="17"/>
        <v xml:space="preserve">32 Tahun 3 Bulan </v>
      </c>
      <c r="AE295" s="33" t="s">
        <v>1106</v>
      </c>
      <c r="AF295" s="34"/>
      <c r="AG295" s="22" t="s">
        <v>1635</v>
      </c>
      <c r="AH295" s="58"/>
      <c r="AI295" s="58"/>
      <c r="AJ295" s="87"/>
      <c r="AK295" s="61"/>
      <c r="AL295" s="36"/>
    </row>
    <row r="296" spans="1:39" ht="14.45" customHeight="1" x14ac:dyDescent="0.25">
      <c r="A296" s="17">
        <v>2</v>
      </c>
      <c r="B296" s="78"/>
      <c r="C296" s="19" t="s">
        <v>1649</v>
      </c>
      <c r="D296" s="20" t="s">
        <v>1650</v>
      </c>
      <c r="E296" s="52" t="s">
        <v>56</v>
      </c>
      <c r="F296" s="58" t="s">
        <v>41</v>
      </c>
      <c r="G296" s="23" t="s">
        <v>137</v>
      </c>
      <c r="H296" s="22" t="s">
        <v>138</v>
      </c>
      <c r="I296" s="22" t="s">
        <v>44</v>
      </c>
      <c r="J296" s="22" t="s">
        <v>1148</v>
      </c>
      <c r="K296" s="24">
        <v>45505</v>
      </c>
      <c r="L296" s="25" t="s">
        <v>1651</v>
      </c>
      <c r="M296" s="26">
        <v>42926</v>
      </c>
      <c r="N296" s="26">
        <v>44863</v>
      </c>
      <c r="O296" s="27" t="s">
        <v>1155</v>
      </c>
      <c r="P296" s="53" t="s">
        <v>1652</v>
      </c>
      <c r="Q296" s="29">
        <v>43052</v>
      </c>
      <c r="R296" s="26">
        <v>44863</v>
      </c>
      <c r="S296" s="38" t="s">
        <v>84</v>
      </c>
      <c r="T296" s="23">
        <v>2021</v>
      </c>
      <c r="U296" s="23"/>
      <c r="V296" s="23"/>
      <c r="W296" s="30">
        <v>40148</v>
      </c>
      <c r="X296" s="30">
        <v>40238</v>
      </c>
      <c r="Y296" s="30">
        <v>40299</v>
      </c>
      <c r="Z296" s="55" t="str">
        <f ca="1">DATEDIF(W296,TODAY(),"y")&amp;" Tahun "&amp;DATEDIF(W296,TODAY(),"ym")&amp;" Bulan "&amp;DATEDIF(W296,TODAY(),"md")&amp;" Hari"</f>
        <v>15 Tahun 10 Bulan 30 Hari</v>
      </c>
      <c r="AA296" s="55" t="s">
        <v>1540</v>
      </c>
      <c r="AB296" s="56">
        <v>32445</v>
      </c>
      <c r="AC296" s="32" t="s">
        <v>1653</v>
      </c>
      <c r="AD296" s="57" t="str">
        <f t="shared" ref="AD296:AD359" ca="1" si="22">DATEDIF(AB296,TODAY(),"y")&amp;" Tahun "&amp;DATEDIF(AB296,TODAY(),"ym")&amp;" Bulan "</f>
        <v xml:space="preserve">37 Tahun 0 Bulan </v>
      </c>
      <c r="AE296" s="33" t="s">
        <v>1158</v>
      </c>
      <c r="AF296" s="71"/>
      <c r="AG296" s="22" t="s">
        <v>1635</v>
      </c>
      <c r="AH296" s="22"/>
      <c r="AI296" s="22"/>
      <c r="AJ296" s="22"/>
      <c r="AK296" s="33"/>
      <c r="AL296" s="22"/>
    </row>
    <row r="297" spans="1:39" ht="14.45" customHeight="1" x14ac:dyDescent="0.25">
      <c r="A297" s="17">
        <v>3</v>
      </c>
      <c r="B297" s="78"/>
      <c r="C297" s="50" t="s">
        <v>1654</v>
      </c>
      <c r="D297" s="20" t="s">
        <v>1655</v>
      </c>
      <c r="E297" s="22" t="s">
        <v>56</v>
      </c>
      <c r="F297" s="22" t="s">
        <v>238</v>
      </c>
      <c r="G297" s="33" t="s">
        <v>3872</v>
      </c>
      <c r="H297" s="22" t="s">
        <v>1078</v>
      </c>
      <c r="I297" s="22" t="s">
        <v>44</v>
      </c>
      <c r="J297" s="22" t="s">
        <v>1293</v>
      </c>
      <c r="K297" s="30"/>
      <c r="L297" s="53" t="s">
        <v>1656</v>
      </c>
      <c r="M297" s="26">
        <v>43145</v>
      </c>
      <c r="N297" s="26">
        <v>44929</v>
      </c>
      <c r="O297" s="27" t="s">
        <v>148</v>
      </c>
      <c r="P297" s="28" t="s">
        <v>1657</v>
      </c>
      <c r="Q297" s="29">
        <v>43192</v>
      </c>
      <c r="R297" s="26">
        <v>44929</v>
      </c>
      <c r="S297" s="33" t="s">
        <v>1172</v>
      </c>
      <c r="T297" s="33"/>
      <c r="U297" s="33"/>
      <c r="V297" s="33"/>
      <c r="W297" s="30">
        <v>45383</v>
      </c>
      <c r="X297" s="30">
        <v>42095</v>
      </c>
      <c r="Y297" s="30">
        <v>42114</v>
      </c>
      <c r="Z297" s="31" t="str">
        <f ca="1">DATEDIF(X297,TODAY(),"y")&amp;" Tahun "&amp;DATEDIF(X297,TODAY(),"ym")&amp;" Bulan "&amp;DATEDIF(X297,TODAY(),"md")&amp;" Hari"</f>
        <v>10 Tahun 6 Bulan 30 Hari</v>
      </c>
      <c r="AA297" s="31" t="s">
        <v>76</v>
      </c>
      <c r="AB297" s="32">
        <v>32145</v>
      </c>
      <c r="AC297" s="31" t="s">
        <v>1658</v>
      </c>
      <c r="AD297" s="22" t="str">
        <f t="shared" ca="1" si="22"/>
        <v xml:space="preserve">37 Tahun 9 Bulan </v>
      </c>
      <c r="AE297" s="33" t="s">
        <v>1106</v>
      </c>
      <c r="AF297" s="34"/>
      <c r="AG297" s="22" t="s">
        <v>1635</v>
      </c>
      <c r="AH297" s="22"/>
      <c r="AI297" s="22"/>
      <c r="AJ297" s="22"/>
      <c r="AK297" s="33" t="s">
        <v>485</v>
      </c>
      <c r="AL297" s="36"/>
    </row>
    <row r="298" spans="1:39" ht="14.45" customHeight="1" x14ac:dyDescent="0.25">
      <c r="A298" s="17">
        <v>4</v>
      </c>
      <c r="B298" s="78"/>
      <c r="C298" s="50" t="s">
        <v>1659</v>
      </c>
      <c r="D298" s="62">
        <v>2023110686</v>
      </c>
      <c r="E298" s="21" t="s">
        <v>56</v>
      </c>
      <c r="F298" s="22" t="s">
        <v>1063</v>
      </c>
      <c r="G298" s="23" t="s">
        <v>3872</v>
      </c>
      <c r="H298" s="22" t="s">
        <v>3872</v>
      </c>
      <c r="I298" s="22"/>
      <c r="J298" s="22"/>
      <c r="K298" s="30"/>
      <c r="L298" s="25"/>
      <c r="M298" s="29"/>
      <c r="N298" s="26"/>
      <c r="O298" s="27"/>
      <c r="P298" s="28"/>
      <c r="Q298" s="29"/>
      <c r="R298" s="26"/>
      <c r="S298" s="23" t="s">
        <v>84</v>
      </c>
      <c r="T298" s="23">
        <v>2023</v>
      </c>
      <c r="U298" s="23"/>
      <c r="V298" s="23"/>
      <c r="W298" s="30"/>
      <c r="X298" s="30">
        <v>45231</v>
      </c>
      <c r="Y298" s="30">
        <v>45231</v>
      </c>
      <c r="Z298" s="31" t="str">
        <f ca="1">DATEDIF(X298,TODAY(),"y")&amp;" Tahun "&amp;DATEDIF(X298,TODAY(),"ym")&amp;" Bulan "&amp;DATEDIF(X298,TODAY(),"md")&amp;" Hari"</f>
        <v>1 Tahun 11 Bulan 30 Hari</v>
      </c>
      <c r="AA298" s="31" t="s">
        <v>563</v>
      </c>
      <c r="AB298" s="32">
        <v>36720</v>
      </c>
      <c r="AC298" s="31" t="s">
        <v>1660</v>
      </c>
      <c r="AD298" s="22" t="str">
        <f t="shared" ca="1" si="22"/>
        <v xml:space="preserve">25 Tahun 3 Bulan </v>
      </c>
      <c r="AE298" s="33" t="s">
        <v>1106</v>
      </c>
      <c r="AF298" s="34"/>
      <c r="AG298" s="22" t="s">
        <v>1635</v>
      </c>
      <c r="AH298" s="22"/>
      <c r="AI298" s="22"/>
      <c r="AJ298" s="22"/>
      <c r="AK298" s="33" t="s">
        <v>485</v>
      </c>
      <c r="AL298" s="36"/>
    </row>
    <row r="299" spans="1:39" ht="14.45" customHeight="1" x14ac:dyDescent="0.25">
      <c r="A299" s="17">
        <v>5</v>
      </c>
      <c r="B299" s="78"/>
      <c r="C299" s="50" t="s">
        <v>1661</v>
      </c>
      <c r="D299" s="62">
        <v>2023110697</v>
      </c>
      <c r="E299" s="21" t="s">
        <v>56</v>
      </c>
      <c r="F299" s="22" t="s">
        <v>1063</v>
      </c>
      <c r="G299" s="23" t="s">
        <v>3872</v>
      </c>
      <c r="H299" s="22" t="s">
        <v>3872</v>
      </c>
      <c r="I299" s="22"/>
      <c r="J299" s="22"/>
      <c r="K299" s="30"/>
      <c r="L299" s="25"/>
      <c r="M299" s="29"/>
      <c r="N299" s="26"/>
      <c r="O299" s="27"/>
      <c r="P299" s="28"/>
      <c r="Q299" s="29"/>
      <c r="R299" s="26"/>
      <c r="S299" s="23" t="s">
        <v>1172</v>
      </c>
      <c r="T299" s="23">
        <v>2016</v>
      </c>
      <c r="U299" s="23"/>
      <c r="V299" s="23"/>
      <c r="W299" s="30"/>
      <c r="X299" s="30">
        <v>45231</v>
      </c>
      <c r="Y299" s="30">
        <v>45231</v>
      </c>
      <c r="Z299" s="31" t="str">
        <f ca="1">DATEDIF(X299,TODAY(),"y")&amp;" Tahun "&amp;DATEDIF(X299,TODAY(),"ym")&amp;" Bulan "&amp;DATEDIF(X299,TODAY(),"md")&amp;" Hari"</f>
        <v>1 Tahun 11 Bulan 30 Hari</v>
      </c>
      <c r="AA299" s="31" t="s">
        <v>76</v>
      </c>
      <c r="AB299" s="32">
        <v>34924</v>
      </c>
      <c r="AC299" s="31" t="s">
        <v>1662</v>
      </c>
      <c r="AD299" s="22" t="str">
        <f t="shared" ca="1" si="22"/>
        <v xml:space="preserve">30 Tahun 2 Bulan </v>
      </c>
      <c r="AE299" s="33" t="s">
        <v>1106</v>
      </c>
      <c r="AF299" s="34"/>
      <c r="AG299" s="22" t="s">
        <v>1635</v>
      </c>
      <c r="AH299" s="58"/>
      <c r="AI299" s="58"/>
      <c r="AJ299" s="87"/>
      <c r="AK299" s="61"/>
      <c r="AL299" s="36"/>
      <c r="AM299" s="14"/>
    </row>
    <row r="300" spans="1:39" ht="14.45" customHeight="1" x14ac:dyDescent="0.25">
      <c r="A300" s="17">
        <v>6</v>
      </c>
      <c r="B300" s="78"/>
      <c r="C300" s="50" t="s">
        <v>1663</v>
      </c>
      <c r="D300" s="62">
        <v>2023110683</v>
      </c>
      <c r="E300" s="21" t="s">
        <v>40</v>
      </c>
      <c r="F300" s="22" t="s">
        <v>1063</v>
      </c>
      <c r="G300" s="23" t="s">
        <v>3872</v>
      </c>
      <c r="H300" s="22" t="s">
        <v>3872</v>
      </c>
      <c r="I300" s="22"/>
      <c r="J300" s="22"/>
      <c r="K300" s="30"/>
      <c r="L300" s="25"/>
      <c r="M300" s="29"/>
      <c r="N300" s="26"/>
      <c r="O300" s="27"/>
      <c r="P300" s="28"/>
      <c r="Q300" s="29"/>
      <c r="R300" s="26"/>
      <c r="S300" s="23" t="s">
        <v>84</v>
      </c>
      <c r="T300" s="23">
        <v>2021</v>
      </c>
      <c r="U300" s="23"/>
      <c r="V300" s="23"/>
      <c r="W300" s="30"/>
      <c r="X300" s="30">
        <v>45231</v>
      </c>
      <c r="Y300" s="30">
        <v>45231</v>
      </c>
      <c r="Z300" s="31" t="str">
        <f ca="1">DATEDIF(X300,TODAY(),"y")&amp;" Tahun "&amp;DATEDIF(X300,TODAY(),"ym")&amp;" Bulan "&amp;DATEDIF(X300,TODAY(),"md")&amp;" Hari"</f>
        <v>1 Tahun 11 Bulan 30 Hari</v>
      </c>
      <c r="AA300" s="31" t="s">
        <v>128</v>
      </c>
      <c r="AB300" s="32">
        <v>35318</v>
      </c>
      <c r="AC300" s="31" t="s">
        <v>1664</v>
      </c>
      <c r="AD300" s="22" t="str">
        <f t="shared" ca="1" si="22"/>
        <v xml:space="preserve">29 Tahun 1 Bulan </v>
      </c>
      <c r="AE300" s="33" t="s">
        <v>1106</v>
      </c>
      <c r="AF300" s="34"/>
      <c r="AG300" s="22" t="s">
        <v>1635</v>
      </c>
      <c r="AH300" s="22"/>
      <c r="AI300" s="22"/>
      <c r="AJ300" s="22"/>
      <c r="AK300" s="33" t="s">
        <v>485</v>
      </c>
      <c r="AL300" s="36"/>
    </row>
    <row r="301" spans="1:39" ht="14.45" customHeight="1" x14ac:dyDescent="0.25">
      <c r="A301" s="17">
        <v>7</v>
      </c>
      <c r="B301" s="78"/>
      <c r="C301" s="50" t="s">
        <v>1665</v>
      </c>
      <c r="D301" s="20">
        <v>2024080718</v>
      </c>
      <c r="E301" s="21" t="s">
        <v>56</v>
      </c>
      <c r="F301" s="22" t="s">
        <v>1063</v>
      </c>
      <c r="G301" s="23" t="s">
        <v>3872</v>
      </c>
      <c r="H301" s="22" t="s">
        <v>3872</v>
      </c>
      <c r="I301" s="22"/>
      <c r="J301" s="22"/>
      <c r="K301" s="30"/>
      <c r="L301" s="53"/>
      <c r="M301" s="26"/>
      <c r="N301" s="26"/>
      <c r="O301" s="27"/>
      <c r="P301" s="53"/>
      <c r="Q301" s="26"/>
      <c r="R301" s="29"/>
      <c r="S301" s="23" t="s">
        <v>84</v>
      </c>
      <c r="T301" s="23"/>
      <c r="U301" s="23"/>
      <c r="V301" s="23"/>
      <c r="W301" s="30"/>
      <c r="X301" s="30">
        <v>45505</v>
      </c>
      <c r="Y301" s="30">
        <v>45505</v>
      </c>
      <c r="Z301" s="31" t="str">
        <f ca="1">DATEDIF(X301,TODAY(),"y")&amp;" Tahun "&amp;DATEDIF(X301,TODAY(),"ym")&amp;" Bulan "&amp;DATEDIF(X301,TODAY(),"md")&amp;" Hari"</f>
        <v>1 Tahun 2 Bulan 30 Hari</v>
      </c>
      <c r="AA301" s="31" t="s">
        <v>498</v>
      </c>
      <c r="AB301" s="32">
        <v>35447</v>
      </c>
      <c r="AC301" s="31" t="s">
        <v>1666</v>
      </c>
      <c r="AD301" s="22" t="str">
        <f t="shared" ca="1" si="22"/>
        <v xml:space="preserve">28 Tahun 9 Bulan </v>
      </c>
      <c r="AE301" s="33" t="s">
        <v>1106</v>
      </c>
      <c r="AF301" s="34"/>
      <c r="AG301" s="58" t="s">
        <v>1635</v>
      </c>
      <c r="AH301" s="22"/>
      <c r="AI301" s="22"/>
      <c r="AJ301" s="22"/>
      <c r="AK301" s="33"/>
      <c r="AL301" s="36"/>
    </row>
    <row r="302" spans="1:39" ht="14.45" customHeight="1" x14ac:dyDescent="0.25">
      <c r="A302" s="17">
        <v>8</v>
      </c>
      <c r="B302" s="18"/>
      <c r="C302" s="50" t="s">
        <v>1667</v>
      </c>
      <c r="D302" s="42" t="s">
        <v>1668</v>
      </c>
      <c r="E302" s="52" t="s">
        <v>40</v>
      </c>
      <c r="F302" s="58" t="s">
        <v>41</v>
      </c>
      <c r="G302" s="23" t="s">
        <v>42</v>
      </c>
      <c r="H302" s="22" t="s">
        <v>43</v>
      </c>
      <c r="I302" s="22" t="s">
        <v>44</v>
      </c>
      <c r="J302" s="22" t="s">
        <v>148</v>
      </c>
      <c r="K302" s="24">
        <v>45200</v>
      </c>
      <c r="L302" s="53" t="s">
        <v>1669</v>
      </c>
      <c r="M302" s="26">
        <v>42717</v>
      </c>
      <c r="N302" s="26">
        <v>44489</v>
      </c>
      <c r="O302" s="27" t="s">
        <v>84</v>
      </c>
      <c r="P302" s="53" t="s">
        <v>1670</v>
      </c>
      <c r="Q302" s="26">
        <v>43071</v>
      </c>
      <c r="R302" s="26">
        <v>44489</v>
      </c>
      <c r="S302" s="23" t="s">
        <v>84</v>
      </c>
      <c r="T302" s="23"/>
      <c r="U302" s="23"/>
      <c r="V302" s="23"/>
      <c r="W302" s="30">
        <v>34394</v>
      </c>
      <c r="X302" s="30">
        <v>34394</v>
      </c>
      <c r="Y302" s="30">
        <v>41730</v>
      </c>
      <c r="Z302" s="55" t="str">
        <f ca="1">DATEDIF(W302,TODAY(),"y")&amp;" Tahun "&amp;DATEDIF(W302,TODAY(),"ym")&amp;" Bulan "&amp;DATEDIF(W302,TODAY(),"md")&amp;" Hari"</f>
        <v>31 Tahun 7 Bulan 30 Hari</v>
      </c>
      <c r="AA302" s="31" t="s">
        <v>76</v>
      </c>
      <c r="AB302" s="32">
        <v>25496</v>
      </c>
      <c r="AC302" s="31" t="s">
        <v>1671</v>
      </c>
      <c r="AD302" s="57" t="str">
        <f t="shared" ca="1" si="22"/>
        <v xml:space="preserve">56 Tahun 0 Bulan </v>
      </c>
      <c r="AE302" s="33" t="s">
        <v>1158</v>
      </c>
      <c r="AF302" s="71"/>
      <c r="AG302" s="58" t="s">
        <v>1635</v>
      </c>
      <c r="AH302" s="22"/>
      <c r="AI302" s="22"/>
      <c r="AJ302" s="22"/>
      <c r="AK302" s="33"/>
      <c r="AL302" s="36"/>
    </row>
    <row r="303" spans="1:39" ht="14.45" customHeight="1" x14ac:dyDescent="0.25">
      <c r="A303" s="17">
        <v>9</v>
      </c>
      <c r="B303" s="134"/>
      <c r="C303" s="50" t="s">
        <v>5764</v>
      </c>
      <c r="D303" s="20" t="s">
        <v>1672</v>
      </c>
      <c r="E303" s="52" t="s">
        <v>56</v>
      </c>
      <c r="F303" s="58" t="s">
        <v>41</v>
      </c>
      <c r="G303" s="33" t="s">
        <v>193</v>
      </c>
      <c r="H303" s="22" t="s">
        <v>194</v>
      </c>
      <c r="I303" s="22" t="s">
        <v>44</v>
      </c>
      <c r="J303" s="22" t="s">
        <v>1559</v>
      </c>
      <c r="K303" s="22"/>
      <c r="L303" s="53"/>
      <c r="M303" s="26"/>
      <c r="N303" s="26"/>
      <c r="O303" s="27"/>
      <c r="P303" s="28"/>
      <c r="Q303" s="29"/>
      <c r="R303" s="26"/>
      <c r="S303" s="23" t="s">
        <v>1172</v>
      </c>
      <c r="T303" s="23"/>
      <c r="U303" s="23"/>
      <c r="V303" s="23"/>
      <c r="W303" s="77">
        <v>41671</v>
      </c>
      <c r="X303" s="30">
        <v>45690</v>
      </c>
      <c r="Y303" s="30">
        <v>45690</v>
      </c>
      <c r="Z303" s="31" t="str">
        <f t="shared" ref="Z303:Z310" ca="1" si="23">DATEDIF(X303,TODAY(),"y")&amp;" Tahun "&amp;DATEDIF(X303,TODAY(),"ym")&amp;" Bulan "&amp;DATEDIF(X303,TODAY(),"md")&amp;" Hari"</f>
        <v>0 Tahun 8 Bulan 29 Hari</v>
      </c>
      <c r="AA303" s="55" t="s">
        <v>76</v>
      </c>
      <c r="AB303" s="56">
        <v>32945</v>
      </c>
      <c r="AC303" s="32" t="s">
        <v>1673</v>
      </c>
      <c r="AD303" s="57" t="str">
        <f t="shared" ca="1" si="22"/>
        <v xml:space="preserve">35 Tahun 7 Bulan </v>
      </c>
      <c r="AE303" s="33" t="s">
        <v>1106</v>
      </c>
      <c r="AF303" s="71"/>
      <c r="AG303" s="58" t="s">
        <v>1635</v>
      </c>
      <c r="AH303" s="22"/>
      <c r="AI303" s="22"/>
      <c r="AJ303" s="22"/>
      <c r="AK303" s="33"/>
      <c r="AL303" s="36"/>
    </row>
    <row r="304" spans="1:39" ht="14.45" customHeight="1" x14ac:dyDescent="0.25">
      <c r="A304" s="17">
        <v>10</v>
      </c>
      <c r="B304" s="78"/>
      <c r="C304" s="50" t="s">
        <v>5765</v>
      </c>
      <c r="D304" s="20" t="s">
        <v>1675</v>
      </c>
      <c r="E304" s="52" t="s">
        <v>56</v>
      </c>
      <c r="F304" s="58" t="s">
        <v>238</v>
      </c>
      <c r="G304" s="23" t="s">
        <v>3872</v>
      </c>
      <c r="H304" s="22" t="s">
        <v>1078</v>
      </c>
      <c r="I304" s="22" t="s">
        <v>44</v>
      </c>
      <c r="J304" s="22" t="s">
        <v>1293</v>
      </c>
      <c r="K304" s="151"/>
      <c r="L304" s="25" t="s">
        <v>1676</v>
      </c>
      <c r="M304" s="26">
        <v>41429</v>
      </c>
      <c r="N304" s="26">
        <v>43324</v>
      </c>
      <c r="O304" s="27" t="s">
        <v>148</v>
      </c>
      <c r="P304" s="53" t="s">
        <v>1677</v>
      </c>
      <c r="Q304" s="26">
        <v>43256</v>
      </c>
      <c r="R304" s="29">
        <v>43439</v>
      </c>
      <c r="S304" s="33" t="s">
        <v>1172</v>
      </c>
      <c r="T304" s="33"/>
      <c r="U304" s="33"/>
      <c r="V304" s="33"/>
      <c r="W304" s="77">
        <v>45047</v>
      </c>
      <c r="X304" s="30">
        <v>41030</v>
      </c>
      <c r="Y304" s="30">
        <v>43887</v>
      </c>
      <c r="Z304" s="55" t="str">
        <f t="shared" ca="1" si="23"/>
        <v>13 Tahun 5 Bulan 30 Hari</v>
      </c>
      <c r="AA304" s="55" t="s">
        <v>76</v>
      </c>
      <c r="AB304" s="56">
        <v>31636</v>
      </c>
      <c r="AC304" s="31" t="s">
        <v>1678</v>
      </c>
      <c r="AD304" s="57" t="str">
        <f t="shared" ca="1" si="22"/>
        <v xml:space="preserve">39 Tahun 2 Bulan </v>
      </c>
      <c r="AE304" s="33" t="s">
        <v>1106</v>
      </c>
      <c r="AF304" s="71"/>
      <c r="AG304" s="58" t="s">
        <v>1635</v>
      </c>
      <c r="AH304" s="22"/>
      <c r="AI304" s="22"/>
      <c r="AJ304" s="22"/>
      <c r="AK304" s="33" t="s">
        <v>1421</v>
      </c>
      <c r="AL304" s="36"/>
      <c r="AM304" s="14"/>
    </row>
    <row r="305" spans="1:39" ht="14.45" customHeight="1" x14ac:dyDescent="0.25">
      <c r="A305" s="17">
        <v>11</v>
      </c>
      <c r="B305" s="52"/>
      <c r="C305" s="50" t="s">
        <v>1679</v>
      </c>
      <c r="D305" s="20" t="s">
        <v>1680</v>
      </c>
      <c r="E305" s="52" t="s">
        <v>56</v>
      </c>
      <c r="F305" s="22" t="s">
        <v>41</v>
      </c>
      <c r="G305" s="23" t="s">
        <v>227</v>
      </c>
      <c r="H305" s="22" t="s">
        <v>228</v>
      </c>
      <c r="I305" s="22" t="s">
        <v>44</v>
      </c>
      <c r="J305" s="22" t="s">
        <v>1104</v>
      </c>
      <c r="K305" s="77">
        <v>44621</v>
      </c>
      <c r="L305" s="25"/>
      <c r="M305" s="26"/>
      <c r="N305" s="26"/>
      <c r="O305" s="27"/>
      <c r="P305" s="28"/>
      <c r="Q305" s="29"/>
      <c r="R305" s="26"/>
      <c r="S305" s="23" t="s">
        <v>84</v>
      </c>
      <c r="T305" s="23">
        <v>2017</v>
      </c>
      <c r="U305" s="23"/>
      <c r="V305" s="23"/>
      <c r="W305" s="77">
        <v>44621</v>
      </c>
      <c r="X305" s="77">
        <v>44621</v>
      </c>
      <c r="Y305" s="77">
        <v>44621</v>
      </c>
      <c r="Z305" s="55" t="str">
        <f t="shared" ca="1" si="23"/>
        <v>3 Tahun 7 Bulan 30 Hari</v>
      </c>
      <c r="AA305" s="55" t="s">
        <v>303</v>
      </c>
      <c r="AB305" s="56">
        <v>33677</v>
      </c>
      <c r="AC305" s="32" t="s">
        <v>1681</v>
      </c>
      <c r="AD305" s="57" t="str">
        <f t="shared" ca="1" si="22"/>
        <v xml:space="preserve">33 Tahun 7 Bulan </v>
      </c>
      <c r="AE305" s="33" t="s">
        <v>1106</v>
      </c>
      <c r="AF305" s="71"/>
      <c r="AG305" s="58" t="s">
        <v>1635</v>
      </c>
      <c r="AH305" s="58"/>
      <c r="AI305" s="58"/>
      <c r="AJ305" s="58"/>
      <c r="AK305" s="33"/>
      <c r="AL305" s="36"/>
    </row>
    <row r="306" spans="1:39" ht="14.45" customHeight="1" x14ac:dyDescent="0.25">
      <c r="A306" s="17">
        <v>12</v>
      </c>
      <c r="B306" s="78"/>
      <c r="C306" s="50" t="s">
        <v>5766</v>
      </c>
      <c r="D306" s="20" t="s">
        <v>1682</v>
      </c>
      <c r="E306" s="52" t="s">
        <v>56</v>
      </c>
      <c r="F306" s="58" t="s">
        <v>238</v>
      </c>
      <c r="G306" s="23" t="s">
        <v>3872</v>
      </c>
      <c r="H306" s="22" t="s">
        <v>1078</v>
      </c>
      <c r="I306" s="22" t="s">
        <v>44</v>
      </c>
      <c r="J306" s="22" t="s">
        <v>1293</v>
      </c>
      <c r="K306" s="22"/>
      <c r="L306" s="53" t="s">
        <v>1683</v>
      </c>
      <c r="M306" s="26">
        <v>43145</v>
      </c>
      <c r="N306" s="26">
        <v>45009</v>
      </c>
      <c r="O306" s="27" t="s">
        <v>148</v>
      </c>
      <c r="P306" s="28" t="s">
        <v>1684</v>
      </c>
      <c r="Q306" s="29">
        <v>43192</v>
      </c>
      <c r="R306" s="26">
        <v>45009</v>
      </c>
      <c r="S306" s="23" t="s">
        <v>1172</v>
      </c>
      <c r="T306" s="23"/>
      <c r="U306" s="23"/>
      <c r="V306" s="23"/>
      <c r="W306" s="77">
        <v>45047</v>
      </c>
      <c r="X306" s="30">
        <v>40330</v>
      </c>
      <c r="Y306" s="30">
        <v>40725</v>
      </c>
      <c r="Z306" s="55" t="str">
        <f t="shared" ca="1" si="23"/>
        <v>15 Tahun 4 Bulan 30 Hari</v>
      </c>
      <c r="AA306" s="55" t="s">
        <v>76</v>
      </c>
      <c r="AB306" s="56">
        <v>31495</v>
      </c>
      <c r="AC306" s="31" t="s">
        <v>1685</v>
      </c>
      <c r="AD306" s="57" t="str">
        <f t="shared" ca="1" si="22"/>
        <v xml:space="preserve">39 Tahun 7 Bulan </v>
      </c>
      <c r="AE306" s="33" t="s">
        <v>1106</v>
      </c>
      <c r="AF306" s="79"/>
      <c r="AG306" s="58" t="s">
        <v>1635</v>
      </c>
      <c r="AH306" s="58"/>
      <c r="AI306" s="58"/>
      <c r="AJ306" s="58"/>
      <c r="AK306" s="33" t="s">
        <v>1674</v>
      </c>
      <c r="AL306" s="36"/>
    </row>
    <row r="307" spans="1:39" ht="14.45" customHeight="1" x14ac:dyDescent="0.25">
      <c r="A307" s="17">
        <v>13</v>
      </c>
      <c r="B307" s="18"/>
      <c r="C307" s="50" t="s">
        <v>5767</v>
      </c>
      <c r="D307" s="20" t="s">
        <v>1686</v>
      </c>
      <c r="E307" s="21" t="s">
        <v>56</v>
      </c>
      <c r="F307" s="22" t="s">
        <v>192</v>
      </c>
      <c r="G307" s="23" t="s">
        <v>227</v>
      </c>
      <c r="H307" s="22" t="s">
        <v>228</v>
      </c>
      <c r="I307" s="22" t="s">
        <v>155</v>
      </c>
      <c r="J307" s="22" t="s">
        <v>1104</v>
      </c>
      <c r="K307" s="24" t="s">
        <v>195</v>
      </c>
      <c r="L307" s="22"/>
      <c r="M307" s="22"/>
      <c r="N307" s="22"/>
      <c r="O307" s="22"/>
      <c r="P307" s="22"/>
      <c r="Q307" s="22"/>
      <c r="R307" s="22"/>
      <c r="S307" s="23" t="s">
        <v>84</v>
      </c>
      <c r="T307" s="23"/>
      <c r="U307" s="23"/>
      <c r="V307" s="23"/>
      <c r="W307" s="69">
        <v>45809</v>
      </c>
      <c r="X307" s="69">
        <v>45810</v>
      </c>
      <c r="Y307" s="69">
        <v>45810</v>
      </c>
      <c r="Z307" s="31" t="str">
        <f t="shared" ca="1" si="23"/>
        <v>0 Tahun 4 Bulan 29 Hari</v>
      </c>
      <c r="AA307" s="23" t="s">
        <v>733</v>
      </c>
      <c r="AB307" s="32">
        <v>35632</v>
      </c>
      <c r="AC307" s="32" t="s">
        <v>1687</v>
      </c>
      <c r="AD307" s="22" t="str">
        <f t="shared" ca="1" si="22"/>
        <v xml:space="preserve">28 Tahun 3 Bulan </v>
      </c>
      <c r="AE307" s="33" t="s">
        <v>1106</v>
      </c>
      <c r="AF307" s="34"/>
      <c r="AG307" s="58" t="s">
        <v>1635</v>
      </c>
      <c r="AH307" s="22"/>
      <c r="AI307" s="22"/>
      <c r="AJ307" s="22"/>
      <c r="AK307" s="33" t="s">
        <v>314</v>
      </c>
      <c r="AL307" s="36"/>
    </row>
    <row r="308" spans="1:39" ht="14.45" customHeight="1" x14ac:dyDescent="0.25">
      <c r="A308" s="17">
        <v>14</v>
      </c>
      <c r="B308" s="18"/>
      <c r="C308" s="50" t="s">
        <v>5768</v>
      </c>
      <c r="D308" s="20" t="s">
        <v>1688</v>
      </c>
      <c r="E308" s="21" t="s">
        <v>40</v>
      </c>
      <c r="F308" s="22" t="s">
        <v>192</v>
      </c>
      <c r="G308" s="23" t="s">
        <v>227</v>
      </c>
      <c r="H308" s="22" t="s">
        <v>228</v>
      </c>
      <c r="I308" s="22" t="s">
        <v>155</v>
      </c>
      <c r="J308" s="22" t="s">
        <v>1104</v>
      </c>
      <c r="K308" s="24" t="s">
        <v>195</v>
      </c>
      <c r="L308" s="22"/>
      <c r="M308" s="22"/>
      <c r="N308" s="22"/>
      <c r="O308" s="22"/>
      <c r="P308" s="22"/>
      <c r="Q308" s="22"/>
      <c r="R308" s="22"/>
      <c r="S308" s="23" t="s">
        <v>84</v>
      </c>
      <c r="T308" s="23"/>
      <c r="U308" s="23"/>
      <c r="V308" s="23"/>
      <c r="W308" s="69">
        <v>45809</v>
      </c>
      <c r="X308" s="69">
        <v>45810</v>
      </c>
      <c r="Y308" s="69">
        <v>45810</v>
      </c>
      <c r="Z308" s="31" t="str">
        <f t="shared" ca="1" si="23"/>
        <v>0 Tahun 4 Bulan 29 Hari</v>
      </c>
      <c r="AA308" s="23" t="s">
        <v>627</v>
      </c>
      <c r="AB308" s="32">
        <v>36300</v>
      </c>
      <c r="AC308" s="32" t="s">
        <v>1689</v>
      </c>
      <c r="AD308" s="22" t="str">
        <f t="shared" ca="1" si="22"/>
        <v xml:space="preserve">26 Tahun 5 Bulan </v>
      </c>
      <c r="AE308" s="33" t="s">
        <v>1106</v>
      </c>
      <c r="AF308" s="34"/>
      <c r="AG308" s="58" t="s">
        <v>1635</v>
      </c>
      <c r="AH308" s="58"/>
      <c r="AI308" s="58"/>
      <c r="AJ308" s="58"/>
      <c r="AK308" s="33"/>
      <c r="AL308" s="36"/>
    </row>
    <row r="309" spans="1:39" ht="14.45" customHeight="1" x14ac:dyDescent="0.25">
      <c r="A309" s="17">
        <v>15</v>
      </c>
      <c r="B309" s="18"/>
      <c r="C309" s="50" t="s">
        <v>5769</v>
      </c>
      <c r="D309" s="20" t="s">
        <v>1690</v>
      </c>
      <c r="E309" s="21" t="s">
        <v>40</v>
      </c>
      <c r="F309" s="22" t="s">
        <v>192</v>
      </c>
      <c r="G309" s="23" t="s">
        <v>227</v>
      </c>
      <c r="H309" s="22" t="s">
        <v>228</v>
      </c>
      <c r="I309" s="22" t="s">
        <v>155</v>
      </c>
      <c r="J309" s="22" t="s">
        <v>1104</v>
      </c>
      <c r="K309" s="24" t="s">
        <v>195</v>
      </c>
      <c r="L309" s="22"/>
      <c r="M309" s="22"/>
      <c r="N309" s="22"/>
      <c r="O309" s="22"/>
      <c r="P309" s="22"/>
      <c r="Q309" s="22"/>
      <c r="R309" s="22"/>
      <c r="S309" s="23" t="s">
        <v>84</v>
      </c>
      <c r="T309" s="23"/>
      <c r="U309" s="23"/>
      <c r="V309" s="23"/>
      <c r="W309" s="69">
        <v>45809</v>
      </c>
      <c r="X309" s="69">
        <v>45810</v>
      </c>
      <c r="Y309" s="69">
        <v>45810</v>
      </c>
      <c r="Z309" s="31" t="str">
        <f t="shared" ca="1" si="23"/>
        <v>0 Tahun 4 Bulan 29 Hari</v>
      </c>
      <c r="AA309" s="23" t="s">
        <v>934</v>
      </c>
      <c r="AB309" s="32">
        <v>33870</v>
      </c>
      <c r="AC309" s="32" t="s">
        <v>1691</v>
      </c>
      <c r="AD309" s="22" t="str">
        <f t="shared" ca="1" si="22"/>
        <v xml:space="preserve">33 Tahun 1 Bulan </v>
      </c>
      <c r="AE309" s="33" t="s">
        <v>1106</v>
      </c>
      <c r="AF309" s="34"/>
      <c r="AG309" s="58" t="s">
        <v>1635</v>
      </c>
      <c r="AH309" s="22"/>
      <c r="AI309" s="22"/>
      <c r="AJ309" s="60"/>
      <c r="AK309" s="33" t="s">
        <v>314</v>
      </c>
      <c r="AL309" s="36"/>
      <c r="AM309" s="14"/>
    </row>
    <row r="310" spans="1:39" ht="14.45" customHeight="1" x14ac:dyDescent="0.25">
      <c r="A310" s="17">
        <v>16</v>
      </c>
      <c r="B310" s="78"/>
      <c r="C310" s="50" t="s">
        <v>1865</v>
      </c>
      <c r="D310" s="20">
        <v>2024080749</v>
      </c>
      <c r="E310" s="21" t="s">
        <v>40</v>
      </c>
      <c r="F310" s="22" t="s">
        <v>1063</v>
      </c>
      <c r="G310" s="23" t="s">
        <v>3872</v>
      </c>
      <c r="H310" s="22" t="s">
        <v>3872</v>
      </c>
      <c r="I310" s="22"/>
      <c r="J310" s="22"/>
      <c r="K310" s="30"/>
      <c r="L310" s="53"/>
      <c r="M310" s="26"/>
      <c r="N310" s="26"/>
      <c r="O310" s="27"/>
      <c r="P310" s="53"/>
      <c r="Q310" s="26"/>
      <c r="R310" s="29"/>
      <c r="S310" s="23" t="s">
        <v>84</v>
      </c>
      <c r="T310" s="23"/>
      <c r="U310" s="23"/>
      <c r="V310" s="23"/>
      <c r="W310" s="30"/>
      <c r="X310" s="30">
        <v>45505</v>
      </c>
      <c r="Y310" s="30">
        <v>45505</v>
      </c>
      <c r="Z310" s="31" t="str">
        <f t="shared" ca="1" si="23"/>
        <v>1 Tahun 2 Bulan 30 Hari</v>
      </c>
      <c r="AA310" s="31" t="s">
        <v>260</v>
      </c>
      <c r="AB310" s="32">
        <v>34993</v>
      </c>
      <c r="AC310" s="31" t="s">
        <v>1866</v>
      </c>
      <c r="AD310" s="22" t="str">
        <f t="shared" ca="1" si="22"/>
        <v xml:space="preserve">30 Tahun 0 Bulan </v>
      </c>
      <c r="AE310" s="33" t="s">
        <v>1106</v>
      </c>
      <c r="AF310" s="34"/>
      <c r="AG310" s="58" t="s">
        <v>1635</v>
      </c>
      <c r="AH310" s="22"/>
      <c r="AI310" s="22"/>
      <c r="AJ310" s="22"/>
      <c r="AK310" s="33" t="s">
        <v>200</v>
      </c>
      <c r="AL310" s="36"/>
    </row>
    <row r="311" spans="1:39" ht="14.45" customHeight="1" x14ac:dyDescent="0.25">
      <c r="A311" s="17">
        <v>17</v>
      </c>
      <c r="B311" s="18"/>
      <c r="C311" s="50" t="s">
        <v>1692</v>
      </c>
      <c r="D311" s="20" t="s">
        <v>1693</v>
      </c>
      <c r="E311" s="21" t="s">
        <v>56</v>
      </c>
      <c r="F311" s="22" t="s">
        <v>41</v>
      </c>
      <c r="G311" s="23" t="s">
        <v>115</v>
      </c>
      <c r="H311" s="22" t="s">
        <v>116</v>
      </c>
      <c r="I311" s="22" t="s">
        <v>44</v>
      </c>
      <c r="J311" s="22" t="s">
        <v>148</v>
      </c>
      <c r="K311" s="24">
        <v>45200</v>
      </c>
      <c r="L311" s="53" t="s">
        <v>1694</v>
      </c>
      <c r="M311" s="26">
        <v>42683</v>
      </c>
      <c r="N311" s="26">
        <v>44400</v>
      </c>
      <c r="O311" s="27" t="s">
        <v>84</v>
      </c>
      <c r="P311" s="53" t="s">
        <v>1695</v>
      </c>
      <c r="Q311" s="29">
        <v>42920</v>
      </c>
      <c r="R311" s="26">
        <v>44400</v>
      </c>
      <c r="S311" s="23" t="s">
        <v>84</v>
      </c>
      <c r="T311" s="23"/>
      <c r="U311" s="23"/>
      <c r="V311" s="23"/>
      <c r="W311" s="30">
        <v>33298</v>
      </c>
      <c r="X311" s="30">
        <v>33451</v>
      </c>
      <c r="Y311" s="30">
        <v>42339</v>
      </c>
      <c r="Z311" s="31" t="str">
        <f ca="1">DATEDIF(W311,TODAY(),"y")&amp;" Tahun "&amp;DATEDIF(W311,TODAY(),"ym")&amp;" Bulan "&amp;DATEDIF(W311,TODAY(),"md")&amp;" Hari"</f>
        <v>34 Tahun 7 Bulan 30 Hari</v>
      </c>
      <c r="AA311" s="31" t="s">
        <v>437</v>
      </c>
      <c r="AB311" s="32">
        <v>24676</v>
      </c>
      <c r="AC311" s="31" t="s">
        <v>1696</v>
      </c>
      <c r="AD311" s="22" t="str">
        <f t="shared" ca="1" si="22"/>
        <v xml:space="preserve">58 Tahun 3 Bulan </v>
      </c>
      <c r="AE311" s="33" t="s">
        <v>1151</v>
      </c>
      <c r="AF311" s="34" t="s">
        <v>1697</v>
      </c>
      <c r="AG311" s="58" t="s">
        <v>1698</v>
      </c>
      <c r="AH311" s="22"/>
      <c r="AI311" s="22"/>
      <c r="AJ311" s="22"/>
      <c r="AK311" s="33" t="s">
        <v>200</v>
      </c>
      <c r="AL311" s="36"/>
    </row>
    <row r="312" spans="1:39" ht="14.45" customHeight="1" x14ac:dyDescent="0.25">
      <c r="A312" s="17">
        <v>18</v>
      </c>
      <c r="B312" s="18"/>
      <c r="C312" s="50" t="s">
        <v>1699</v>
      </c>
      <c r="D312" s="20" t="s">
        <v>1700</v>
      </c>
      <c r="E312" s="21" t="s">
        <v>40</v>
      </c>
      <c r="F312" s="22" t="s">
        <v>41</v>
      </c>
      <c r="G312" s="23" t="s">
        <v>42</v>
      </c>
      <c r="H312" s="22" t="s">
        <v>43</v>
      </c>
      <c r="I312" s="22" t="s">
        <v>44</v>
      </c>
      <c r="J312" s="22" t="s">
        <v>148</v>
      </c>
      <c r="K312" s="24">
        <v>45200</v>
      </c>
      <c r="L312" s="53" t="s">
        <v>1701</v>
      </c>
      <c r="M312" s="26">
        <v>43145</v>
      </c>
      <c r="N312" s="26">
        <v>45019</v>
      </c>
      <c r="O312" s="27" t="s">
        <v>148</v>
      </c>
      <c r="P312" s="28" t="s">
        <v>1702</v>
      </c>
      <c r="Q312" s="29">
        <v>41758</v>
      </c>
      <c r="R312" s="26">
        <v>42828</v>
      </c>
      <c r="S312" s="23" t="s">
        <v>84</v>
      </c>
      <c r="T312" s="23"/>
      <c r="U312" s="23"/>
      <c r="V312" s="23"/>
      <c r="W312" s="30">
        <v>34029</v>
      </c>
      <c r="X312" s="30">
        <v>34029</v>
      </c>
      <c r="Y312" s="30">
        <v>43887</v>
      </c>
      <c r="Z312" s="31" t="str">
        <f ca="1">DATEDIF(W312,TODAY(),"y")&amp;" Tahun "&amp;DATEDIF(W312,TODAY(),"ym")&amp;" Bulan "&amp;DATEDIF(W312,TODAY(),"md")&amp;" Hari"</f>
        <v>32 Tahun 7 Bulan 30 Hari</v>
      </c>
      <c r="AA312" s="31" t="s">
        <v>76</v>
      </c>
      <c r="AB312" s="32">
        <v>24565</v>
      </c>
      <c r="AC312" s="32" t="s">
        <v>1703</v>
      </c>
      <c r="AD312" s="22" t="str">
        <f t="shared" ca="1" si="22"/>
        <v xml:space="preserve">58 Tahun 6 Bulan </v>
      </c>
      <c r="AE312" s="33" t="s">
        <v>1106</v>
      </c>
      <c r="AF312" s="34"/>
      <c r="AG312" s="58" t="s">
        <v>1698</v>
      </c>
      <c r="AH312" s="22"/>
      <c r="AI312" s="22"/>
      <c r="AJ312" s="22"/>
      <c r="AK312" s="33" t="s">
        <v>200</v>
      </c>
      <c r="AL312" s="36"/>
    </row>
    <row r="313" spans="1:39" ht="15" x14ac:dyDescent="0.25">
      <c r="A313" s="17">
        <v>1</v>
      </c>
      <c r="B313" s="78"/>
      <c r="C313" s="19" t="s">
        <v>1704</v>
      </c>
      <c r="D313" s="20" t="s">
        <v>1705</v>
      </c>
      <c r="E313" s="52" t="s">
        <v>56</v>
      </c>
      <c r="F313" s="58" t="s">
        <v>41</v>
      </c>
      <c r="G313" s="23" t="s">
        <v>102</v>
      </c>
      <c r="H313" s="60" t="s">
        <v>103</v>
      </c>
      <c r="I313" s="60" t="s">
        <v>44</v>
      </c>
      <c r="J313" s="60" t="s">
        <v>1166</v>
      </c>
      <c r="K313" s="24">
        <v>45323</v>
      </c>
      <c r="L313" s="25" t="s">
        <v>1706</v>
      </c>
      <c r="M313" s="26">
        <v>42926</v>
      </c>
      <c r="N313" s="26">
        <v>44596</v>
      </c>
      <c r="O313" s="27" t="s">
        <v>1155</v>
      </c>
      <c r="P313" s="53" t="s">
        <v>1707</v>
      </c>
      <c r="Q313" s="29">
        <v>43048</v>
      </c>
      <c r="R313" s="26">
        <v>44596</v>
      </c>
      <c r="S313" s="23" t="s">
        <v>1172</v>
      </c>
      <c r="T313" s="23"/>
      <c r="U313" s="23"/>
      <c r="V313" s="23"/>
      <c r="W313" s="30">
        <v>40513</v>
      </c>
      <c r="X313" s="30">
        <v>40664</v>
      </c>
      <c r="Y313" s="30">
        <v>43740</v>
      </c>
      <c r="Z313" s="55" t="str">
        <f ca="1">DATEDIF(W313,TODAY(),"y")&amp;" Tahun "&amp;DATEDIF(W313,TODAY(),"ym")&amp;" Bulan "&amp;DATEDIF(W313,TODAY(),"md")&amp;" Hari"</f>
        <v>14 Tahun 10 Bulan 30 Hari</v>
      </c>
      <c r="AA313" s="55" t="s">
        <v>76</v>
      </c>
      <c r="AB313" s="56">
        <v>32908</v>
      </c>
      <c r="AC313" s="32" t="s">
        <v>1708</v>
      </c>
      <c r="AD313" s="57" t="str">
        <f t="shared" ca="1" si="22"/>
        <v xml:space="preserve">35 Tahun 8 Bulan </v>
      </c>
      <c r="AE313" s="33" t="s">
        <v>1106</v>
      </c>
      <c r="AF313" s="71"/>
      <c r="AG313" s="58" t="s">
        <v>1698</v>
      </c>
      <c r="AH313" s="22"/>
      <c r="AI313" s="22"/>
      <c r="AJ313" s="22"/>
      <c r="AK313" s="33"/>
      <c r="AL313" s="36"/>
      <c r="AM313" s="14"/>
    </row>
    <row r="314" spans="1:39" ht="14.45" customHeight="1" x14ac:dyDescent="0.25">
      <c r="A314" s="17">
        <v>2</v>
      </c>
      <c r="B314" s="78"/>
      <c r="C314" s="50" t="s">
        <v>1709</v>
      </c>
      <c r="D314" s="20" t="s">
        <v>1710</v>
      </c>
      <c r="E314" s="58" t="s">
        <v>56</v>
      </c>
      <c r="F314" s="87" t="s">
        <v>41</v>
      </c>
      <c r="G314" s="23" t="s">
        <v>227</v>
      </c>
      <c r="H314" s="22" t="s">
        <v>228</v>
      </c>
      <c r="I314" s="22" t="s">
        <v>44</v>
      </c>
      <c r="J314" s="22" t="s">
        <v>1559</v>
      </c>
      <c r="K314" s="24">
        <v>45200</v>
      </c>
      <c r="L314" s="25" t="s">
        <v>1711</v>
      </c>
      <c r="M314" s="26">
        <v>42131</v>
      </c>
      <c r="N314" s="26">
        <v>43891</v>
      </c>
      <c r="O314" s="27" t="s">
        <v>148</v>
      </c>
      <c r="P314" s="28"/>
      <c r="Q314" s="29"/>
      <c r="R314" s="26"/>
      <c r="S314" s="23" t="s">
        <v>1172</v>
      </c>
      <c r="T314" s="23"/>
      <c r="U314" s="23"/>
      <c r="V314" s="23"/>
      <c r="W314" s="30">
        <v>42095</v>
      </c>
      <c r="X314" s="30">
        <v>42095</v>
      </c>
      <c r="Y314" s="30">
        <v>42095</v>
      </c>
      <c r="Z314" s="31" t="str">
        <f ca="1">DATEDIF(W314,TODAY(),"y")&amp;" Tahun "&amp;DATEDIF(W314,TODAY(),"ym")&amp;" Bulan "&amp;DATEDIF(W314,TODAY(),"md")&amp;" Hari"</f>
        <v>10 Tahun 6 Bulan 30 Hari</v>
      </c>
      <c r="AA314" s="56" t="s">
        <v>76</v>
      </c>
      <c r="AB314" s="56">
        <v>34029</v>
      </c>
      <c r="AC314" s="31" t="s">
        <v>1712</v>
      </c>
      <c r="AD314" s="57" t="str">
        <f t="shared" ca="1" si="22"/>
        <v xml:space="preserve">32 Tahun 7 Bulan </v>
      </c>
      <c r="AE314" s="33" t="s">
        <v>1106</v>
      </c>
      <c r="AF314" s="71"/>
      <c r="AG314" s="58" t="s">
        <v>1698</v>
      </c>
      <c r="AH314" s="22"/>
      <c r="AI314" s="22"/>
      <c r="AJ314" s="22"/>
      <c r="AK314" s="33"/>
      <c r="AL314" s="36"/>
    </row>
    <row r="315" spans="1:39" ht="14.45" customHeight="1" x14ac:dyDescent="0.25">
      <c r="A315" s="17">
        <v>3</v>
      </c>
      <c r="B315" s="52"/>
      <c r="C315" s="50" t="s">
        <v>1713</v>
      </c>
      <c r="D315" s="20" t="s">
        <v>1714</v>
      </c>
      <c r="E315" s="52" t="s">
        <v>56</v>
      </c>
      <c r="F315" s="87" t="s">
        <v>41</v>
      </c>
      <c r="G315" s="23" t="s">
        <v>227</v>
      </c>
      <c r="H315" s="22" t="s">
        <v>228</v>
      </c>
      <c r="I315" s="22" t="s">
        <v>44</v>
      </c>
      <c r="J315" s="22" t="s">
        <v>1104</v>
      </c>
      <c r="K315" s="77">
        <v>44621</v>
      </c>
      <c r="L315" s="25"/>
      <c r="M315" s="26"/>
      <c r="N315" s="26"/>
      <c r="O315" s="27"/>
      <c r="P315" s="28"/>
      <c r="Q315" s="29"/>
      <c r="R315" s="26"/>
      <c r="S315" s="23" t="s">
        <v>84</v>
      </c>
      <c r="T315" s="23">
        <v>2020</v>
      </c>
      <c r="U315" s="23"/>
      <c r="V315" s="23"/>
      <c r="W315" s="77">
        <v>44621</v>
      </c>
      <c r="X315" s="77">
        <v>44621</v>
      </c>
      <c r="Y315" s="77">
        <v>44621</v>
      </c>
      <c r="Z315" s="55" t="str">
        <f ca="1">DATEDIF(X315,TODAY(),"y")&amp;" Tahun "&amp;DATEDIF(X315,TODAY(),"ym")&amp;" Bulan "&amp;DATEDIF(X315,TODAY(),"md")&amp;" Hari"</f>
        <v>3 Tahun 7 Bulan 30 Hari</v>
      </c>
      <c r="AA315" s="55" t="s">
        <v>76</v>
      </c>
      <c r="AB315" s="56">
        <v>35829</v>
      </c>
      <c r="AC315" s="32" t="s">
        <v>1715</v>
      </c>
      <c r="AD315" s="57" t="str">
        <f t="shared" ca="1" si="22"/>
        <v xml:space="preserve">27 Tahun 8 Bulan </v>
      </c>
      <c r="AE315" s="33" t="s">
        <v>1106</v>
      </c>
      <c r="AF315" s="71"/>
      <c r="AG315" s="58" t="s">
        <v>1698</v>
      </c>
      <c r="AH315" s="58"/>
      <c r="AI315" s="58"/>
      <c r="AJ315" s="58"/>
      <c r="AK315" s="33"/>
      <c r="AL315" s="36"/>
      <c r="AM315" s="14"/>
    </row>
    <row r="316" spans="1:39" ht="14.45" customHeight="1" x14ac:dyDescent="0.25">
      <c r="A316" s="17">
        <v>4</v>
      </c>
      <c r="B316" s="52"/>
      <c r="C316" s="50" t="s">
        <v>1716</v>
      </c>
      <c r="D316" s="20" t="s">
        <v>1717</v>
      </c>
      <c r="E316" s="52" t="s">
        <v>56</v>
      </c>
      <c r="F316" s="87" t="s">
        <v>41</v>
      </c>
      <c r="G316" s="23" t="s">
        <v>227</v>
      </c>
      <c r="H316" s="22" t="s">
        <v>228</v>
      </c>
      <c r="I316" s="22" t="s">
        <v>44</v>
      </c>
      <c r="J316" s="22" t="s">
        <v>1104</v>
      </c>
      <c r="K316" s="77">
        <v>44621</v>
      </c>
      <c r="L316" s="25"/>
      <c r="M316" s="26"/>
      <c r="N316" s="26"/>
      <c r="O316" s="27"/>
      <c r="P316" s="28"/>
      <c r="Q316" s="29"/>
      <c r="R316" s="26"/>
      <c r="S316" s="23" t="s">
        <v>84</v>
      </c>
      <c r="T316" s="23">
        <v>2015</v>
      </c>
      <c r="U316" s="23"/>
      <c r="V316" s="23"/>
      <c r="W316" s="77">
        <v>44621</v>
      </c>
      <c r="X316" s="77">
        <v>44621</v>
      </c>
      <c r="Y316" s="77">
        <v>44621</v>
      </c>
      <c r="Z316" s="55" t="str">
        <f ca="1">DATEDIF(X316,TODAY(),"y")&amp;" Tahun "&amp;DATEDIF(X316,TODAY(),"ym")&amp;" Bulan "&amp;DATEDIF(X316,TODAY(),"md")&amp;" Hari"</f>
        <v>3 Tahun 7 Bulan 30 Hari</v>
      </c>
      <c r="AA316" s="55" t="s">
        <v>303</v>
      </c>
      <c r="AB316" s="56">
        <v>33859</v>
      </c>
      <c r="AC316" s="32" t="s">
        <v>1718</v>
      </c>
      <c r="AD316" s="57" t="str">
        <f t="shared" ca="1" si="22"/>
        <v xml:space="preserve">33 Tahun 1 Bulan </v>
      </c>
      <c r="AE316" s="33" t="s">
        <v>1106</v>
      </c>
      <c r="AF316" s="71"/>
      <c r="AG316" s="58" t="s">
        <v>1698</v>
      </c>
      <c r="AH316" s="58"/>
      <c r="AI316" s="58"/>
      <c r="AJ316" s="58"/>
      <c r="AK316" s="33"/>
      <c r="AL316" s="22"/>
      <c r="AM316" s="14"/>
    </row>
    <row r="317" spans="1:39" ht="14.45" customHeight="1" x14ac:dyDescent="0.25">
      <c r="A317" s="17">
        <v>5</v>
      </c>
      <c r="B317" s="78"/>
      <c r="C317" s="50" t="s">
        <v>1719</v>
      </c>
      <c r="D317" s="20" t="s">
        <v>1720</v>
      </c>
      <c r="E317" s="21" t="s">
        <v>56</v>
      </c>
      <c r="F317" s="22" t="s">
        <v>41</v>
      </c>
      <c r="G317" s="23" t="s">
        <v>137</v>
      </c>
      <c r="H317" s="22" t="s">
        <v>138</v>
      </c>
      <c r="I317" s="22" t="s">
        <v>44</v>
      </c>
      <c r="J317" s="22" t="s">
        <v>1166</v>
      </c>
      <c r="K317" s="24">
        <v>42461</v>
      </c>
      <c r="L317" s="53" t="s">
        <v>1721</v>
      </c>
      <c r="M317" s="26">
        <v>43117</v>
      </c>
      <c r="N317" s="26">
        <v>45251</v>
      </c>
      <c r="O317" s="27" t="s">
        <v>148</v>
      </c>
      <c r="P317" s="28" t="s">
        <v>1722</v>
      </c>
      <c r="Q317" s="29">
        <v>42080</v>
      </c>
      <c r="R317" s="26">
        <v>43060</v>
      </c>
      <c r="S317" s="23" t="s">
        <v>1167</v>
      </c>
      <c r="T317" s="23"/>
      <c r="U317" s="23"/>
      <c r="V317" s="23"/>
      <c r="W317" s="30">
        <v>35490</v>
      </c>
      <c r="X317" s="30">
        <v>35490</v>
      </c>
      <c r="Y317" s="22"/>
      <c r="Z317" s="31" t="str">
        <f t="shared" ref="Z317:Z323" ca="1" si="24">DATEDIF(W317,TODAY(),"y")&amp;" Tahun "&amp;DATEDIF(W317,TODAY(),"ym")&amp;" Bulan "&amp;DATEDIF(W317,TODAY(),"md")&amp;" Hari"</f>
        <v>28 Tahun 7 Bulan 30 Hari</v>
      </c>
      <c r="AA317" s="31" t="s">
        <v>76</v>
      </c>
      <c r="AB317" s="32">
        <v>26258</v>
      </c>
      <c r="AC317" s="31" t="s">
        <v>1723</v>
      </c>
      <c r="AD317" s="22" t="str">
        <f t="shared" ca="1" si="22"/>
        <v xml:space="preserve">53 Tahun 11 Bulan </v>
      </c>
      <c r="AE317" s="33" t="s">
        <v>1106</v>
      </c>
      <c r="AF317" s="34"/>
      <c r="AG317" s="58" t="s">
        <v>1698</v>
      </c>
      <c r="AH317" s="58"/>
      <c r="AI317" s="58"/>
      <c r="AJ317" s="58"/>
      <c r="AK317" s="33"/>
      <c r="AL317" s="36"/>
    </row>
    <row r="318" spans="1:39" ht="14.45" customHeight="1" x14ac:dyDescent="0.25">
      <c r="A318" s="17">
        <v>6</v>
      </c>
      <c r="B318" s="78"/>
      <c r="C318" s="50" t="s">
        <v>1724</v>
      </c>
      <c r="D318" s="20" t="s">
        <v>1725</v>
      </c>
      <c r="E318" s="52" t="s">
        <v>56</v>
      </c>
      <c r="F318" s="22" t="s">
        <v>41</v>
      </c>
      <c r="G318" s="23" t="s">
        <v>137</v>
      </c>
      <c r="H318" s="22" t="s">
        <v>138</v>
      </c>
      <c r="I318" s="22" t="s">
        <v>44</v>
      </c>
      <c r="J318" s="22" t="s">
        <v>1166</v>
      </c>
      <c r="K318" s="24">
        <v>45200</v>
      </c>
      <c r="L318" s="53" t="s">
        <v>1726</v>
      </c>
      <c r="M318" s="26">
        <v>43117</v>
      </c>
      <c r="N318" s="26">
        <v>45055</v>
      </c>
      <c r="O318" s="27" t="s">
        <v>148</v>
      </c>
      <c r="P318" s="28" t="s">
        <v>1727</v>
      </c>
      <c r="Q318" s="29">
        <v>43192</v>
      </c>
      <c r="R318" s="26">
        <v>44994</v>
      </c>
      <c r="S318" s="33" t="s">
        <v>1172</v>
      </c>
      <c r="T318" s="33"/>
      <c r="U318" s="33"/>
      <c r="V318" s="33"/>
      <c r="W318" s="30">
        <v>39783</v>
      </c>
      <c r="X318" s="30">
        <v>39845</v>
      </c>
      <c r="Y318" s="30">
        <v>43887</v>
      </c>
      <c r="Z318" s="55" t="str">
        <f t="shared" ca="1" si="24"/>
        <v>16 Tahun 10 Bulan 30 Hari</v>
      </c>
      <c r="AA318" s="55" t="s">
        <v>76</v>
      </c>
      <c r="AB318" s="56">
        <v>30811</v>
      </c>
      <c r="AC318" s="31" t="s">
        <v>1728</v>
      </c>
      <c r="AD318" s="57" t="str">
        <f t="shared" ca="1" si="22"/>
        <v xml:space="preserve">41 Tahun 5 Bulan </v>
      </c>
      <c r="AE318" s="33" t="s">
        <v>1106</v>
      </c>
      <c r="AF318" s="79"/>
      <c r="AG318" s="58" t="s">
        <v>1698</v>
      </c>
      <c r="AH318" s="58"/>
      <c r="AI318" s="58"/>
      <c r="AJ318" s="58"/>
      <c r="AK318" s="33"/>
      <c r="AL318" s="36"/>
    </row>
    <row r="319" spans="1:39" ht="14.45" customHeight="1" x14ac:dyDescent="0.25">
      <c r="A319" s="17">
        <v>7</v>
      </c>
      <c r="B319" s="78"/>
      <c r="C319" s="50" t="s">
        <v>1729</v>
      </c>
      <c r="D319" s="20" t="s">
        <v>1730</v>
      </c>
      <c r="E319" s="52" t="s">
        <v>56</v>
      </c>
      <c r="F319" s="58" t="s">
        <v>41</v>
      </c>
      <c r="G319" s="23" t="s">
        <v>137</v>
      </c>
      <c r="H319" s="22" t="s">
        <v>138</v>
      </c>
      <c r="I319" s="22" t="s">
        <v>44</v>
      </c>
      <c r="J319" s="22" t="s">
        <v>1166</v>
      </c>
      <c r="K319" s="24">
        <v>45017</v>
      </c>
      <c r="L319" s="53" t="s">
        <v>1731</v>
      </c>
      <c r="M319" s="26">
        <v>43117</v>
      </c>
      <c r="N319" s="26">
        <v>45099</v>
      </c>
      <c r="O319" s="27" t="s">
        <v>148</v>
      </c>
      <c r="P319" s="28" t="s">
        <v>1732</v>
      </c>
      <c r="Q319" s="29">
        <v>43192</v>
      </c>
      <c r="R319" s="26">
        <v>45099</v>
      </c>
      <c r="S319" s="23" t="s">
        <v>84</v>
      </c>
      <c r="T319" s="23"/>
      <c r="U319" s="23"/>
      <c r="V319" s="23"/>
      <c r="W319" s="30">
        <v>39448</v>
      </c>
      <c r="X319" s="30">
        <v>39448</v>
      </c>
      <c r="Y319" s="22"/>
      <c r="Z319" s="55" t="str">
        <f t="shared" ca="1" si="24"/>
        <v>17 Tahun 9 Bulan 30 Hari</v>
      </c>
      <c r="AA319" s="66" t="s">
        <v>471</v>
      </c>
      <c r="AB319" s="56">
        <v>30855</v>
      </c>
      <c r="AC319" s="31" t="s">
        <v>1733</v>
      </c>
      <c r="AD319" s="57" t="str">
        <f t="shared" ca="1" si="22"/>
        <v xml:space="preserve">41 Tahun 4 Bulan </v>
      </c>
      <c r="AE319" s="33" t="s">
        <v>1158</v>
      </c>
      <c r="AF319" s="71"/>
      <c r="AG319" s="58" t="s">
        <v>1698</v>
      </c>
      <c r="AH319" s="22"/>
      <c r="AI319" s="22"/>
      <c r="AJ319" s="22"/>
      <c r="AK319" s="33"/>
      <c r="AL319" s="36"/>
      <c r="AM319" s="14"/>
    </row>
    <row r="320" spans="1:39" ht="14.45" customHeight="1" x14ac:dyDescent="0.25">
      <c r="A320" s="17">
        <v>8</v>
      </c>
      <c r="B320" s="78"/>
      <c r="C320" s="139" t="s">
        <v>1734</v>
      </c>
      <c r="D320" s="137" t="s">
        <v>1735</v>
      </c>
      <c r="E320" s="21" t="s">
        <v>56</v>
      </c>
      <c r="F320" s="22" t="s">
        <v>41</v>
      </c>
      <c r="G320" s="23" t="s">
        <v>102</v>
      </c>
      <c r="H320" s="22" t="s">
        <v>103</v>
      </c>
      <c r="I320" s="22" t="s">
        <v>44</v>
      </c>
      <c r="J320" s="22" t="s">
        <v>1166</v>
      </c>
      <c r="K320" s="24">
        <v>45566</v>
      </c>
      <c r="L320" s="25" t="s">
        <v>1736</v>
      </c>
      <c r="M320" s="26">
        <v>41429</v>
      </c>
      <c r="N320" s="26">
        <v>43450</v>
      </c>
      <c r="O320" s="27" t="s">
        <v>148</v>
      </c>
      <c r="P320" s="28" t="s">
        <v>1206</v>
      </c>
      <c r="Q320" s="29"/>
      <c r="R320" s="26"/>
      <c r="S320" s="33" t="s">
        <v>1172</v>
      </c>
      <c r="T320" s="33">
        <v>2011</v>
      </c>
      <c r="U320" s="33"/>
      <c r="V320" s="33"/>
      <c r="W320" s="95">
        <v>41244</v>
      </c>
      <c r="X320" s="30">
        <v>41334</v>
      </c>
      <c r="Y320" s="22"/>
      <c r="Z320" s="31" t="str">
        <f t="shared" ca="1" si="24"/>
        <v>12 Tahun 10 Bulan 30 Hari</v>
      </c>
      <c r="AA320" s="31" t="s">
        <v>1737</v>
      </c>
      <c r="AB320" s="32">
        <v>32493</v>
      </c>
      <c r="AC320" s="31" t="s">
        <v>1738</v>
      </c>
      <c r="AD320" s="22" t="str">
        <f t="shared" ca="1" si="22"/>
        <v xml:space="preserve">36 Tahun 10 Bulan </v>
      </c>
      <c r="AE320" s="33" t="s">
        <v>1106</v>
      </c>
      <c r="AF320" s="34"/>
      <c r="AG320" s="58" t="s">
        <v>1698</v>
      </c>
      <c r="AH320" s="22"/>
      <c r="AI320" s="22"/>
      <c r="AJ320" s="60"/>
      <c r="AK320" s="61"/>
      <c r="AL320" s="36"/>
      <c r="AM320" s="14"/>
    </row>
    <row r="321" spans="1:39" ht="14.45" customHeight="1" x14ac:dyDescent="0.25">
      <c r="A321" s="17">
        <v>9</v>
      </c>
      <c r="B321" s="78"/>
      <c r="C321" s="50" t="s">
        <v>1739</v>
      </c>
      <c r="D321" s="20" t="s">
        <v>1740</v>
      </c>
      <c r="E321" s="52" t="s">
        <v>40</v>
      </c>
      <c r="F321" s="22" t="s">
        <v>41</v>
      </c>
      <c r="G321" s="23" t="s">
        <v>137</v>
      </c>
      <c r="H321" s="22" t="s">
        <v>138</v>
      </c>
      <c r="I321" s="22" t="s">
        <v>44</v>
      </c>
      <c r="J321" s="22" t="s">
        <v>1166</v>
      </c>
      <c r="K321" s="24">
        <v>45566</v>
      </c>
      <c r="L321" s="25" t="s">
        <v>1741</v>
      </c>
      <c r="M321" s="26">
        <v>42290</v>
      </c>
      <c r="N321" s="26">
        <v>43919</v>
      </c>
      <c r="O321" s="27" t="s">
        <v>148</v>
      </c>
      <c r="P321" s="28" t="s">
        <v>1742</v>
      </c>
      <c r="Q321" s="29">
        <v>43151</v>
      </c>
      <c r="R321" s="26">
        <v>43919</v>
      </c>
      <c r="S321" s="23" t="s">
        <v>1172</v>
      </c>
      <c r="T321" s="23"/>
      <c r="U321" s="23"/>
      <c r="V321" s="23"/>
      <c r="W321" s="30">
        <v>40148</v>
      </c>
      <c r="X321" s="30">
        <v>40238</v>
      </c>
      <c r="Y321" s="30">
        <v>42370</v>
      </c>
      <c r="Z321" s="55" t="str">
        <f t="shared" ca="1" si="24"/>
        <v>15 Tahun 10 Bulan 30 Hari</v>
      </c>
      <c r="AA321" s="55" t="s">
        <v>1346</v>
      </c>
      <c r="AB321" s="56">
        <v>32596</v>
      </c>
      <c r="AC321" s="32" t="s">
        <v>1743</v>
      </c>
      <c r="AD321" s="57" t="str">
        <f t="shared" ca="1" si="22"/>
        <v xml:space="preserve">36 Tahun 7 Bulan </v>
      </c>
      <c r="AE321" s="33" t="s">
        <v>1106</v>
      </c>
      <c r="AF321" s="71"/>
      <c r="AG321" s="58" t="s">
        <v>1698</v>
      </c>
      <c r="AH321" s="58"/>
      <c r="AI321" s="58"/>
      <c r="AJ321" s="87"/>
      <c r="AK321" s="61"/>
      <c r="AL321" s="36"/>
      <c r="AM321" s="14"/>
    </row>
    <row r="322" spans="1:39" ht="14.45" customHeight="1" x14ac:dyDescent="0.25">
      <c r="A322" s="17">
        <v>10</v>
      </c>
      <c r="B322" s="78"/>
      <c r="C322" s="50" t="s">
        <v>1744</v>
      </c>
      <c r="D322" s="62" t="s">
        <v>1745</v>
      </c>
      <c r="E322" s="52" t="s">
        <v>56</v>
      </c>
      <c r="F322" s="58" t="s">
        <v>41</v>
      </c>
      <c r="G322" s="23" t="s">
        <v>102</v>
      </c>
      <c r="H322" s="22" t="s">
        <v>103</v>
      </c>
      <c r="I322" s="22" t="s">
        <v>44</v>
      </c>
      <c r="J322" s="22" t="s">
        <v>1148</v>
      </c>
      <c r="K322" s="24">
        <v>45200</v>
      </c>
      <c r="L322" s="152" t="s">
        <v>1746</v>
      </c>
      <c r="M322" s="135">
        <v>42689</v>
      </c>
      <c r="N322" s="135">
        <v>44244</v>
      </c>
      <c r="O322" s="27" t="s">
        <v>84</v>
      </c>
      <c r="P322" s="152" t="s">
        <v>1747</v>
      </c>
      <c r="Q322" s="135">
        <v>43143</v>
      </c>
      <c r="R322" s="135">
        <v>44244</v>
      </c>
      <c r="S322" s="23" t="s">
        <v>84</v>
      </c>
      <c r="T322" s="23"/>
      <c r="U322" s="23"/>
      <c r="V322" s="23"/>
      <c r="W322" s="30">
        <v>43101</v>
      </c>
      <c r="X322" s="30">
        <v>43101</v>
      </c>
      <c r="Y322" s="30">
        <v>43101</v>
      </c>
      <c r="Z322" s="55" t="str">
        <f t="shared" ca="1" si="24"/>
        <v>7 Tahun 9 Bulan 30 Hari</v>
      </c>
      <c r="AA322" s="55"/>
      <c r="AB322" s="56">
        <v>33651</v>
      </c>
      <c r="AC322" s="32" t="s">
        <v>1748</v>
      </c>
      <c r="AD322" s="57" t="str">
        <f t="shared" ca="1" si="22"/>
        <v xml:space="preserve">33 Tahun 8 Bulan </v>
      </c>
      <c r="AE322" s="33" t="s">
        <v>1106</v>
      </c>
      <c r="AF322" s="71"/>
      <c r="AG322" s="58" t="s">
        <v>1698</v>
      </c>
      <c r="AH322" s="22"/>
      <c r="AI322" s="22"/>
      <c r="AJ322" s="22"/>
      <c r="AK322" s="34"/>
      <c r="AL322" s="36"/>
    </row>
    <row r="323" spans="1:39" ht="14.45" customHeight="1" x14ac:dyDescent="0.25">
      <c r="A323" s="17">
        <v>11</v>
      </c>
      <c r="B323" s="78"/>
      <c r="C323" s="50" t="s">
        <v>1749</v>
      </c>
      <c r="D323" s="137" t="s">
        <v>1750</v>
      </c>
      <c r="E323" s="52" t="s">
        <v>56</v>
      </c>
      <c r="F323" s="22" t="s">
        <v>41</v>
      </c>
      <c r="G323" s="23" t="s">
        <v>102</v>
      </c>
      <c r="H323" s="22" t="s">
        <v>103</v>
      </c>
      <c r="I323" s="22" t="s">
        <v>44</v>
      </c>
      <c r="J323" s="22" t="s">
        <v>1148</v>
      </c>
      <c r="K323" s="24">
        <v>45870</v>
      </c>
      <c r="L323" s="53" t="s">
        <v>1751</v>
      </c>
      <c r="M323" s="26">
        <v>43117</v>
      </c>
      <c r="N323" s="26">
        <v>45267</v>
      </c>
      <c r="O323" s="27" t="s">
        <v>148</v>
      </c>
      <c r="P323" s="28" t="s">
        <v>1752</v>
      </c>
      <c r="Q323" s="29">
        <v>43192</v>
      </c>
      <c r="R323" s="26">
        <v>45267</v>
      </c>
      <c r="S323" s="33" t="s">
        <v>84</v>
      </c>
      <c r="T323" s="33">
        <v>2021</v>
      </c>
      <c r="U323" s="33"/>
      <c r="V323" s="33"/>
      <c r="W323" s="95">
        <v>41244</v>
      </c>
      <c r="X323" s="30">
        <v>41334</v>
      </c>
      <c r="Y323" s="30">
        <v>41518</v>
      </c>
      <c r="Z323" s="55" t="str">
        <f t="shared" ca="1" si="24"/>
        <v>12 Tahun 10 Bulan 30 Hari</v>
      </c>
      <c r="AA323" s="55" t="s">
        <v>76</v>
      </c>
      <c r="AB323" s="56">
        <v>29927</v>
      </c>
      <c r="AC323" s="31" t="s">
        <v>1753</v>
      </c>
      <c r="AD323" s="57" t="str">
        <f t="shared" ca="1" si="22"/>
        <v xml:space="preserve">43 Tahun 10 Bulan </v>
      </c>
      <c r="AE323" s="33" t="s">
        <v>1106</v>
      </c>
      <c r="AF323" s="34"/>
      <c r="AG323" s="58" t="s">
        <v>1698</v>
      </c>
      <c r="AH323" s="58"/>
      <c r="AI323" s="58"/>
      <c r="AJ323" s="58"/>
      <c r="AK323" s="33"/>
      <c r="AL323" s="36"/>
      <c r="AM323" s="14"/>
    </row>
    <row r="324" spans="1:39" ht="14.45" customHeight="1" x14ac:dyDescent="0.25">
      <c r="A324" s="17">
        <v>12</v>
      </c>
      <c r="B324" s="78">
        <v>1383</v>
      </c>
      <c r="C324" s="50" t="s">
        <v>5770</v>
      </c>
      <c r="D324" s="20" t="s">
        <v>1754</v>
      </c>
      <c r="E324" s="22" t="s">
        <v>56</v>
      </c>
      <c r="F324" s="22" t="s">
        <v>41</v>
      </c>
      <c r="G324" s="23" t="s">
        <v>227</v>
      </c>
      <c r="H324" s="22" t="s">
        <v>228</v>
      </c>
      <c r="I324" s="22" t="s">
        <v>44</v>
      </c>
      <c r="J324" s="22" t="s">
        <v>1104</v>
      </c>
      <c r="K324" s="24">
        <v>45200</v>
      </c>
      <c r="L324" s="25"/>
      <c r="M324" s="26"/>
      <c r="N324" s="26"/>
      <c r="O324" s="27"/>
      <c r="P324" s="28"/>
      <c r="Q324" s="29"/>
      <c r="R324" s="26"/>
      <c r="S324" s="23" t="s">
        <v>84</v>
      </c>
      <c r="T324" s="23"/>
      <c r="U324" s="23"/>
      <c r="V324" s="23"/>
      <c r="W324" s="30">
        <v>44166</v>
      </c>
      <c r="X324" s="30">
        <v>44197</v>
      </c>
      <c r="Y324" s="30">
        <v>44197</v>
      </c>
      <c r="Z324" s="31" t="str">
        <f ca="1">DATEDIF(X324,TODAY(),"y")&amp;" Tahun "&amp;DATEDIF(X324,TODAY(),"ym")&amp;" Bulan "&amp;DATEDIF(X324,TODAY(),"md")&amp;" Hari"</f>
        <v>4 Tahun 9 Bulan 30 Hari</v>
      </c>
      <c r="AA324" s="31" t="s">
        <v>1755</v>
      </c>
      <c r="AB324" s="32">
        <v>34170</v>
      </c>
      <c r="AC324" s="32" t="s">
        <v>1756</v>
      </c>
      <c r="AD324" s="22" t="str">
        <f t="shared" ca="1" si="22"/>
        <v xml:space="preserve">32 Tahun 3 Bulan </v>
      </c>
      <c r="AE324" s="33" t="s">
        <v>1106</v>
      </c>
      <c r="AF324" s="34"/>
      <c r="AG324" s="58" t="s">
        <v>1698</v>
      </c>
      <c r="AH324" s="58"/>
      <c r="AI324" s="58"/>
      <c r="AJ324" s="58"/>
      <c r="AK324" s="33"/>
      <c r="AL324" s="36"/>
      <c r="AM324" s="14"/>
    </row>
    <row r="325" spans="1:39" ht="14.45" customHeight="1" x14ac:dyDescent="0.25">
      <c r="A325" s="17">
        <v>13</v>
      </c>
      <c r="B325" s="78"/>
      <c r="C325" s="50" t="s">
        <v>1757</v>
      </c>
      <c r="D325" s="20" t="s">
        <v>1758</v>
      </c>
      <c r="E325" s="52" t="s">
        <v>56</v>
      </c>
      <c r="F325" s="22" t="s">
        <v>238</v>
      </c>
      <c r="G325" s="23" t="s">
        <v>3872</v>
      </c>
      <c r="H325" s="22" t="s">
        <v>1078</v>
      </c>
      <c r="I325" s="22" t="s">
        <v>44</v>
      </c>
      <c r="J325" s="22" t="s">
        <v>1293</v>
      </c>
      <c r="K325" s="30"/>
      <c r="L325" s="25" t="s">
        <v>1759</v>
      </c>
      <c r="M325" s="26">
        <v>43117</v>
      </c>
      <c r="N325" s="26">
        <v>45250</v>
      </c>
      <c r="O325" s="27" t="s">
        <v>1238</v>
      </c>
      <c r="P325" s="28" t="s">
        <v>1760</v>
      </c>
      <c r="Q325" s="29">
        <v>43192</v>
      </c>
      <c r="R325" s="26">
        <v>43424</v>
      </c>
      <c r="S325" s="23" t="s">
        <v>1172</v>
      </c>
      <c r="T325" s="23"/>
      <c r="U325" s="23"/>
      <c r="V325" s="23"/>
      <c r="W325" s="30">
        <v>45047</v>
      </c>
      <c r="X325" s="30">
        <v>39965</v>
      </c>
      <c r="Y325" s="30">
        <v>43887</v>
      </c>
      <c r="Z325" s="55" t="str">
        <f ca="1">DATEDIF(X325,TODAY(),"y")&amp;" Tahun "&amp;DATEDIF(X325,TODAY(),"ym")&amp;" Bulan "&amp;DATEDIF(X325,TODAY(),"md")&amp;" Hari"</f>
        <v>16 Tahun 4 Bulan 30 Hari</v>
      </c>
      <c r="AA325" s="55" t="s">
        <v>1540</v>
      </c>
      <c r="AB325" s="56">
        <v>31736</v>
      </c>
      <c r="AC325" s="31" t="s">
        <v>1761</v>
      </c>
      <c r="AD325" s="57" t="str">
        <f t="shared" ca="1" si="22"/>
        <v xml:space="preserve">38 Tahun 11 Bulan </v>
      </c>
      <c r="AE325" s="33" t="s">
        <v>1106</v>
      </c>
      <c r="AF325" s="34"/>
      <c r="AG325" s="58" t="s">
        <v>1698</v>
      </c>
      <c r="AH325" s="130"/>
      <c r="AI325" s="130"/>
      <c r="AJ325" s="130"/>
      <c r="AK325" s="129"/>
      <c r="AL325" s="36"/>
    </row>
    <row r="326" spans="1:39" ht="14.45" customHeight="1" x14ac:dyDescent="0.25">
      <c r="A326" s="17">
        <v>14</v>
      </c>
      <c r="B326" s="78"/>
      <c r="C326" s="50" t="s">
        <v>5771</v>
      </c>
      <c r="D326" s="20" t="s">
        <v>1762</v>
      </c>
      <c r="E326" s="52" t="s">
        <v>56</v>
      </c>
      <c r="F326" s="58" t="s">
        <v>238</v>
      </c>
      <c r="G326" s="23" t="s">
        <v>3872</v>
      </c>
      <c r="H326" s="22" t="s">
        <v>1078</v>
      </c>
      <c r="I326" s="22" t="s">
        <v>44</v>
      </c>
      <c r="J326" s="22" t="s">
        <v>1293</v>
      </c>
      <c r="K326" s="22"/>
      <c r="L326" s="53" t="s">
        <v>1763</v>
      </c>
      <c r="M326" s="26">
        <v>43046</v>
      </c>
      <c r="N326" s="26">
        <v>44767</v>
      </c>
      <c r="O326" s="27" t="s">
        <v>148</v>
      </c>
      <c r="P326" s="28" t="s">
        <v>1764</v>
      </c>
      <c r="Q326" s="29">
        <v>43192</v>
      </c>
      <c r="R326" s="26">
        <v>43375</v>
      </c>
      <c r="S326" s="23" t="s">
        <v>1172</v>
      </c>
      <c r="T326" s="23"/>
      <c r="U326" s="23"/>
      <c r="V326" s="23"/>
      <c r="W326" s="77">
        <v>45047</v>
      </c>
      <c r="X326" s="30">
        <v>40330</v>
      </c>
      <c r="Y326" s="30">
        <v>41730</v>
      </c>
      <c r="Z326" s="55" t="str">
        <f ca="1">DATEDIF(X326,TODAY(),"y")&amp;" Tahun "&amp;DATEDIF(X326,TODAY(),"ym")&amp;" Bulan "&amp;DATEDIF(X326,TODAY(),"md")&amp;" Hari"</f>
        <v>15 Tahun 4 Bulan 30 Hari</v>
      </c>
      <c r="AA326" s="55" t="s">
        <v>76</v>
      </c>
      <c r="AB326" s="56">
        <v>31618</v>
      </c>
      <c r="AC326" s="31" t="s">
        <v>1765</v>
      </c>
      <c r="AD326" s="57" t="str">
        <f t="shared" ca="1" si="22"/>
        <v xml:space="preserve">39 Tahun 3 Bulan </v>
      </c>
      <c r="AE326" s="33" t="s">
        <v>1106</v>
      </c>
      <c r="AF326" s="71"/>
      <c r="AG326" s="58" t="s">
        <v>1698</v>
      </c>
      <c r="AH326" s="22"/>
      <c r="AI326" s="22"/>
      <c r="AJ326" s="22"/>
      <c r="AK326" s="33" t="s">
        <v>676</v>
      </c>
      <c r="AL326" s="36"/>
    </row>
    <row r="327" spans="1:39" ht="14.45" customHeight="1" x14ac:dyDescent="0.25">
      <c r="A327" s="17">
        <v>15</v>
      </c>
      <c r="B327" s="78"/>
      <c r="C327" s="50" t="s">
        <v>5772</v>
      </c>
      <c r="D327" s="20" t="s">
        <v>1766</v>
      </c>
      <c r="E327" s="52" t="s">
        <v>56</v>
      </c>
      <c r="F327" s="58" t="s">
        <v>41</v>
      </c>
      <c r="G327" s="23" t="s">
        <v>137</v>
      </c>
      <c r="H327" s="22" t="s">
        <v>138</v>
      </c>
      <c r="I327" s="22" t="s">
        <v>44</v>
      </c>
      <c r="J327" s="22" t="s">
        <v>1166</v>
      </c>
      <c r="K327" s="24">
        <v>42826</v>
      </c>
      <c r="L327" s="53" t="s">
        <v>1767</v>
      </c>
      <c r="M327" s="26">
        <v>43117</v>
      </c>
      <c r="N327" s="26">
        <v>45275</v>
      </c>
      <c r="O327" s="27" t="s">
        <v>148</v>
      </c>
      <c r="P327" s="53" t="s">
        <v>1768</v>
      </c>
      <c r="Q327" s="26">
        <v>43322</v>
      </c>
      <c r="R327" s="29">
        <v>45275</v>
      </c>
      <c r="S327" s="23" t="s">
        <v>1167</v>
      </c>
      <c r="T327" s="23"/>
      <c r="U327" s="23"/>
      <c r="V327" s="23"/>
      <c r="W327" s="30">
        <v>36586</v>
      </c>
      <c r="X327" s="30">
        <v>36586</v>
      </c>
      <c r="Y327" s="22"/>
      <c r="Z327" s="55" t="str">
        <f ca="1">DATEDIF(W327,TODAY(),"y")&amp;" Tahun "&amp;DATEDIF(W327,TODAY(),"ym")&amp;" Bulan "&amp;DATEDIF(W327,TODAY(),"md")&amp;" Hari"</f>
        <v>25 Tahun 7 Bulan 30 Hari</v>
      </c>
      <c r="AA327" s="55" t="s">
        <v>76</v>
      </c>
      <c r="AB327" s="56">
        <v>27013</v>
      </c>
      <c r="AC327" s="31" t="s">
        <v>1769</v>
      </c>
      <c r="AD327" s="57" t="str">
        <f t="shared" ca="1" si="22"/>
        <v xml:space="preserve">51 Tahun 10 Bulan </v>
      </c>
      <c r="AE327" s="85" t="s">
        <v>1106</v>
      </c>
      <c r="AF327" s="34"/>
      <c r="AG327" s="58" t="s">
        <v>1698</v>
      </c>
      <c r="AH327" s="22"/>
      <c r="AI327" s="22"/>
      <c r="AJ327" s="22"/>
      <c r="AK327" s="33" t="s">
        <v>314</v>
      </c>
      <c r="AL327" s="36"/>
    </row>
    <row r="328" spans="1:39" ht="14.45" customHeight="1" x14ac:dyDescent="0.25">
      <c r="A328" s="17">
        <v>16</v>
      </c>
      <c r="B328" s="78"/>
      <c r="C328" s="50" t="s">
        <v>1770</v>
      </c>
      <c r="D328" s="20" t="s">
        <v>1771</v>
      </c>
      <c r="E328" s="21" t="s">
        <v>56</v>
      </c>
      <c r="F328" s="22" t="s">
        <v>238</v>
      </c>
      <c r="G328" s="23" t="s">
        <v>3872</v>
      </c>
      <c r="H328" s="22" t="s">
        <v>1078</v>
      </c>
      <c r="I328" s="22" t="s">
        <v>44</v>
      </c>
      <c r="J328" s="22" t="s">
        <v>1293</v>
      </c>
      <c r="K328" s="22"/>
      <c r="L328" s="53" t="s">
        <v>1772</v>
      </c>
      <c r="M328" s="26">
        <v>42926</v>
      </c>
      <c r="N328" s="26">
        <v>44583</v>
      </c>
      <c r="O328" s="27" t="s">
        <v>1155</v>
      </c>
      <c r="P328" s="28" t="s">
        <v>1773</v>
      </c>
      <c r="Q328" s="29">
        <v>43151</v>
      </c>
      <c r="R328" s="26">
        <v>44583</v>
      </c>
      <c r="S328" s="23" t="s">
        <v>1172</v>
      </c>
      <c r="T328" s="23"/>
      <c r="U328" s="23"/>
      <c r="V328" s="23"/>
      <c r="W328" s="30">
        <v>45383</v>
      </c>
      <c r="X328" s="30">
        <v>40330</v>
      </c>
      <c r="Y328" s="30">
        <v>43887</v>
      </c>
      <c r="Z328" s="31" t="str">
        <f ca="1">DATEDIF(X328,TODAY(),"y")&amp;" Tahun "&amp;DATEDIF(X328,TODAY(),"ym")&amp;" Bulan "&amp;DATEDIF(X328,TODAY(),"md")&amp;" Hari"</f>
        <v>15 Tahun 4 Bulan 30 Hari</v>
      </c>
      <c r="AA328" s="31" t="s">
        <v>563</v>
      </c>
      <c r="AB328" s="32">
        <v>31799</v>
      </c>
      <c r="AC328" s="31" t="s">
        <v>1774</v>
      </c>
      <c r="AD328" s="22" t="str">
        <f t="shared" ca="1" si="22"/>
        <v xml:space="preserve">38 Tahun 9 Bulan </v>
      </c>
      <c r="AE328" s="33" t="s">
        <v>1106</v>
      </c>
      <c r="AF328" s="34"/>
      <c r="AG328" s="58" t="s">
        <v>1698</v>
      </c>
      <c r="AH328" s="58"/>
      <c r="AI328" s="58"/>
      <c r="AJ328" s="87"/>
      <c r="AK328" s="61" t="s">
        <v>314</v>
      </c>
      <c r="AL328" s="36"/>
      <c r="AM328" s="14"/>
    </row>
    <row r="329" spans="1:39" ht="14.45" customHeight="1" x14ac:dyDescent="0.25">
      <c r="A329" s="17">
        <v>17</v>
      </c>
      <c r="B329" s="78"/>
      <c r="C329" s="50" t="s">
        <v>1775</v>
      </c>
      <c r="D329" s="20" t="s">
        <v>1776</v>
      </c>
      <c r="E329" s="21" t="s">
        <v>56</v>
      </c>
      <c r="F329" s="22" t="s">
        <v>238</v>
      </c>
      <c r="G329" s="22" t="s">
        <v>3872</v>
      </c>
      <c r="H329" s="22" t="s">
        <v>1078</v>
      </c>
      <c r="I329" s="22" t="s">
        <v>44</v>
      </c>
      <c r="J329" s="22" t="s">
        <v>1293</v>
      </c>
      <c r="K329" s="30"/>
      <c r="L329" s="53" t="s">
        <v>1777</v>
      </c>
      <c r="M329" s="26">
        <v>43117</v>
      </c>
      <c r="N329" s="26">
        <v>45023</v>
      </c>
      <c r="O329" s="27" t="s">
        <v>148</v>
      </c>
      <c r="P329" s="28" t="s">
        <v>1778</v>
      </c>
      <c r="Q329" s="29">
        <v>43192</v>
      </c>
      <c r="R329" s="26">
        <v>45023</v>
      </c>
      <c r="S329" s="33" t="s">
        <v>1172</v>
      </c>
      <c r="T329" s="33"/>
      <c r="U329" s="33"/>
      <c r="V329" s="33"/>
      <c r="W329" s="30">
        <v>45383</v>
      </c>
      <c r="X329" s="30">
        <v>40695</v>
      </c>
      <c r="Y329" s="30">
        <v>40551</v>
      </c>
      <c r="Z329" s="31" t="str">
        <f ca="1">DATEDIF(X329,TODAY(),"y")&amp;" Tahun "&amp;DATEDIF(X329,TODAY(),"ym")&amp;" Bulan "&amp;DATEDIF(X329,TODAY(),"md")&amp;" Hari"</f>
        <v>14 Tahun 4 Bulan 30 Hari</v>
      </c>
      <c r="AA329" s="31" t="s">
        <v>76</v>
      </c>
      <c r="AB329" s="32">
        <v>32605</v>
      </c>
      <c r="AC329" s="31" t="s">
        <v>1779</v>
      </c>
      <c r="AD329" s="22" t="str">
        <f t="shared" ca="1" si="22"/>
        <v xml:space="preserve">36 Tahun 6 Bulan </v>
      </c>
      <c r="AE329" s="33" t="s">
        <v>1106</v>
      </c>
      <c r="AF329" s="34"/>
      <c r="AG329" s="58" t="s">
        <v>1698</v>
      </c>
      <c r="AH329" s="58"/>
      <c r="AI329" s="58"/>
      <c r="AJ329" s="58"/>
      <c r="AK329" s="33"/>
      <c r="AL329" s="36"/>
      <c r="AM329" s="14"/>
    </row>
    <row r="330" spans="1:39" ht="14.45" customHeight="1" x14ac:dyDescent="0.25">
      <c r="A330" s="17">
        <v>18</v>
      </c>
      <c r="B330" s="78"/>
      <c r="C330" s="139" t="s">
        <v>1780</v>
      </c>
      <c r="D330" s="137" t="s">
        <v>1781</v>
      </c>
      <c r="E330" s="21" t="s">
        <v>56</v>
      </c>
      <c r="F330" s="22" t="s">
        <v>41</v>
      </c>
      <c r="G330" s="23" t="s">
        <v>227</v>
      </c>
      <c r="H330" s="22" t="s">
        <v>228</v>
      </c>
      <c r="I330" s="22" t="s">
        <v>44</v>
      </c>
      <c r="J330" s="22" t="s">
        <v>1559</v>
      </c>
      <c r="K330" s="24">
        <v>44652</v>
      </c>
      <c r="L330" s="25" t="s">
        <v>1206</v>
      </c>
      <c r="M330" s="26"/>
      <c r="N330" s="26"/>
      <c r="O330" s="27"/>
      <c r="P330" s="53" t="s">
        <v>1782</v>
      </c>
      <c r="Q330" s="26">
        <v>43242</v>
      </c>
      <c r="R330" s="26">
        <v>44473</v>
      </c>
      <c r="S330" s="33" t="s">
        <v>84</v>
      </c>
      <c r="T330" s="33"/>
      <c r="U330" s="33"/>
      <c r="V330" s="33"/>
      <c r="W330" s="95">
        <v>41244</v>
      </c>
      <c r="X330" s="30">
        <v>41334</v>
      </c>
      <c r="Y330" s="22"/>
      <c r="Z330" s="55" t="str">
        <f ca="1">DATEDIF(W330,TODAY(),"y")&amp;" Tahun "&amp;DATEDIF(W330,TODAY(),"ym")&amp;" Bulan "&amp;DATEDIF(W330,TODAY(),"md")&amp;" Hari"</f>
        <v>12 Tahun 10 Bulan 30 Hari</v>
      </c>
      <c r="AA330" s="31" t="s">
        <v>846</v>
      </c>
      <c r="AB330" s="32">
        <v>31324</v>
      </c>
      <c r="AC330" s="31" t="s">
        <v>1783</v>
      </c>
      <c r="AD330" s="22" t="str">
        <f t="shared" ca="1" si="22"/>
        <v xml:space="preserve">40 Tahun 0 Bulan </v>
      </c>
      <c r="AE330" s="33" t="s">
        <v>1158</v>
      </c>
      <c r="AF330" s="34"/>
      <c r="AG330" s="58" t="s">
        <v>1698</v>
      </c>
      <c r="AH330" s="22"/>
      <c r="AI330" s="22"/>
      <c r="AJ330" s="22"/>
      <c r="AK330" s="33" t="s">
        <v>485</v>
      </c>
      <c r="AL330" s="36"/>
    </row>
    <row r="331" spans="1:39" ht="14.45" customHeight="1" x14ac:dyDescent="0.25">
      <c r="A331" s="17">
        <v>19</v>
      </c>
      <c r="B331" s="78"/>
      <c r="C331" s="50" t="s">
        <v>1784</v>
      </c>
      <c r="D331" s="20" t="s">
        <v>1785</v>
      </c>
      <c r="E331" s="52" t="s">
        <v>56</v>
      </c>
      <c r="F331" s="22" t="s">
        <v>41</v>
      </c>
      <c r="G331" s="23" t="s">
        <v>137</v>
      </c>
      <c r="H331" s="22" t="s">
        <v>138</v>
      </c>
      <c r="I331" s="22" t="s">
        <v>44</v>
      </c>
      <c r="J331" s="22" t="s">
        <v>1148</v>
      </c>
      <c r="K331" s="24">
        <v>43739</v>
      </c>
      <c r="L331" s="25" t="s">
        <v>1786</v>
      </c>
      <c r="M331" s="26">
        <v>42041</v>
      </c>
      <c r="N331" s="26">
        <v>43991</v>
      </c>
      <c r="O331" s="27" t="s">
        <v>1238</v>
      </c>
      <c r="P331" s="53" t="s">
        <v>1787</v>
      </c>
      <c r="Q331" s="26">
        <v>43131</v>
      </c>
      <c r="R331" s="26">
        <v>43991</v>
      </c>
      <c r="S331" s="23" t="s">
        <v>84</v>
      </c>
      <c r="T331" s="23"/>
      <c r="U331" s="23"/>
      <c r="V331" s="23"/>
      <c r="W331" s="30">
        <v>37956</v>
      </c>
      <c r="X331" s="30">
        <v>37956</v>
      </c>
      <c r="Y331" s="22"/>
      <c r="Z331" s="55" t="str">
        <f ca="1">DATEDIF(W331,TODAY(),"y")&amp;" Tahun "&amp;DATEDIF(W331,TODAY(),"ym")&amp;" Bulan "&amp;DATEDIF(W331,TODAY(),"md")&amp;" Hari"</f>
        <v>21 Tahun 10 Bulan 30 Hari</v>
      </c>
      <c r="AA331" s="55" t="s">
        <v>1788</v>
      </c>
      <c r="AB331" s="56">
        <v>29746</v>
      </c>
      <c r="AC331" s="32" t="s">
        <v>1789</v>
      </c>
      <c r="AD331" s="57" t="str">
        <f t="shared" ca="1" si="22"/>
        <v xml:space="preserve">44 Tahun 4 Bulan </v>
      </c>
      <c r="AE331" s="33" t="s">
        <v>1158</v>
      </c>
      <c r="AF331" s="34"/>
      <c r="AG331" s="58" t="s">
        <v>1698</v>
      </c>
      <c r="AH331" s="22"/>
      <c r="AI331" s="22"/>
      <c r="AJ331" s="22"/>
      <c r="AK331" s="33" t="s">
        <v>485</v>
      </c>
      <c r="AL331" s="36"/>
      <c r="AM331" s="14"/>
    </row>
    <row r="332" spans="1:39" ht="14.45" customHeight="1" x14ac:dyDescent="0.25">
      <c r="A332" s="17">
        <v>20</v>
      </c>
      <c r="B332" s="78"/>
      <c r="C332" s="50" t="s">
        <v>1790</v>
      </c>
      <c r="D332" s="20">
        <v>2024080758</v>
      </c>
      <c r="E332" s="21" t="s">
        <v>40</v>
      </c>
      <c r="F332" s="22" t="s">
        <v>1063</v>
      </c>
      <c r="G332" s="23" t="s">
        <v>3872</v>
      </c>
      <c r="H332" s="22" t="s">
        <v>3872</v>
      </c>
      <c r="I332" s="22"/>
      <c r="J332" s="22"/>
      <c r="K332" s="30"/>
      <c r="L332" s="53"/>
      <c r="M332" s="26"/>
      <c r="N332" s="26"/>
      <c r="O332" s="27"/>
      <c r="P332" s="53"/>
      <c r="Q332" s="26"/>
      <c r="R332" s="29"/>
      <c r="S332" s="23" t="s">
        <v>84</v>
      </c>
      <c r="T332" s="23"/>
      <c r="U332" s="23"/>
      <c r="V332" s="23"/>
      <c r="W332" s="30"/>
      <c r="X332" s="30">
        <v>45505</v>
      </c>
      <c r="Y332" s="30">
        <v>45505</v>
      </c>
      <c r="Z332" s="31" t="str">
        <f ca="1">DATEDIF(X332,TODAY(),"y")&amp;" Tahun "&amp;DATEDIF(X332,TODAY(),"ym")&amp;" Bulan "&amp;DATEDIF(X332,TODAY(),"md")&amp;" Hari"</f>
        <v>1 Tahun 2 Bulan 30 Hari</v>
      </c>
      <c r="AA332" s="31" t="s">
        <v>76</v>
      </c>
      <c r="AB332" s="32">
        <v>35199</v>
      </c>
      <c r="AC332" s="31" t="s">
        <v>1791</v>
      </c>
      <c r="AD332" s="22" t="str">
        <f t="shared" ca="1" si="22"/>
        <v xml:space="preserve">29 Tahun 5 Bulan </v>
      </c>
      <c r="AE332" s="33" t="s">
        <v>1106</v>
      </c>
      <c r="AF332" s="34"/>
      <c r="AG332" s="58" t="s">
        <v>1698</v>
      </c>
      <c r="AH332" s="22"/>
      <c r="AI332" s="22"/>
      <c r="AJ332" s="22"/>
      <c r="AK332" s="34"/>
      <c r="AL332" s="36"/>
      <c r="AM332" s="14"/>
    </row>
    <row r="333" spans="1:39" ht="14.45" customHeight="1" x14ac:dyDescent="0.25">
      <c r="A333" s="17">
        <v>21</v>
      </c>
      <c r="B333" s="78"/>
      <c r="C333" s="50" t="s">
        <v>1792</v>
      </c>
      <c r="D333" s="20">
        <v>2024080732</v>
      </c>
      <c r="E333" s="21" t="s">
        <v>56</v>
      </c>
      <c r="F333" s="22" t="s">
        <v>1063</v>
      </c>
      <c r="G333" s="23" t="s">
        <v>3872</v>
      </c>
      <c r="H333" s="22" t="s">
        <v>3872</v>
      </c>
      <c r="I333" s="22"/>
      <c r="J333" s="22"/>
      <c r="K333" s="30"/>
      <c r="L333" s="53"/>
      <c r="M333" s="26"/>
      <c r="N333" s="26"/>
      <c r="O333" s="27"/>
      <c r="P333" s="53"/>
      <c r="Q333" s="26"/>
      <c r="R333" s="29"/>
      <c r="S333" s="23" t="s">
        <v>84</v>
      </c>
      <c r="T333" s="23"/>
      <c r="U333" s="23"/>
      <c r="V333" s="23"/>
      <c r="W333" s="30"/>
      <c r="X333" s="30">
        <v>45505</v>
      </c>
      <c r="Y333" s="30">
        <v>45505</v>
      </c>
      <c r="Z333" s="31" t="str">
        <f ca="1">DATEDIF(X333,TODAY(),"y")&amp;" Tahun "&amp;DATEDIF(X333,TODAY(),"ym")&amp;" Bulan "&amp;DATEDIF(X333,TODAY(),"md")&amp;" Hari"</f>
        <v>1 Tahun 2 Bulan 30 Hari</v>
      </c>
      <c r="AA333" s="31" t="s">
        <v>76</v>
      </c>
      <c r="AB333" s="32">
        <v>36229</v>
      </c>
      <c r="AC333" s="31" t="s">
        <v>1793</v>
      </c>
      <c r="AD333" s="22" t="str">
        <f t="shared" ca="1" si="22"/>
        <v xml:space="preserve">26 Tahun 7 Bulan </v>
      </c>
      <c r="AE333" s="33" t="s">
        <v>1106</v>
      </c>
      <c r="AF333" s="34"/>
      <c r="AG333" s="58" t="s">
        <v>1698</v>
      </c>
      <c r="AH333" s="22"/>
      <c r="AI333" s="22"/>
      <c r="AJ333" s="22"/>
      <c r="AK333" s="33"/>
      <c r="AL333" s="36"/>
      <c r="AM333" s="14"/>
    </row>
    <row r="334" spans="1:39" ht="14.45" customHeight="1" x14ac:dyDescent="0.25">
      <c r="A334" s="17">
        <v>22</v>
      </c>
      <c r="B334" s="78"/>
      <c r="C334" s="50" t="s">
        <v>1794</v>
      </c>
      <c r="D334" s="62" t="s">
        <v>1795</v>
      </c>
      <c r="E334" s="21" t="s">
        <v>40</v>
      </c>
      <c r="F334" s="22" t="s">
        <v>238</v>
      </c>
      <c r="G334" s="23" t="s">
        <v>3872</v>
      </c>
      <c r="H334" s="22" t="s">
        <v>305</v>
      </c>
      <c r="I334" s="22" t="s">
        <v>44</v>
      </c>
      <c r="J334" s="22" t="s">
        <v>1104</v>
      </c>
      <c r="K334" s="30"/>
      <c r="L334" s="25"/>
      <c r="M334" s="29"/>
      <c r="N334" s="26"/>
      <c r="O334" s="27"/>
      <c r="P334" s="28"/>
      <c r="Q334" s="29"/>
      <c r="R334" s="26"/>
      <c r="S334" s="23" t="s">
        <v>84</v>
      </c>
      <c r="T334" s="23"/>
      <c r="U334" s="23"/>
      <c r="V334" s="23"/>
      <c r="W334" s="30">
        <v>45383</v>
      </c>
      <c r="X334" s="30">
        <v>45383</v>
      </c>
      <c r="Y334" s="30">
        <v>45383</v>
      </c>
      <c r="Z334" s="31" t="str">
        <f ca="1">DATEDIF(X334,TODAY(),"y")&amp;" Tahun "&amp;DATEDIF(X334,TODAY(),"ym")&amp;" Bulan "&amp;DATEDIF(X334,TODAY(),"md")&amp;" Hari"</f>
        <v>1 Tahun 6 Bulan 30 Hari</v>
      </c>
      <c r="AA334" s="31" t="s">
        <v>1796</v>
      </c>
      <c r="AB334" s="32">
        <v>34770</v>
      </c>
      <c r="AC334" s="31" t="s">
        <v>1797</v>
      </c>
      <c r="AD334" s="22" t="str">
        <f t="shared" ca="1" si="22"/>
        <v xml:space="preserve">30 Tahun 7 Bulan </v>
      </c>
      <c r="AE334" s="33" t="s">
        <v>1106</v>
      </c>
      <c r="AF334" s="34"/>
      <c r="AG334" s="58" t="s">
        <v>1698</v>
      </c>
      <c r="AH334" s="22"/>
      <c r="AI334" s="22"/>
      <c r="AJ334" s="22"/>
      <c r="AK334" s="33" t="s">
        <v>1421</v>
      </c>
      <c r="AL334" s="36"/>
      <c r="AM334" s="14"/>
    </row>
    <row r="335" spans="1:39" ht="14.45" customHeight="1" x14ac:dyDescent="0.25">
      <c r="A335" s="17">
        <v>23</v>
      </c>
      <c r="B335" s="78"/>
      <c r="C335" s="50" t="s">
        <v>1798</v>
      </c>
      <c r="D335" s="62" t="s">
        <v>1799</v>
      </c>
      <c r="E335" s="21" t="s">
        <v>56</v>
      </c>
      <c r="F335" s="22" t="s">
        <v>238</v>
      </c>
      <c r="G335" s="23" t="s">
        <v>3872</v>
      </c>
      <c r="H335" s="22" t="s">
        <v>305</v>
      </c>
      <c r="I335" s="22" t="s">
        <v>44</v>
      </c>
      <c r="J335" s="22" t="s">
        <v>1104</v>
      </c>
      <c r="K335" s="30"/>
      <c r="L335" s="25"/>
      <c r="M335" s="29"/>
      <c r="N335" s="26"/>
      <c r="O335" s="27"/>
      <c r="P335" s="28"/>
      <c r="Q335" s="29"/>
      <c r="R335" s="26"/>
      <c r="S335" s="23" t="s">
        <v>84</v>
      </c>
      <c r="T335" s="23"/>
      <c r="U335" s="23"/>
      <c r="V335" s="23"/>
      <c r="W335" s="30">
        <v>45383</v>
      </c>
      <c r="X335" s="30">
        <v>45383</v>
      </c>
      <c r="Y335" s="30">
        <v>45383</v>
      </c>
      <c r="Z335" s="31" t="str">
        <f ca="1">DATEDIF(X335,TODAY(),"y")&amp;" Tahun "&amp;DATEDIF(X335,TODAY(),"ym")&amp;" Bulan "&amp;DATEDIF(X335,TODAY(),"md")&amp;" Hari"</f>
        <v>1 Tahun 6 Bulan 30 Hari</v>
      </c>
      <c r="AA335" s="31" t="s">
        <v>1800</v>
      </c>
      <c r="AB335" s="32">
        <v>34975</v>
      </c>
      <c r="AC335" s="31" t="s">
        <v>1801</v>
      </c>
      <c r="AD335" s="22" t="str">
        <f t="shared" ca="1" si="22"/>
        <v xml:space="preserve">30 Tahun 0 Bulan </v>
      </c>
      <c r="AE335" s="33" t="s">
        <v>1106</v>
      </c>
      <c r="AF335" s="34"/>
      <c r="AG335" s="58" t="s">
        <v>1698</v>
      </c>
      <c r="AH335" s="22"/>
      <c r="AI335" s="22"/>
      <c r="AJ335" s="22"/>
      <c r="AK335" s="33" t="s">
        <v>1421</v>
      </c>
      <c r="AL335" s="36"/>
      <c r="AM335" s="14"/>
    </row>
    <row r="336" spans="1:39" ht="14.45" customHeight="1" x14ac:dyDescent="0.25">
      <c r="A336" s="17">
        <v>24</v>
      </c>
      <c r="B336" s="18"/>
      <c r="C336" s="50" t="s">
        <v>5773</v>
      </c>
      <c r="D336" s="20" t="s">
        <v>1802</v>
      </c>
      <c r="E336" s="21" t="s">
        <v>56</v>
      </c>
      <c r="F336" s="22" t="s">
        <v>192</v>
      </c>
      <c r="G336" s="23" t="s">
        <v>227</v>
      </c>
      <c r="H336" s="22" t="s">
        <v>228</v>
      </c>
      <c r="I336" s="22" t="s">
        <v>155</v>
      </c>
      <c r="J336" s="22" t="s">
        <v>1104</v>
      </c>
      <c r="K336" s="24" t="s">
        <v>195</v>
      </c>
      <c r="L336" s="22"/>
      <c r="M336" s="22"/>
      <c r="N336" s="22"/>
      <c r="O336" s="22"/>
      <c r="P336" s="22"/>
      <c r="Q336" s="22"/>
      <c r="R336" s="22"/>
      <c r="S336" s="23" t="s">
        <v>84</v>
      </c>
      <c r="T336" s="23"/>
      <c r="U336" s="23"/>
      <c r="V336" s="23"/>
      <c r="W336" s="69">
        <v>45809</v>
      </c>
      <c r="X336" s="69">
        <v>45810</v>
      </c>
      <c r="Y336" s="69">
        <v>45810</v>
      </c>
      <c r="Z336" s="31" t="str">
        <f ca="1">DATEDIF(X336,TODAY(),"y")&amp;" Tahun "&amp;DATEDIF(X336,TODAY(),"ym")&amp;" Bulan "&amp;DATEDIF(X336,TODAY(),"md")&amp;" Hari"</f>
        <v>0 Tahun 4 Bulan 29 Hari</v>
      </c>
      <c r="AA336" s="23" t="s">
        <v>203</v>
      </c>
      <c r="AB336" s="32">
        <v>36262</v>
      </c>
      <c r="AC336" s="32" t="s">
        <v>1803</v>
      </c>
      <c r="AD336" s="22" t="str">
        <f t="shared" ca="1" si="22"/>
        <v xml:space="preserve">26 Tahun 6 Bulan </v>
      </c>
      <c r="AE336" s="33" t="s">
        <v>1106</v>
      </c>
      <c r="AF336" s="34"/>
      <c r="AG336" s="58" t="s">
        <v>1698</v>
      </c>
      <c r="AH336" s="22"/>
      <c r="AI336" s="22"/>
      <c r="AJ336" s="22"/>
      <c r="AK336" s="33" t="s">
        <v>485</v>
      </c>
      <c r="AL336" s="36"/>
    </row>
    <row r="337" spans="1:39" ht="14.45" customHeight="1" x14ac:dyDescent="0.25">
      <c r="A337" s="17">
        <v>25</v>
      </c>
      <c r="B337" s="134"/>
      <c r="C337" s="138" t="s">
        <v>2689</v>
      </c>
      <c r="D337" s="20" t="s">
        <v>2690</v>
      </c>
      <c r="E337" s="52" t="s">
        <v>56</v>
      </c>
      <c r="F337" s="58" t="s">
        <v>41</v>
      </c>
      <c r="G337" s="59" t="s">
        <v>42</v>
      </c>
      <c r="H337" s="58" t="s">
        <v>43</v>
      </c>
      <c r="I337" s="58" t="s">
        <v>44</v>
      </c>
      <c r="J337" s="58" t="s">
        <v>148</v>
      </c>
      <c r="K337" s="24">
        <v>45200</v>
      </c>
      <c r="L337" s="25" t="s">
        <v>2691</v>
      </c>
      <c r="M337" s="26">
        <v>43117</v>
      </c>
      <c r="N337" s="26">
        <v>45235</v>
      </c>
      <c r="O337" s="27" t="s">
        <v>148</v>
      </c>
      <c r="P337" s="53" t="s">
        <v>2692</v>
      </c>
      <c r="Q337" s="26">
        <v>43242</v>
      </c>
      <c r="R337" s="26">
        <v>45235</v>
      </c>
      <c r="S337" s="23" t="s">
        <v>84</v>
      </c>
      <c r="T337" s="23"/>
      <c r="U337" s="23"/>
      <c r="V337" s="23"/>
      <c r="W337" s="30">
        <v>36586</v>
      </c>
      <c r="X337" s="30">
        <v>36586</v>
      </c>
      <c r="Y337" s="30">
        <v>41730</v>
      </c>
      <c r="Z337" s="55" t="str">
        <f t="shared" ref="Z337:Z343" ca="1" si="25">DATEDIF(W337,TODAY(),"y")&amp;" Tahun "&amp;DATEDIF(W337,TODAY(),"ym")&amp;" Bulan "&amp;DATEDIF(W337,TODAY(),"md")&amp;" Hari"</f>
        <v>25 Tahun 7 Bulan 30 Hari</v>
      </c>
      <c r="AA337" s="55" t="s">
        <v>76</v>
      </c>
      <c r="AB337" s="56">
        <v>28069</v>
      </c>
      <c r="AC337" s="32" t="s">
        <v>2693</v>
      </c>
      <c r="AD337" s="57" t="str">
        <f t="shared" ca="1" si="22"/>
        <v xml:space="preserve">48 Tahun 11 Bulan </v>
      </c>
      <c r="AE337" s="85" t="s">
        <v>1151</v>
      </c>
      <c r="AF337" s="34"/>
      <c r="AG337" s="58" t="s">
        <v>1811</v>
      </c>
      <c r="AH337" s="22"/>
      <c r="AI337" s="22"/>
      <c r="AJ337" s="22"/>
      <c r="AK337" s="33" t="s">
        <v>485</v>
      </c>
      <c r="AL337" s="36"/>
    </row>
    <row r="338" spans="1:39" ht="14.45" customHeight="1" x14ac:dyDescent="0.25">
      <c r="A338" s="17">
        <v>26</v>
      </c>
      <c r="B338" s="134"/>
      <c r="C338" s="138" t="s">
        <v>2695</v>
      </c>
      <c r="D338" s="51" t="s">
        <v>2696</v>
      </c>
      <c r="E338" s="52" t="s">
        <v>56</v>
      </c>
      <c r="F338" s="58" t="s">
        <v>41</v>
      </c>
      <c r="G338" s="59" t="s">
        <v>137</v>
      </c>
      <c r="H338" s="22" t="s">
        <v>138</v>
      </c>
      <c r="I338" s="22" t="s">
        <v>44</v>
      </c>
      <c r="J338" s="22" t="s">
        <v>1166</v>
      </c>
      <c r="K338" s="24">
        <v>42370</v>
      </c>
      <c r="L338" s="53" t="s">
        <v>2697</v>
      </c>
      <c r="M338" s="26">
        <v>43145</v>
      </c>
      <c r="N338" s="26">
        <v>45139</v>
      </c>
      <c r="O338" s="27" t="s">
        <v>148</v>
      </c>
      <c r="P338" s="28" t="s">
        <v>2698</v>
      </c>
      <c r="Q338" s="29">
        <v>43192</v>
      </c>
      <c r="R338" s="26">
        <v>45139</v>
      </c>
      <c r="S338" s="59" t="s">
        <v>1172</v>
      </c>
      <c r="T338" s="59"/>
      <c r="U338" s="59"/>
      <c r="V338" s="59"/>
      <c r="W338" s="82">
        <v>32203</v>
      </c>
      <c r="X338" s="82">
        <v>32203</v>
      </c>
      <c r="Y338" s="58" t="s">
        <v>2699</v>
      </c>
      <c r="Z338" s="55" t="str">
        <f t="shared" ca="1" si="25"/>
        <v>37 Tahun 7 Bulan 30 Hari</v>
      </c>
      <c r="AA338" s="66" t="s">
        <v>76</v>
      </c>
      <c r="AB338" s="83">
        <v>25051</v>
      </c>
      <c r="AC338" s="102" t="s">
        <v>2700</v>
      </c>
      <c r="AD338" s="57" t="str">
        <f t="shared" ca="1" si="22"/>
        <v xml:space="preserve">57 Tahun 2 Bulan </v>
      </c>
      <c r="AE338" s="85" t="s">
        <v>1106</v>
      </c>
      <c r="AG338" s="58" t="s">
        <v>1811</v>
      </c>
      <c r="AH338" s="22"/>
      <c r="AI338" s="22"/>
      <c r="AJ338" s="22"/>
      <c r="AK338" s="33" t="s">
        <v>200</v>
      </c>
      <c r="AL338" s="36"/>
    </row>
    <row r="339" spans="1:39" ht="14.45" customHeight="1" x14ac:dyDescent="0.25">
      <c r="A339" s="17">
        <v>27</v>
      </c>
      <c r="B339" s="78"/>
      <c r="C339" s="50" t="s">
        <v>2701</v>
      </c>
      <c r="D339" s="20" t="s">
        <v>2702</v>
      </c>
      <c r="E339" s="21" t="s">
        <v>56</v>
      </c>
      <c r="F339" s="22" t="s">
        <v>41</v>
      </c>
      <c r="G339" s="23" t="s">
        <v>137</v>
      </c>
      <c r="H339" s="22" t="s">
        <v>138</v>
      </c>
      <c r="I339" s="22" t="s">
        <v>44</v>
      </c>
      <c r="J339" s="22" t="s">
        <v>1166</v>
      </c>
      <c r="K339" s="24">
        <v>42370</v>
      </c>
      <c r="L339" s="53" t="s">
        <v>2703</v>
      </c>
      <c r="M339" s="26">
        <v>43117</v>
      </c>
      <c r="N339" s="26">
        <v>45175</v>
      </c>
      <c r="O339" s="27" t="s">
        <v>148</v>
      </c>
      <c r="P339" s="28" t="s">
        <v>2704</v>
      </c>
      <c r="Q339" s="29">
        <v>43192</v>
      </c>
      <c r="R339" s="26">
        <v>45175</v>
      </c>
      <c r="S339" s="23" t="s">
        <v>1172</v>
      </c>
      <c r="T339" s="23"/>
      <c r="U339" s="23"/>
      <c r="V339" s="23"/>
      <c r="W339" s="30">
        <v>32203</v>
      </c>
      <c r="X339" s="30">
        <v>32203</v>
      </c>
      <c r="Y339" s="22"/>
      <c r="Z339" s="31" t="str">
        <f t="shared" ca="1" si="25"/>
        <v>37 Tahun 7 Bulan 30 Hari</v>
      </c>
      <c r="AA339" s="31" t="s">
        <v>76</v>
      </c>
      <c r="AB339" s="32">
        <v>25087</v>
      </c>
      <c r="AC339" s="32" t="s">
        <v>2705</v>
      </c>
      <c r="AD339" s="22" t="str">
        <f t="shared" ca="1" si="22"/>
        <v xml:space="preserve">57 Tahun 1 Bulan </v>
      </c>
      <c r="AE339" s="33" t="s">
        <v>1106</v>
      </c>
      <c r="AF339" s="34"/>
      <c r="AG339" s="58" t="s">
        <v>1811</v>
      </c>
      <c r="AH339" s="22"/>
      <c r="AI339" s="22"/>
      <c r="AJ339" s="22"/>
      <c r="AK339" s="33" t="s">
        <v>200</v>
      </c>
      <c r="AL339" s="36"/>
    </row>
    <row r="340" spans="1:39" ht="14.45" customHeight="1" x14ac:dyDescent="0.25">
      <c r="A340" s="17">
        <v>1</v>
      </c>
      <c r="B340" s="134"/>
      <c r="C340" s="50" t="s">
        <v>2706</v>
      </c>
      <c r="D340" s="20" t="s">
        <v>2707</v>
      </c>
      <c r="E340" s="52" t="s">
        <v>56</v>
      </c>
      <c r="F340" s="58" t="s">
        <v>41</v>
      </c>
      <c r="G340" s="23" t="s">
        <v>137</v>
      </c>
      <c r="H340" s="22" t="s">
        <v>138</v>
      </c>
      <c r="I340" s="22" t="s">
        <v>44</v>
      </c>
      <c r="J340" s="22" t="s">
        <v>1166</v>
      </c>
      <c r="K340" s="24">
        <v>42644</v>
      </c>
      <c r="L340" s="25" t="s">
        <v>2708</v>
      </c>
      <c r="M340" s="26">
        <v>42926</v>
      </c>
      <c r="N340" s="26">
        <v>44613</v>
      </c>
      <c r="O340" s="27" t="s">
        <v>1155</v>
      </c>
      <c r="P340" s="53" t="s">
        <v>2709</v>
      </c>
      <c r="Q340" s="26">
        <v>43004</v>
      </c>
      <c r="R340" s="26">
        <v>44613</v>
      </c>
      <c r="S340" s="23" t="s">
        <v>1172</v>
      </c>
      <c r="T340" s="23"/>
      <c r="U340" s="23"/>
      <c r="V340" s="23"/>
      <c r="W340" s="30">
        <v>33664</v>
      </c>
      <c r="X340" s="30">
        <v>33664</v>
      </c>
      <c r="Y340" s="22"/>
      <c r="Z340" s="55" t="str">
        <f t="shared" ca="1" si="25"/>
        <v>33 Tahun 7 Bulan 30 Hari</v>
      </c>
      <c r="AA340" s="55" t="s">
        <v>76</v>
      </c>
      <c r="AB340" s="56">
        <v>26350</v>
      </c>
      <c r="AC340" s="31" t="s">
        <v>2710</v>
      </c>
      <c r="AD340" s="57" t="str">
        <f t="shared" ca="1" si="22"/>
        <v xml:space="preserve">53 Tahun 8 Bulan </v>
      </c>
      <c r="AE340" s="33" t="s">
        <v>1106</v>
      </c>
      <c r="AF340" s="71"/>
      <c r="AG340" s="58" t="s">
        <v>1811</v>
      </c>
      <c r="AH340" s="22"/>
      <c r="AI340" s="22"/>
      <c r="AJ340" s="22"/>
      <c r="AK340" s="33"/>
      <c r="AL340" s="36"/>
    </row>
    <row r="341" spans="1:39" ht="14.45" customHeight="1" x14ac:dyDescent="0.25">
      <c r="A341" s="17">
        <v>2</v>
      </c>
      <c r="B341" s="78"/>
      <c r="C341" s="50" t="s">
        <v>2711</v>
      </c>
      <c r="D341" s="20" t="s">
        <v>2712</v>
      </c>
      <c r="E341" s="52" t="s">
        <v>56</v>
      </c>
      <c r="F341" s="58" t="s">
        <v>41</v>
      </c>
      <c r="G341" s="23" t="s">
        <v>137</v>
      </c>
      <c r="H341" s="22" t="s">
        <v>138</v>
      </c>
      <c r="I341" s="22" t="s">
        <v>44</v>
      </c>
      <c r="J341" s="22" t="s">
        <v>1148</v>
      </c>
      <c r="K341" s="24">
        <v>44835</v>
      </c>
      <c r="L341" s="53" t="s">
        <v>2713</v>
      </c>
      <c r="M341" s="26">
        <v>43047</v>
      </c>
      <c r="N341" s="26">
        <v>44895</v>
      </c>
      <c r="O341" s="27" t="s">
        <v>1155</v>
      </c>
      <c r="P341" s="53" t="s">
        <v>2714</v>
      </c>
      <c r="Q341" s="26">
        <v>43131</v>
      </c>
      <c r="R341" s="26">
        <v>44895</v>
      </c>
      <c r="S341" s="23" t="s">
        <v>84</v>
      </c>
      <c r="T341" s="23">
        <v>2021</v>
      </c>
      <c r="U341" s="23"/>
      <c r="V341" s="23"/>
      <c r="W341" s="30">
        <v>39448</v>
      </c>
      <c r="X341" s="30">
        <v>39448</v>
      </c>
      <c r="Y341" s="30">
        <v>39539</v>
      </c>
      <c r="Z341" s="55" t="str">
        <f t="shared" ca="1" si="25"/>
        <v>17 Tahun 9 Bulan 30 Hari</v>
      </c>
      <c r="AA341" s="55" t="s">
        <v>76</v>
      </c>
      <c r="AB341" s="56">
        <v>28824</v>
      </c>
      <c r="AC341" s="31" t="s">
        <v>2715</v>
      </c>
      <c r="AD341" s="57" t="str">
        <f t="shared" ca="1" si="22"/>
        <v xml:space="preserve">46 Tahun 11 Bulan </v>
      </c>
      <c r="AE341" s="33" t="s">
        <v>1106</v>
      </c>
      <c r="AF341" s="71"/>
      <c r="AG341" s="58" t="s">
        <v>1811</v>
      </c>
      <c r="AH341" s="65"/>
      <c r="AI341" s="65"/>
      <c r="AJ341" s="153"/>
      <c r="AK341" s="154" t="s">
        <v>112</v>
      </c>
      <c r="AL341" s="38"/>
      <c r="AM341" s="47"/>
    </row>
    <row r="342" spans="1:39" ht="14.45" customHeight="1" x14ac:dyDescent="0.25">
      <c r="A342" s="17">
        <v>3</v>
      </c>
      <c r="B342" s="78"/>
      <c r="C342" s="50" t="s">
        <v>2716</v>
      </c>
      <c r="D342" s="20" t="s">
        <v>2717</v>
      </c>
      <c r="E342" s="52" t="s">
        <v>56</v>
      </c>
      <c r="F342" s="22" t="s">
        <v>41</v>
      </c>
      <c r="G342" s="23" t="s">
        <v>137</v>
      </c>
      <c r="H342" s="22" t="s">
        <v>138</v>
      </c>
      <c r="I342" s="22" t="s">
        <v>44</v>
      </c>
      <c r="J342" s="22" t="s">
        <v>1148</v>
      </c>
      <c r="K342" s="24">
        <v>45870</v>
      </c>
      <c r="L342" s="25" t="s">
        <v>2718</v>
      </c>
      <c r="M342" s="26">
        <v>42926</v>
      </c>
      <c r="N342" s="26">
        <v>44753</v>
      </c>
      <c r="O342" s="27" t="s">
        <v>1155</v>
      </c>
      <c r="P342" s="53" t="s">
        <v>2719</v>
      </c>
      <c r="Q342" s="26">
        <v>43004</v>
      </c>
      <c r="R342" s="26">
        <v>44753</v>
      </c>
      <c r="S342" s="23" t="s">
        <v>84</v>
      </c>
      <c r="T342" s="23">
        <v>2021</v>
      </c>
      <c r="U342" s="23"/>
      <c r="V342" s="23"/>
      <c r="W342" s="30">
        <v>40513</v>
      </c>
      <c r="X342" s="30">
        <v>40664</v>
      </c>
      <c r="Y342" s="22"/>
      <c r="Z342" s="55" t="str">
        <f t="shared" ca="1" si="25"/>
        <v>14 Tahun 10 Bulan 30 Hari</v>
      </c>
      <c r="AA342" s="55" t="s">
        <v>76</v>
      </c>
      <c r="AB342" s="56">
        <v>29413</v>
      </c>
      <c r="AC342" s="31" t="s">
        <v>2720</v>
      </c>
      <c r="AD342" s="57" t="str">
        <f t="shared" ca="1" si="22"/>
        <v xml:space="preserve">45 Tahun 3 Bulan </v>
      </c>
      <c r="AE342" s="33" t="s">
        <v>1106</v>
      </c>
      <c r="AF342" s="79"/>
      <c r="AG342" s="58" t="s">
        <v>1811</v>
      </c>
      <c r="AH342" s="22"/>
      <c r="AI342" s="22"/>
      <c r="AJ342" s="22"/>
      <c r="AK342" s="33"/>
      <c r="AL342" s="36"/>
      <c r="AM342" s="14"/>
    </row>
    <row r="343" spans="1:39" ht="14.45" customHeight="1" x14ac:dyDescent="0.25">
      <c r="A343" s="17">
        <v>5</v>
      </c>
      <c r="B343" s="78"/>
      <c r="C343" s="50" t="s">
        <v>2721</v>
      </c>
      <c r="D343" s="20" t="s">
        <v>2722</v>
      </c>
      <c r="E343" s="52" t="s">
        <v>56</v>
      </c>
      <c r="F343" s="22" t="s">
        <v>41</v>
      </c>
      <c r="G343" s="23" t="s">
        <v>137</v>
      </c>
      <c r="H343" s="22" t="s">
        <v>138</v>
      </c>
      <c r="I343" s="22" t="s">
        <v>44</v>
      </c>
      <c r="J343" s="22" t="s">
        <v>1148</v>
      </c>
      <c r="K343" s="24">
        <v>44105</v>
      </c>
      <c r="L343" s="173" t="s">
        <v>2723</v>
      </c>
      <c r="M343" s="173">
        <v>42717</v>
      </c>
      <c r="N343" s="26">
        <v>44496</v>
      </c>
      <c r="O343" s="40" t="s">
        <v>1162</v>
      </c>
      <c r="P343" s="53" t="s">
        <v>2724</v>
      </c>
      <c r="Q343" s="26">
        <v>43071</v>
      </c>
      <c r="R343" s="29">
        <v>44496</v>
      </c>
      <c r="S343" s="23" t="s">
        <v>1164</v>
      </c>
      <c r="T343" s="23"/>
      <c r="U343" s="23"/>
      <c r="V343" s="23"/>
      <c r="W343" s="30">
        <v>38353</v>
      </c>
      <c r="X343" s="30">
        <v>38353</v>
      </c>
      <c r="Y343" s="30">
        <v>42339</v>
      </c>
      <c r="Z343" s="55" t="str">
        <f t="shared" ca="1" si="25"/>
        <v>20 Tahun 9 Bulan 30 Hari</v>
      </c>
      <c r="AA343" s="55" t="s">
        <v>76</v>
      </c>
      <c r="AB343" s="56">
        <v>30616</v>
      </c>
      <c r="AC343" s="31" t="s">
        <v>2725</v>
      </c>
      <c r="AD343" s="57" t="str">
        <f t="shared" ca="1" si="22"/>
        <v xml:space="preserve">42 Tahun 0 Bulan </v>
      </c>
      <c r="AE343" s="33" t="s">
        <v>1158</v>
      </c>
      <c r="AF343" s="79"/>
      <c r="AG343" s="58" t="s">
        <v>1811</v>
      </c>
      <c r="AH343" s="58"/>
      <c r="AI343" s="58"/>
      <c r="AJ343" s="87"/>
      <c r="AK343" s="61"/>
      <c r="AL343" s="36"/>
    </row>
    <row r="344" spans="1:39" ht="14.45" customHeight="1" x14ac:dyDescent="0.25">
      <c r="A344" s="17">
        <v>6</v>
      </c>
      <c r="B344" s="78"/>
      <c r="C344" s="180" t="s">
        <v>2726</v>
      </c>
      <c r="D344" s="137" t="s">
        <v>2727</v>
      </c>
      <c r="E344" s="52" t="s">
        <v>56</v>
      </c>
      <c r="F344" s="58" t="s">
        <v>41</v>
      </c>
      <c r="G344" s="23" t="s">
        <v>102</v>
      </c>
      <c r="H344" s="22" t="s">
        <v>103</v>
      </c>
      <c r="I344" s="22" t="s">
        <v>44</v>
      </c>
      <c r="J344" s="22" t="s">
        <v>1166</v>
      </c>
      <c r="K344" s="24">
        <v>45566</v>
      </c>
      <c r="L344" s="25" t="s">
        <v>2728</v>
      </c>
      <c r="M344" s="26">
        <v>43117</v>
      </c>
      <c r="N344" s="26">
        <v>45097</v>
      </c>
      <c r="O344" s="27" t="s">
        <v>148</v>
      </c>
      <c r="P344" s="53" t="s">
        <v>2729</v>
      </c>
      <c r="Q344" s="26">
        <v>43242</v>
      </c>
      <c r="R344" s="26">
        <v>45097</v>
      </c>
      <c r="S344" s="33" t="s">
        <v>1172</v>
      </c>
      <c r="T344" s="33"/>
      <c r="U344" s="33"/>
      <c r="V344" s="33"/>
      <c r="W344" s="95">
        <v>41244</v>
      </c>
      <c r="X344" s="30">
        <v>41334</v>
      </c>
      <c r="Y344" s="30">
        <v>41791</v>
      </c>
      <c r="Z344" s="55" t="str">
        <f ca="1">DATEDIF(X344,TODAY(),"y")&amp;" Tahun "&amp;DATEDIF(X344,TODAY(),"ym")&amp;" Bulan "&amp;DATEDIF(X344,TODAY(),"md")&amp;" Hari"</f>
        <v>12 Tahun 7 Bulan 30 Hari</v>
      </c>
      <c r="AA344" s="66" t="s">
        <v>260</v>
      </c>
      <c r="AB344" s="56">
        <v>31948</v>
      </c>
      <c r="AC344" s="31" t="s">
        <v>2730</v>
      </c>
      <c r="AD344" s="57" t="str">
        <f t="shared" ca="1" si="22"/>
        <v xml:space="preserve">38 Tahun 4 Bulan </v>
      </c>
      <c r="AE344" s="33" t="s">
        <v>1106</v>
      </c>
      <c r="AF344" s="71"/>
      <c r="AG344" s="58" t="s">
        <v>1811</v>
      </c>
      <c r="AH344" s="22"/>
      <c r="AI344" s="22"/>
      <c r="AJ344" s="22"/>
      <c r="AK344" s="33" t="s">
        <v>314</v>
      </c>
      <c r="AL344" s="36"/>
    </row>
    <row r="345" spans="1:39" ht="14.45" customHeight="1" x14ac:dyDescent="0.25">
      <c r="A345" s="17">
        <v>7</v>
      </c>
      <c r="B345" s="78"/>
      <c r="C345" s="50" t="s">
        <v>2731</v>
      </c>
      <c r="D345" s="20" t="s">
        <v>2732</v>
      </c>
      <c r="E345" s="21" t="s">
        <v>56</v>
      </c>
      <c r="F345" s="22" t="s">
        <v>41</v>
      </c>
      <c r="G345" s="23" t="s">
        <v>137</v>
      </c>
      <c r="H345" s="22" t="s">
        <v>138</v>
      </c>
      <c r="I345" s="22" t="s">
        <v>44</v>
      </c>
      <c r="J345" s="22" t="s">
        <v>1166</v>
      </c>
      <c r="K345" s="24">
        <v>45200</v>
      </c>
      <c r="L345" s="53" t="s">
        <v>2733</v>
      </c>
      <c r="M345" s="26">
        <v>43117</v>
      </c>
      <c r="N345" s="26">
        <v>45098</v>
      </c>
      <c r="O345" s="27" t="s">
        <v>148</v>
      </c>
      <c r="P345" s="28" t="s">
        <v>2734</v>
      </c>
      <c r="Q345" s="29">
        <v>43192</v>
      </c>
      <c r="R345" s="26">
        <v>45098</v>
      </c>
      <c r="S345" s="23" t="s">
        <v>1172</v>
      </c>
      <c r="T345" s="23"/>
      <c r="U345" s="23"/>
      <c r="V345" s="23"/>
      <c r="W345" s="30">
        <v>39783</v>
      </c>
      <c r="X345" s="30">
        <v>39845</v>
      </c>
      <c r="Y345" s="30">
        <v>39904</v>
      </c>
      <c r="Z345" s="31" t="str">
        <f ca="1">DATEDIF(W345,TODAY(),"y")&amp;" Tahun "&amp;DATEDIF(W345,TODAY(),"ym")&amp;" Bulan "&amp;DATEDIF(W345,TODAY(),"md")&amp;" Hari"</f>
        <v>16 Tahun 10 Bulan 30 Hari</v>
      </c>
      <c r="AA345" s="31" t="s">
        <v>1178</v>
      </c>
      <c r="AB345" s="32">
        <v>31949</v>
      </c>
      <c r="AC345" s="32" t="s">
        <v>2735</v>
      </c>
      <c r="AD345" s="22" t="str">
        <f t="shared" ca="1" si="22"/>
        <v xml:space="preserve">38 Tahun 4 Bulan </v>
      </c>
      <c r="AE345" s="33" t="s">
        <v>1106</v>
      </c>
      <c r="AF345" s="34"/>
      <c r="AG345" s="58" t="s">
        <v>1811</v>
      </c>
      <c r="AH345" s="58"/>
      <c r="AI345" s="58"/>
      <c r="AJ345" s="58"/>
      <c r="AK345" s="33" t="s">
        <v>485</v>
      </c>
      <c r="AL345" s="36"/>
      <c r="AM345" s="14"/>
    </row>
    <row r="346" spans="1:39" ht="14.45" customHeight="1" x14ac:dyDescent="0.25">
      <c r="A346" s="17">
        <v>8</v>
      </c>
      <c r="B346" s="78"/>
      <c r="C346" s="139" t="s">
        <v>2736</v>
      </c>
      <c r="D346" s="137" t="s">
        <v>2737</v>
      </c>
      <c r="E346" s="21" t="s">
        <v>56</v>
      </c>
      <c r="F346" s="22" t="s">
        <v>41</v>
      </c>
      <c r="G346" s="23" t="s">
        <v>227</v>
      </c>
      <c r="H346" s="22" t="s">
        <v>228</v>
      </c>
      <c r="I346" s="22" t="s">
        <v>44</v>
      </c>
      <c r="J346" s="22" t="s">
        <v>1559</v>
      </c>
      <c r="K346" s="24">
        <v>44652</v>
      </c>
      <c r="L346" s="25" t="s">
        <v>2738</v>
      </c>
      <c r="M346" s="26">
        <v>42143</v>
      </c>
      <c r="N346" s="26">
        <v>43852</v>
      </c>
      <c r="O346" s="27" t="s">
        <v>148</v>
      </c>
      <c r="P346" s="53" t="s">
        <v>2739</v>
      </c>
      <c r="Q346" s="26">
        <v>43006</v>
      </c>
      <c r="R346" s="26">
        <v>43852</v>
      </c>
      <c r="S346" s="33" t="s">
        <v>1172</v>
      </c>
      <c r="T346" s="33"/>
      <c r="U346" s="33"/>
      <c r="V346" s="33"/>
      <c r="W346" s="95">
        <v>41244</v>
      </c>
      <c r="X346" s="30">
        <v>41334</v>
      </c>
      <c r="Y346" s="22"/>
      <c r="Z346" s="31" t="str">
        <f ca="1">DATEDIF(W346,TODAY(),"y")&amp;" Tahun "&amp;DATEDIF(W346,TODAY(),"ym")&amp;" Bulan "&amp;DATEDIF(W346,TODAY(),"md")&amp;" Hari"</f>
        <v>12 Tahun 10 Bulan 30 Hari</v>
      </c>
      <c r="AA346" s="31" t="s">
        <v>437</v>
      </c>
      <c r="AB346" s="32">
        <v>32164</v>
      </c>
      <c r="AC346" s="31" t="s">
        <v>2740</v>
      </c>
      <c r="AD346" s="22" t="str">
        <f t="shared" ca="1" si="22"/>
        <v xml:space="preserve">37 Tahun 9 Bulan </v>
      </c>
      <c r="AE346" s="33" t="s">
        <v>1106</v>
      </c>
      <c r="AF346" s="34"/>
      <c r="AG346" s="58" t="s">
        <v>1811</v>
      </c>
      <c r="AH346" s="22"/>
      <c r="AI346" s="22"/>
      <c r="AJ346" s="22"/>
      <c r="AK346" s="33" t="s">
        <v>485</v>
      </c>
      <c r="AL346" s="36"/>
    </row>
    <row r="347" spans="1:39" ht="14.45" customHeight="1" x14ac:dyDescent="0.25">
      <c r="A347" s="17">
        <v>9</v>
      </c>
      <c r="B347" s="78">
        <v>1384</v>
      </c>
      <c r="C347" s="50" t="s">
        <v>5774</v>
      </c>
      <c r="D347" s="20" t="s">
        <v>2741</v>
      </c>
      <c r="E347" s="58" t="s">
        <v>56</v>
      </c>
      <c r="F347" s="22" t="s">
        <v>41</v>
      </c>
      <c r="G347" s="23" t="s">
        <v>227</v>
      </c>
      <c r="H347" s="22" t="s">
        <v>228</v>
      </c>
      <c r="I347" s="22" t="s">
        <v>44</v>
      </c>
      <c r="J347" s="22" t="s">
        <v>1148</v>
      </c>
      <c r="K347" s="24">
        <v>45200</v>
      </c>
      <c r="L347" s="25"/>
      <c r="M347" s="26"/>
      <c r="N347" s="26"/>
      <c r="O347" s="27"/>
      <c r="P347" s="28"/>
      <c r="Q347" s="29"/>
      <c r="R347" s="26"/>
      <c r="S347" s="23" t="s">
        <v>84</v>
      </c>
      <c r="T347" s="23"/>
      <c r="U347" s="23"/>
      <c r="V347" s="23"/>
      <c r="W347" s="30">
        <v>44166</v>
      </c>
      <c r="X347" s="30">
        <v>44197</v>
      </c>
      <c r="Y347" s="30">
        <v>44197</v>
      </c>
      <c r="Z347" s="55" t="str">
        <f ca="1">DATEDIF(X347,TODAY(),"y")&amp;" Tahun "&amp;DATEDIF(X347,TODAY(),"ym")&amp;" Bulan "&amp;DATEDIF(X347,TODAY(),"md")&amp;" Hari"</f>
        <v>4 Tahun 9 Bulan 30 Hari</v>
      </c>
      <c r="AA347" s="55" t="s">
        <v>260</v>
      </c>
      <c r="AB347" s="56">
        <v>34798</v>
      </c>
      <c r="AC347" s="32" t="s">
        <v>2742</v>
      </c>
      <c r="AD347" s="57" t="str">
        <f t="shared" ca="1" si="22"/>
        <v xml:space="preserve">30 Tahun 6 Bulan </v>
      </c>
      <c r="AE347" s="33" t="s">
        <v>1106</v>
      </c>
      <c r="AF347" s="71"/>
      <c r="AG347" s="58" t="s">
        <v>1811</v>
      </c>
      <c r="AH347" s="22"/>
      <c r="AI347" s="22"/>
      <c r="AJ347" s="22"/>
      <c r="AK347" s="33" t="s">
        <v>485</v>
      </c>
      <c r="AL347" s="36"/>
    </row>
    <row r="348" spans="1:39" ht="14.45" customHeight="1" x14ac:dyDescent="0.25">
      <c r="A348" s="17">
        <v>10</v>
      </c>
      <c r="B348" s="52"/>
      <c r="C348" s="50" t="s">
        <v>2743</v>
      </c>
      <c r="D348" s="20" t="s">
        <v>2744</v>
      </c>
      <c r="E348" s="52" t="s">
        <v>56</v>
      </c>
      <c r="F348" s="22" t="s">
        <v>41</v>
      </c>
      <c r="G348" s="23" t="s">
        <v>227</v>
      </c>
      <c r="H348" s="22" t="s">
        <v>228</v>
      </c>
      <c r="I348" s="22" t="s">
        <v>44</v>
      </c>
      <c r="J348" s="22" t="s">
        <v>1104</v>
      </c>
      <c r="K348" s="77">
        <v>44621</v>
      </c>
      <c r="L348" s="25"/>
      <c r="M348" s="26"/>
      <c r="N348" s="26"/>
      <c r="O348" s="27"/>
      <c r="P348" s="28"/>
      <c r="Q348" s="29"/>
      <c r="R348" s="26"/>
      <c r="S348" s="23" t="s">
        <v>84</v>
      </c>
      <c r="T348" s="23">
        <v>2017</v>
      </c>
      <c r="U348" s="23"/>
      <c r="V348" s="23"/>
      <c r="W348" s="77">
        <v>44621</v>
      </c>
      <c r="X348" s="77">
        <v>44621</v>
      </c>
      <c r="Y348" s="77">
        <v>44621</v>
      </c>
      <c r="Z348" s="55" t="str">
        <f ca="1">DATEDIF(X348,TODAY(),"y")&amp;" Tahun "&amp;DATEDIF(X348,TODAY(),"ym")&amp;" Bulan "&amp;DATEDIF(X348,TODAY(),"md")&amp;" Hari"</f>
        <v>3 Tahun 7 Bulan 30 Hari</v>
      </c>
      <c r="AA348" s="55" t="s">
        <v>1178</v>
      </c>
      <c r="AB348" s="56">
        <v>34429</v>
      </c>
      <c r="AC348" s="32" t="s">
        <v>2745</v>
      </c>
      <c r="AD348" s="57" t="str">
        <f t="shared" ca="1" si="22"/>
        <v xml:space="preserve">31 Tahun 6 Bulan </v>
      </c>
      <c r="AE348" s="33" t="s">
        <v>1106</v>
      </c>
      <c r="AF348" s="71"/>
      <c r="AG348" s="58" t="s">
        <v>1811</v>
      </c>
      <c r="AH348" s="22"/>
      <c r="AI348" s="22"/>
      <c r="AJ348" s="60"/>
      <c r="AK348" s="61"/>
      <c r="AL348" s="36"/>
    </row>
    <row r="349" spans="1:39" ht="14.45" customHeight="1" x14ac:dyDescent="0.25">
      <c r="A349" s="17">
        <v>11</v>
      </c>
      <c r="B349" s="134"/>
      <c r="C349" s="50" t="s">
        <v>5775</v>
      </c>
      <c r="D349" s="20" t="s">
        <v>2746</v>
      </c>
      <c r="E349" s="52" t="s">
        <v>56</v>
      </c>
      <c r="F349" s="58" t="s">
        <v>238</v>
      </c>
      <c r="G349" s="23" t="s">
        <v>3872</v>
      </c>
      <c r="H349" s="22" t="s">
        <v>1078</v>
      </c>
      <c r="I349" s="22" t="s">
        <v>44</v>
      </c>
      <c r="J349" s="22" t="s">
        <v>1293</v>
      </c>
      <c r="K349" s="22"/>
      <c r="L349" s="25" t="s">
        <v>2747</v>
      </c>
      <c r="M349" s="26">
        <v>42131</v>
      </c>
      <c r="N349" s="26">
        <v>43956</v>
      </c>
      <c r="O349" s="27" t="s">
        <v>148</v>
      </c>
      <c r="P349" s="53" t="s">
        <v>2748</v>
      </c>
      <c r="Q349" s="26">
        <v>43004</v>
      </c>
      <c r="R349" s="26">
        <v>43956</v>
      </c>
      <c r="S349" s="23" t="s">
        <v>1172</v>
      </c>
      <c r="T349" s="23"/>
      <c r="U349" s="23"/>
      <c r="V349" s="23"/>
      <c r="W349" s="77">
        <v>45383</v>
      </c>
      <c r="X349" s="30">
        <v>40330</v>
      </c>
      <c r="Y349" s="30">
        <v>40360</v>
      </c>
      <c r="Z349" s="55" t="str">
        <f ca="1">DATEDIF(X349,TODAY(),"y")&amp;" Tahun "&amp;DATEDIF(X349,TODAY(),"ym")&amp;" Bulan "&amp;DATEDIF(X349,TODAY(),"md")&amp;" Hari"</f>
        <v>15 Tahun 4 Bulan 30 Hari</v>
      </c>
      <c r="AA349" s="55" t="s">
        <v>76</v>
      </c>
      <c r="AB349" s="56">
        <v>32633</v>
      </c>
      <c r="AC349" s="31" t="s">
        <v>2749</v>
      </c>
      <c r="AD349" s="57" t="str">
        <f t="shared" ca="1" si="22"/>
        <v xml:space="preserve">36 Tahun 5 Bulan </v>
      </c>
      <c r="AE349" s="33" t="s">
        <v>1106</v>
      </c>
      <c r="AF349" s="71"/>
      <c r="AG349" s="58" t="s">
        <v>1811</v>
      </c>
      <c r="AH349" s="22"/>
      <c r="AI349" s="22"/>
      <c r="AJ349" s="22"/>
      <c r="AK349" s="33" t="s">
        <v>314</v>
      </c>
      <c r="AL349" s="36"/>
      <c r="AM349" s="14"/>
    </row>
    <row r="350" spans="1:39" ht="14.45" customHeight="1" x14ac:dyDescent="0.25">
      <c r="A350" s="17">
        <v>12</v>
      </c>
      <c r="B350" s="78"/>
      <c r="C350" s="50" t="s">
        <v>5776</v>
      </c>
      <c r="D350" s="20" t="s">
        <v>2750</v>
      </c>
      <c r="E350" s="22" t="s">
        <v>56</v>
      </c>
      <c r="F350" s="22" t="s">
        <v>238</v>
      </c>
      <c r="G350" s="33" t="s">
        <v>3872</v>
      </c>
      <c r="H350" s="22" t="s">
        <v>1078</v>
      </c>
      <c r="I350" s="22" t="s">
        <v>44</v>
      </c>
      <c r="J350" s="22" t="s">
        <v>1293</v>
      </c>
      <c r="K350" s="30"/>
      <c r="L350" s="25" t="s">
        <v>2751</v>
      </c>
      <c r="M350" s="26">
        <v>42369</v>
      </c>
      <c r="N350" s="26">
        <v>43876</v>
      </c>
      <c r="O350" s="27" t="s">
        <v>148</v>
      </c>
      <c r="P350" s="53" t="s">
        <v>2752</v>
      </c>
      <c r="Q350" s="26">
        <v>42774</v>
      </c>
      <c r="R350" s="26">
        <v>43876</v>
      </c>
      <c r="S350" s="33" t="s">
        <v>1172</v>
      </c>
      <c r="T350" s="33"/>
      <c r="U350" s="33"/>
      <c r="V350" s="33"/>
      <c r="W350" s="30">
        <v>45383</v>
      </c>
      <c r="X350" s="30">
        <v>42370</v>
      </c>
      <c r="Y350" s="30">
        <v>42401</v>
      </c>
      <c r="Z350" s="31" t="str">
        <f ca="1">DATEDIF(X350,TODAY(),"y")&amp;" Tahun "&amp;DATEDIF(X350,TODAY(),"ym")&amp;" Bulan "&amp;DATEDIF(X350,TODAY(),"md")&amp;" Hari"</f>
        <v>9 Tahun 9 Bulan 30 Hari</v>
      </c>
      <c r="AA350" s="31" t="s">
        <v>128</v>
      </c>
      <c r="AB350" s="32">
        <v>34380</v>
      </c>
      <c r="AC350" s="31" t="s">
        <v>2753</v>
      </c>
      <c r="AD350" s="22" t="str">
        <f t="shared" ca="1" si="22"/>
        <v xml:space="preserve">31 Tahun 8 Bulan </v>
      </c>
      <c r="AE350" s="33" t="s">
        <v>1106</v>
      </c>
      <c r="AF350" s="34"/>
      <c r="AG350" s="58" t="s">
        <v>1811</v>
      </c>
      <c r="AH350" s="22"/>
      <c r="AI350" s="22"/>
      <c r="AJ350" s="22"/>
      <c r="AK350" s="33"/>
      <c r="AL350" s="36"/>
    </row>
    <row r="351" spans="1:39" ht="14.45" customHeight="1" x14ac:dyDescent="0.25">
      <c r="A351" s="17">
        <v>13</v>
      </c>
      <c r="B351" s="78"/>
      <c r="C351" s="50" t="s">
        <v>2757</v>
      </c>
      <c r="D351" s="20" t="s">
        <v>2758</v>
      </c>
      <c r="E351" s="21" t="s">
        <v>56</v>
      </c>
      <c r="F351" s="22" t="s">
        <v>41</v>
      </c>
      <c r="G351" s="23" t="s">
        <v>137</v>
      </c>
      <c r="H351" s="22" t="s">
        <v>138</v>
      </c>
      <c r="I351" s="22" t="s">
        <v>44</v>
      </c>
      <c r="J351" s="22" t="s">
        <v>1166</v>
      </c>
      <c r="K351" s="24">
        <v>44105</v>
      </c>
      <c r="L351" s="53" t="s">
        <v>2759</v>
      </c>
      <c r="M351" s="26">
        <v>43117</v>
      </c>
      <c r="N351" s="26">
        <v>45076</v>
      </c>
      <c r="O351" s="27" t="s">
        <v>148</v>
      </c>
      <c r="P351" s="53" t="s">
        <v>2760</v>
      </c>
      <c r="Q351" s="26">
        <v>43322</v>
      </c>
      <c r="R351" s="29">
        <v>45076</v>
      </c>
      <c r="S351" s="23" t="s">
        <v>1167</v>
      </c>
      <c r="T351" s="23"/>
      <c r="U351" s="23"/>
      <c r="V351" s="23"/>
      <c r="W351" s="30">
        <v>37956</v>
      </c>
      <c r="X351" s="30">
        <v>37956</v>
      </c>
      <c r="Y351" s="22"/>
      <c r="Z351" s="31" t="str">
        <f ca="1">DATEDIF(W351,TODAY(),"y")&amp;" Tahun "&amp;DATEDIF(W351,TODAY(),"ym")&amp;" Bulan "&amp;DATEDIF(W351,TODAY(),"md")&amp;" Hari"</f>
        <v>21 Tahun 10 Bulan 30 Hari</v>
      </c>
      <c r="AA351" s="31" t="s">
        <v>50</v>
      </c>
      <c r="AB351" s="32">
        <v>30101</v>
      </c>
      <c r="AC351" s="31" t="s">
        <v>2761</v>
      </c>
      <c r="AD351" s="22" t="str">
        <f t="shared" ca="1" si="22"/>
        <v xml:space="preserve">43 Tahun 5 Bulan </v>
      </c>
      <c r="AE351" s="33" t="s">
        <v>1106</v>
      </c>
      <c r="AF351" s="34"/>
      <c r="AG351" s="58" t="s">
        <v>1811</v>
      </c>
      <c r="AH351" s="22"/>
      <c r="AI351" s="22"/>
      <c r="AJ351" s="22"/>
      <c r="AK351" s="33"/>
      <c r="AL351" s="36"/>
    </row>
    <row r="352" spans="1:39" ht="14.45" customHeight="1" x14ac:dyDescent="0.25">
      <c r="A352" s="17">
        <v>14</v>
      </c>
      <c r="B352" s="78"/>
      <c r="C352" s="50" t="s">
        <v>2762</v>
      </c>
      <c r="D352" s="62">
        <v>2023110680</v>
      </c>
      <c r="E352" s="21" t="s">
        <v>56</v>
      </c>
      <c r="F352" s="22" t="s">
        <v>1063</v>
      </c>
      <c r="G352" s="23" t="s">
        <v>3872</v>
      </c>
      <c r="H352" s="22" t="s">
        <v>3872</v>
      </c>
      <c r="I352" s="22"/>
      <c r="J352" s="22"/>
      <c r="K352" s="30"/>
      <c r="L352" s="25"/>
      <c r="M352" s="29"/>
      <c r="N352" s="26"/>
      <c r="O352" s="27"/>
      <c r="P352" s="28"/>
      <c r="Q352" s="29"/>
      <c r="R352" s="26"/>
      <c r="S352" s="23" t="s">
        <v>84</v>
      </c>
      <c r="T352" s="23">
        <v>2019</v>
      </c>
      <c r="U352" s="23"/>
      <c r="V352" s="23"/>
      <c r="W352" s="30"/>
      <c r="X352" s="30">
        <v>45231</v>
      </c>
      <c r="Y352" s="30">
        <v>45231</v>
      </c>
      <c r="Z352" s="31" t="str">
        <f t="shared" ref="Z352:Z361" ca="1" si="26">DATEDIF(X352,TODAY(),"y")&amp;" Tahun "&amp;DATEDIF(X352,TODAY(),"ym")&amp;" Bulan "&amp;DATEDIF(X352,TODAY(),"md")&amp;" Hari"</f>
        <v>1 Tahun 11 Bulan 30 Hari</v>
      </c>
      <c r="AA352" s="31" t="s">
        <v>128</v>
      </c>
      <c r="AB352" s="32">
        <v>34945</v>
      </c>
      <c r="AC352" s="31" t="s">
        <v>2763</v>
      </c>
      <c r="AD352" s="22" t="str">
        <f t="shared" ca="1" si="22"/>
        <v xml:space="preserve">30 Tahun 1 Bulan </v>
      </c>
      <c r="AE352" s="33" t="s">
        <v>1106</v>
      </c>
      <c r="AF352" s="34"/>
      <c r="AG352" s="58" t="s">
        <v>1811</v>
      </c>
      <c r="AH352" s="22"/>
      <c r="AI352" s="22"/>
      <c r="AJ352" s="22"/>
      <c r="AK352" s="33"/>
      <c r="AL352" s="36"/>
    </row>
    <row r="353" spans="1:39" ht="14.45" customHeight="1" x14ac:dyDescent="0.25">
      <c r="A353" s="17">
        <v>15</v>
      </c>
      <c r="B353" s="78"/>
      <c r="C353" s="50" t="s">
        <v>2764</v>
      </c>
      <c r="D353" s="20">
        <v>2024080756</v>
      </c>
      <c r="E353" s="21" t="s">
        <v>40</v>
      </c>
      <c r="F353" s="22" t="s">
        <v>1063</v>
      </c>
      <c r="G353" s="23" t="s">
        <v>3872</v>
      </c>
      <c r="H353" s="22" t="s">
        <v>3872</v>
      </c>
      <c r="I353" s="22"/>
      <c r="J353" s="22"/>
      <c r="K353" s="30"/>
      <c r="L353" s="53"/>
      <c r="M353" s="26"/>
      <c r="N353" s="26"/>
      <c r="O353" s="27"/>
      <c r="P353" s="53"/>
      <c r="Q353" s="26"/>
      <c r="R353" s="29"/>
      <c r="S353" s="23" t="s">
        <v>84</v>
      </c>
      <c r="T353" s="23"/>
      <c r="U353" s="23"/>
      <c r="V353" s="23"/>
      <c r="W353" s="30"/>
      <c r="X353" s="30">
        <v>45505</v>
      </c>
      <c r="Y353" s="30">
        <v>45505</v>
      </c>
      <c r="Z353" s="31" t="str">
        <f t="shared" ca="1" si="26"/>
        <v>1 Tahun 2 Bulan 30 Hari</v>
      </c>
      <c r="AA353" s="31" t="s">
        <v>76</v>
      </c>
      <c r="AB353" s="32">
        <v>36290</v>
      </c>
      <c r="AC353" s="31" t="s">
        <v>2765</v>
      </c>
      <c r="AD353" s="22" t="str">
        <f t="shared" ca="1" si="22"/>
        <v xml:space="preserve">26 Tahun 5 Bulan </v>
      </c>
      <c r="AE353" s="33" t="s">
        <v>1106</v>
      </c>
      <c r="AF353" s="34"/>
      <c r="AG353" s="58" t="s">
        <v>1811</v>
      </c>
      <c r="AH353" s="22"/>
      <c r="AI353" s="22"/>
      <c r="AJ353" s="22"/>
      <c r="AK353" s="33" t="s">
        <v>1421</v>
      </c>
      <c r="AL353" s="36"/>
      <c r="AM353" s="14"/>
    </row>
    <row r="354" spans="1:39" ht="14.45" customHeight="1" x14ac:dyDescent="0.25">
      <c r="A354" s="17">
        <v>16</v>
      </c>
      <c r="B354" s="78"/>
      <c r="C354" s="50" t="s">
        <v>5777</v>
      </c>
      <c r="D354" s="20">
        <v>2024080760</v>
      </c>
      <c r="E354" s="21" t="s">
        <v>56</v>
      </c>
      <c r="F354" s="22" t="s">
        <v>1063</v>
      </c>
      <c r="G354" s="23" t="s">
        <v>3872</v>
      </c>
      <c r="H354" s="22" t="s">
        <v>3872</v>
      </c>
      <c r="I354" s="22"/>
      <c r="J354" s="22"/>
      <c r="K354" s="30"/>
      <c r="L354" s="53"/>
      <c r="M354" s="26"/>
      <c r="N354" s="26"/>
      <c r="O354" s="27"/>
      <c r="P354" s="53"/>
      <c r="Q354" s="26"/>
      <c r="R354" s="29"/>
      <c r="S354" s="23" t="s">
        <v>84</v>
      </c>
      <c r="T354" s="23"/>
      <c r="U354" s="23"/>
      <c r="V354" s="23"/>
      <c r="W354" s="30"/>
      <c r="X354" s="30">
        <v>45505</v>
      </c>
      <c r="Y354" s="30">
        <v>45505</v>
      </c>
      <c r="Z354" s="31" t="str">
        <f t="shared" ca="1" si="26"/>
        <v>1 Tahun 2 Bulan 30 Hari</v>
      </c>
      <c r="AA354" s="31" t="s">
        <v>76</v>
      </c>
      <c r="AB354" s="32">
        <v>35263</v>
      </c>
      <c r="AC354" s="31" t="s">
        <v>2766</v>
      </c>
      <c r="AD354" s="22" t="str">
        <f t="shared" ca="1" si="22"/>
        <v xml:space="preserve">29 Tahun 3 Bulan </v>
      </c>
      <c r="AE354" s="33" t="s">
        <v>1106</v>
      </c>
      <c r="AF354" s="34"/>
      <c r="AG354" s="58" t="s">
        <v>1811</v>
      </c>
      <c r="AH354" s="22"/>
      <c r="AI354" s="22"/>
      <c r="AJ354" s="22"/>
      <c r="AK354" s="33" t="s">
        <v>1421</v>
      </c>
      <c r="AL354" s="36"/>
      <c r="AM354" s="14"/>
    </row>
    <row r="355" spans="1:39" ht="14.45" customHeight="1" x14ac:dyDescent="0.25">
      <c r="A355" s="17">
        <v>17</v>
      </c>
      <c r="B355" s="78"/>
      <c r="C355" s="50" t="s">
        <v>5778</v>
      </c>
      <c r="D355" s="20">
        <v>2024080762</v>
      </c>
      <c r="E355" s="21" t="s">
        <v>40</v>
      </c>
      <c r="F355" s="22" t="s">
        <v>1063</v>
      </c>
      <c r="G355" s="23" t="s">
        <v>3872</v>
      </c>
      <c r="H355" s="22" t="s">
        <v>3872</v>
      </c>
      <c r="I355" s="22"/>
      <c r="J355" s="22"/>
      <c r="K355" s="30"/>
      <c r="L355" s="53"/>
      <c r="M355" s="26"/>
      <c r="N355" s="26"/>
      <c r="O355" s="27"/>
      <c r="P355" s="53"/>
      <c r="Q355" s="26"/>
      <c r="R355" s="29"/>
      <c r="S355" s="23" t="s">
        <v>84</v>
      </c>
      <c r="T355" s="23"/>
      <c r="U355" s="23"/>
      <c r="V355" s="23"/>
      <c r="W355" s="30"/>
      <c r="X355" s="30">
        <v>45505</v>
      </c>
      <c r="Y355" s="30">
        <v>45505</v>
      </c>
      <c r="Z355" s="31" t="str">
        <f t="shared" ca="1" si="26"/>
        <v>1 Tahun 2 Bulan 30 Hari</v>
      </c>
      <c r="AA355" s="31" t="s">
        <v>2767</v>
      </c>
      <c r="AB355" s="32">
        <v>34399</v>
      </c>
      <c r="AC355" s="31" t="s">
        <v>2768</v>
      </c>
      <c r="AD355" s="22" t="str">
        <f t="shared" ca="1" si="22"/>
        <v xml:space="preserve">31 Tahun 7 Bulan </v>
      </c>
      <c r="AE355" s="33" t="s">
        <v>1106</v>
      </c>
      <c r="AF355" s="34"/>
      <c r="AG355" s="58" t="s">
        <v>1811</v>
      </c>
      <c r="AH355" s="22"/>
      <c r="AI355" s="22"/>
      <c r="AJ355" s="22"/>
      <c r="AK355" s="33" t="s">
        <v>1421</v>
      </c>
      <c r="AL355" s="36"/>
      <c r="AM355" s="14"/>
    </row>
    <row r="356" spans="1:39" ht="14.45" customHeight="1" x14ac:dyDescent="0.25">
      <c r="A356" s="17">
        <v>18</v>
      </c>
      <c r="B356" s="78"/>
      <c r="C356" s="50" t="s">
        <v>2769</v>
      </c>
      <c r="D356" s="62">
        <v>2023110706</v>
      </c>
      <c r="E356" s="21" t="s">
        <v>56</v>
      </c>
      <c r="F356" s="22" t="s">
        <v>1063</v>
      </c>
      <c r="G356" s="23" t="s">
        <v>3872</v>
      </c>
      <c r="H356" s="22" t="s">
        <v>3872</v>
      </c>
      <c r="I356" s="22"/>
      <c r="J356" s="22"/>
      <c r="K356" s="30"/>
      <c r="L356" s="25"/>
      <c r="M356" s="29"/>
      <c r="N356" s="26"/>
      <c r="O356" s="27"/>
      <c r="P356" s="28"/>
      <c r="Q356" s="29"/>
      <c r="R356" s="26"/>
      <c r="S356" s="23" t="s">
        <v>1172</v>
      </c>
      <c r="T356" s="23">
        <v>2019</v>
      </c>
      <c r="U356" s="23"/>
      <c r="V356" s="23"/>
      <c r="W356" s="30"/>
      <c r="X356" s="30">
        <v>45231</v>
      </c>
      <c r="Y356" s="30">
        <v>45231</v>
      </c>
      <c r="Z356" s="31" t="str">
        <f t="shared" ca="1" si="26"/>
        <v>1 Tahun 11 Bulan 30 Hari</v>
      </c>
      <c r="AA356" s="31" t="s">
        <v>76</v>
      </c>
      <c r="AB356" s="32">
        <v>35859</v>
      </c>
      <c r="AC356" s="31" t="s">
        <v>2770</v>
      </c>
      <c r="AD356" s="22" t="str">
        <f t="shared" ca="1" si="22"/>
        <v xml:space="preserve">27 Tahun 7 Bulan </v>
      </c>
      <c r="AE356" s="33" t="s">
        <v>1106</v>
      </c>
      <c r="AF356" s="34"/>
      <c r="AG356" s="58" t="s">
        <v>1811</v>
      </c>
      <c r="AH356" s="22"/>
      <c r="AI356" s="22"/>
      <c r="AJ356" s="22"/>
      <c r="AK356" s="33" t="s">
        <v>485</v>
      </c>
      <c r="AL356" s="36"/>
    </row>
    <row r="357" spans="1:39" ht="14.45" customHeight="1" x14ac:dyDescent="0.25">
      <c r="A357" s="17">
        <v>19</v>
      </c>
      <c r="B357" s="78"/>
      <c r="C357" s="50" t="s">
        <v>2774</v>
      </c>
      <c r="D357" s="20" t="s">
        <v>2775</v>
      </c>
      <c r="E357" s="52" t="s">
        <v>56</v>
      </c>
      <c r="F357" s="58" t="s">
        <v>238</v>
      </c>
      <c r="G357" s="23" t="s">
        <v>3872</v>
      </c>
      <c r="H357" s="22" t="s">
        <v>1078</v>
      </c>
      <c r="I357" s="22" t="s">
        <v>44</v>
      </c>
      <c r="J357" s="22" t="s">
        <v>1293</v>
      </c>
      <c r="K357" s="22"/>
      <c r="L357" s="181" t="s">
        <v>2776</v>
      </c>
      <c r="M357" s="182">
        <v>41971</v>
      </c>
      <c r="N357" s="182">
        <v>43794</v>
      </c>
      <c r="O357" s="183" t="s">
        <v>148</v>
      </c>
      <c r="P357" s="184" t="s">
        <v>2777</v>
      </c>
      <c r="Q357" s="182">
        <v>42774</v>
      </c>
      <c r="R357" s="26">
        <v>43794</v>
      </c>
      <c r="S357" s="23" t="s">
        <v>1172</v>
      </c>
      <c r="T357" s="23"/>
      <c r="U357" s="23"/>
      <c r="V357" s="23"/>
      <c r="W357" s="77">
        <v>44986</v>
      </c>
      <c r="X357" s="30">
        <v>40330</v>
      </c>
      <c r="Y357" s="30">
        <v>40360</v>
      </c>
      <c r="Z357" s="55" t="str">
        <f t="shared" ca="1" si="26"/>
        <v>15 Tahun 4 Bulan 30 Hari</v>
      </c>
      <c r="AA357" s="66" t="s">
        <v>76</v>
      </c>
      <c r="AB357" s="56">
        <v>32106</v>
      </c>
      <c r="AC357" s="31" t="s">
        <v>2778</v>
      </c>
      <c r="AD357" s="57" t="str">
        <f t="shared" ca="1" si="22"/>
        <v xml:space="preserve">37 Tahun 11 Bulan </v>
      </c>
      <c r="AE357" s="33" t="s">
        <v>1106</v>
      </c>
      <c r="AF357" s="34"/>
      <c r="AG357" s="58" t="s">
        <v>1811</v>
      </c>
      <c r="AH357" s="22"/>
      <c r="AI357" s="22"/>
      <c r="AJ357" s="22"/>
      <c r="AK357" s="33" t="s">
        <v>1421</v>
      </c>
      <c r="AL357" s="36"/>
      <c r="AM357" s="14"/>
    </row>
    <row r="358" spans="1:39" ht="14.45" customHeight="1" x14ac:dyDescent="0.25">
      <c r="A358" s="17">
        <v>20</v>
      </c>
      <c r="B358" s="18"/>
      <c r="C358" s="50" t="s">
        <v>5779</v>
      </c>
      <c r="D358" s="20" t="s">
        <v>2779</v>
      </c>
      <c r="E358" s="21" t="s">
        <v>56</v>
      </c>
      <c r="F358" s="22" t="s">
        <v>192</v>
      </c>
      <c r="G358" s="23" t="s">
        <v>227</v>
      </c>
      <c r="H358" s="22" t="s">
        <v>228</v>
      </c>
      <c r="I358" s="22" t="s">
        <v>155</v>
      </c>
      <c r="J358" s="22" t="s">
        <v>1104</v>
      </c>
      <c r="K358" s="24" t="s">
        <v>195</v>
      </c>
      <c r="L358" s="22"/>
      <c r="M358" s="22"/>
      <c r="N358" s="22"/>
      <c r="O358" s="22"/>
      <c r="P358" s="22"/>
      <c r="Q358" s="22"/>
      <c r="R358" s="22"/>
      <c r="S358" s="23" t="s">
        <v>84</v>
      </c>
      <c r="T358" s="23"/>
      <c r="U358" s="23"/>
      <c r="V358" s="23"/>
      <c r="W358" s="69">
        <v>45809</v>
      </c>
      <c r="X358" s="69">
        <v>45810</v>
      </c>
      <c r="Y358" s="69">
        <v>45810</v>
      </c>
      <c r="Z358" s="31" t="str">
        <f t="shared" ca="1" si="26"/>
        <v>0 Tahun 4 Bulan 29 Hari</v>
      </c>
      <c r="AA358" s="23" t="s">
        <v>203</v>
      </c>
      <c r="AB358" s="32">
        <v>35909</v>
      </c>
      <c r="AC358" s="32" t="s">
        <v>2780</v>
      </c>
      <c r="AD358" s="22" t="str">
        <f t="shared" ca="1" si="22"/>
        <v xml:space="preserve">27 Tahun 6 Bulan </v>
      </c>
      <c r="AE358" s="33" t="s">
        <v>1106</v>
      </c>
      <c r="AF358" s="34"/>
      <c r="AG358" s="58" t="s">
        <v>1811</v>
      </c>
      <c r="AH358" s="22"/>
      <c r="AI358" s="22"/>
      <c r="AJ358" s="22"/>
      <c r="AK358" s="33" t="s">
        <v>200</v>
      </c>
      <c r="AL358" s="36"/>
    </row>
    <row r="359" spans="1:39" ht="14.45" customHeight="1" x14ac:dyDescent="0.25">
      <c r="A359" s="17">
        <v>21</v>
      </c>
      <c r="B359" s="18"/>
      <c r="C359" s="50" t="s">
        <v>5780</v>
      </c>
      <c r="D359" s="20" t="s">
        <v>2781</v>
      </c>
      <c r="E359" s="21" t="s">
        <v>56</v>
      </c>
      <c r="F359" s="22" t="s">
        <v>192</v>
      </c>
      <c r="G359" s="23" t="s">
        <v>227</v>
      </c>
      <c r="H359" s="22" t="s">
        <v>228</v>
      </c>
      <c r="I359" s="22" t="s">
        <v>155</v>
      </c>
      <c r="J359" s="22" t="s">
        <v>1104</v>
      </c>
      <c r="K359" s="24" t="s">
        <v>195</v>
      </c>
      <c r="L359" s="22"/>
      <c r="M359" s="22"/>
      <c r="N359" s="22"/>
      <c r="O359" s="22"/>
      <c r="P359" s="22"/>
      <c r="Q359" s="22"/>
      <c r="R359" s="22"/>
      <c r="S359" s="23" t="s">
        <v>84</v>
      </c>
      <c r="T359" s="23"/>
      <c r="U359" s="23"/>
      <c r="V359" s="23"/>
      <c r="W359" s="69">
        <v>45809</v>
      </c>
      <c r="X359" s="69">
        <v>45810</v>
      </c>
      <c r="Y359" s="69">
        <v>45810</v>
      </c>
      <c r="Z359" s="31" t="str">
        <f t="shared" ca="1" si="26"/>
        <v>0 Tahun 4 Bulan 29 Hari</v>
      </c>
      <c r="AA359" s="23" t="s">
        <v>2782</v>
      </c>
      <c r="AB359" s="32">
        <v>35826</v>
      </c>
      <c r="AC359" s="32" t="s">
        <v>2783</v>
      </c>
      <c r="AD359" s="22" t="str">
        <f t="shared" ca="1" si="22"/>
        <v xml:space="preserve">27 Tahun 9 Bulan </v>
      </c>
      <c r="AE359" s="33" t="s">
        <v>1106</v>
      </c>
      <c r="AF359" s="34"/>
      <c r="AG359" s="58" t="s">
        <v>1811</v>
      </c>
      <c r="AH359" s="22"/>
      <c r="AI359" s="22"/>
      <c r="AJ359" s="22"/>
      <c r="AK359" s="33" t="s">
        <v>200</v>
      </c>
      <c r="AL359" s="36"/>
    </row>
    <row r="360" spans="1:39" ht="14.45" customHeight="1" x14ac:dyDescent="0.25">
      <c r="A360" s="17">
        <v>22</v>
      </c>
      <c r="B360" s="18"/>
      <c r="C360" s="50" t="s">
        <v>5781</v>
      </c>
      <c r="D360" s="20" t="s">
        <v>2784</v>
      </c>
      <c r="E360" s="21" t="s">
        <v>56</v>
      </c>
      <c r="F360" s="22" t="s">
        <v>192</v>
      </c>
      <c r="G360" s="23" t="s">
        <v>227</v>
      </c>
      <c r="H360" s="22" t="s">
        <v>228</v>
      </c>
      <c r="I360" s="22" t="s">
        <v>155</v>
      </c>
      <c r="J360" s="22" t="s">
        <v>1104</v>
      </c>
      <c r="K360" s="24" t="s">
        <v>195</v>
      </c>
      <c r="L360" s="22"/>
      <c r="M360" s="22"/>
      <c r="N360" s="22"/>
      <c r="O360" s="22"/>
      <c r="P360" s="22"/>
      <c r="Q360" s="22"/>
      <c r="R360" s="22"/>
      <c r="S360" s="23" t="s">
        <v>84</v>
      </c>
      <c r="T360" s="23"/>
      <c r="U360" s="23"/>
      <c r="V360" s="23"/>
      <c r="W360" s="69">
        <v>45809</v>
      </c>
      <c r="X360" s="69">
        <v>45810</v>
      </c>
      <c r="Y360" s="69">
        <v>45810</v>
      </c>
      <c r="Z360" s="31" t="str">
        <f t="shared" ca="1" si="26"/>
        <v>0 Tahun 4 Bulan 29 Hari</v>
      </c>
      <c r="AA360" s="23" t="s">
        <v>1048</v>
      </c>
      <c r="AB360" s="32">
        <v>35875</v>
      </c>
      <c r="AC360" s="32" t="s">
        <v>2785</v>
      </c>
      <c r="AD360" s="22" t="str">
        <f t="shared" ref="AD360:AD423" ca="1" si="27">DATEDIF(AB360,TODAY(),"y")&amp;" Tahun "&amp;DATEDIF(AB360,TODAY(),"ym")&amp;" Bulan "</f>
        <v xml:space="preserve">27 Tahun 7 Bulan </v>
      </c>
      <c r="AE360" s="33" t="s">
        <v>1106</v>
      </c>
      <c r="AF360" s="34"/>
      <c r="AG360" s="58" t="s">
        <v>1811</v>
      </c>
      <c r="AH360" s="22"/>
      <c r="AI360" s="22"/>
      <c r="AJ360" s="22"/>
      <c r="AK360" s="33" t="s">
        <v>200</v>
      </c>
      <c r="AL360" s="36"/>
    </row>
    <row r="361" spans="1:39" ht="14.45" customHeight="1" x14ac:dyDescent="0.25">
      <c r="A361" s="17">
        <v>23</v>
      </c>
      <c r="B361" s="18"/>
      <c r="C361" s="50" t="s">
        <v>5782</v>
      </c>
      <c r="D361" s="20" t="s">
        <v>1804</v>
      </c>
      <c r="E361" s="21" t="s">
        <v>56</v>
      </c>
      <c r="F361" s="22" t="s">
        <v>192</v>
      </c>
      <c r="G361" s="23" t="s">
        <v>227</v>
      </c>
      <c r="H361" s="22" t="s">
        <v>228</v>
      </c>
      <c r="I361" s="22" t="s">
        <v>155</v>
      </c>
      <c r="J361" s="22" t="s">
        <v>1104</v>
      </c>
      <c r="K361" s="24" t="s">
        <v>195</v>
      </c>
      <c r="L361" s="22"/>
      <c r="M361" s="22"/>
      <c r="N361" s="22"/>
      <c r="O361" s="22"/>
      <c r="P361" s="22"/>
      <c r="Q361" s="22"/>
      <c r="R361" s="22"/>
      <c r="S361" s="23" t="s">
        <v>84</v>
      </c>
      <c r="T361" s="23"/>
      <c r="U361" s="23"/>
      <c r="V361" s="23"/>
      <c r="W361" s="69">
        <v>45809</v>
      </c>
      <c r="X361" s="69">
        <v>45810</v>
      </c>
      <c r="Y361" s="69">
        <v>45810</v>
      </c>
      <c r="Z361" s="31" t="str">
        <f t="shared" ca="1" si="26"/>
        <v>0 Tahun 4 Bulan 29 Hari</v>
      </c>
      <c r="AA361" s="23" t="s">
        <v>203</v>
      </c>
      <c r="AB361" s="32">
        <v>35443</v>
      </c>
      <c r="AC361" s="32" t="s">
        <v>1805</v>
      </c>
      <c r="AD361" s="22" t="str">
        <f t="shared" ca="1" si="27"/>
        <v xml:space="preserve">28 Tahun 9 Bulan </v>
      </c>
      <c r="AE361" s="33" t="s">
        <v>1106</v>
      </c>
      <c r="AF361" s="34"/>
      <c r="AG361" s="58" t="s">
        <v>1811</v>
      </c>
      <c r="AH361" s="22"/>
      <c r="AI361" s="22"/>
      <c r="AJ361" s="22"/>
      <c r="AK361" s="33" t="s">
        <v>200</v>
      </c>
      <c r="AL361" s="36"/>
    </row>
    <row r="362" spans="1:39" ht="14.45" customHeight="1" x14ac:dyDescent="0.25">
      <c r="A362" s="17">
        <v>24</v>
      </c>
      <c r="B362" s="134"/>
      <c r="C362" s="19" t="s">
        <v>1883</v>
      </c>
      <c r="D362" s="20" t="s">
        <v>1884</v>
      </c>
      <c r="E362" s="52" t="s">
        <v>56</v>
      </c>
      <c r="F362" s="58" t="s">
        <v>41</v>
      </c>
      <c r="G362" s="89" t="s">
        <v>137</v>
      </c>
      <c r="H362" s="22" t="s">
        <v>138</v>
      </c>
      <c r="I362" s="58" t="s">
        <v>44</v>
      </c>
      <c r="J362" s="22" t="s">
        <v>1148</v>
      </c>
      <c r="K362" s="24">
        <v>45870</v>
      </c>
      <c r="L362" s="53" t="s">
        <v>1885</v>
      </c>
      <c r="M362" s="26">
        <v>43145</v>
      </c>
      <c r="N362" s="26">
        <v>45084</v>
      </c>
      <c r="O362" s="27" t="s">
        <v>148</v>
      </c>
      <c r="P362" s="53" t="s">
        <v>1886</v>
      </c>
      <c r="Q362" s="26">
        <v>43242</v>
      </c>
      <c r="R362" s="26">
        <v>45084</v>
      </c>
      <c r="S362" s="23" t="s">
        <v>84</v>
      </c>
      <c r="T362" s="23">
        <v>2021</v>
      </c>
      <c r="U362" s="23"/>
      <c r="V362" s="23"/>
      <c r="W362" s="30">
        <v>40513</v>
      </c>
      <c r="X362" s="30">
        <v>40664</v>
      </c>
      <c r="Y362" s="30">
        <v>40664</v>
      </c>
      <c r="Z362" s="55" t="str">
        <f ca="1">DATEDIF(W362,TODAY(),"y")&amp;" Tahun "&amp;DATEDIF(W362,TODAY(),"ym")&amp;" Bulan "&amp;DATEDIF(W362,TODAY(),"md")&amp;" Hari"</f>
        <v>14 Tahun 10 Bulan 30 Hari</v>
      </c>
      <c r="AA362" s="55" t="s">
        <v>76</v>
      </c>
      <c r="AB362" s="56">
        <v>31205</v>
      </c>
      <c r="AC362" s="32" t="s">
        <v>1887</v>
      </c>
      <c r="AD362" s="57" t="str">
        <f t="shared" ca="1" si="27"/>
        <v xml:space="preserve">40 Tahun 4 Bulan </v>
      </c>
      <c r="AE362" s="33" t="s">
        <v>1151</v>
      </c>
      <c r="AF362" s="71"/>
      <c r="AG362" s="58" t="s">
        <v>1888</v>
      </c>
      <c r="AH362" s="22"/>
      <c r="AI362" s="22"/>
      <c r="AJ362" s="22"/>
      <c r="AK362" s="33" t="s">
        <v>200</v>
      </c>
      <c r="AL362" s="36"/>
    </row>
    <row r="363" spans="1:39" ht="14.45" customHeight="1" x14ac:dyDescent="0.25">
      <c r="A363" s="17">
        <v>1</v>
      </c>
      <c r="B363" s="117"/>
      <c r="C363" s="50" t="s">
        <v>1889</v>
      </c>
      <c r="D363" s="20" t="s">
        <v>1890</v>
      </c>
      <c r="E363" s="52" t="s">
        <v>40</v>
      </c>
      <c r="F363" s="60" t="s">
        <v>41</v>
      </c>
      <c r="G363" s="23" t="s">
        <v>42</v>
      </c>
      <c r="H363" s="22" t="s">
        <v>43</v>
      </c>
      <c r="I363" s="87" t="s">
        <v>44</v>
      </c>
      <c r="J363" s="87" t="s">
        <v>148</v>
      </c>
      <c r="K363" s="24">
        <v>45200</v>
      </c>
      <c r="L363" s="53" t="s">
        <v>1891</v>
      </c>
      <c r="M363" s="26">
        <v>42683</v>
      </c>
      <c r="N363" s="26">
        <v>44448</v>
      </c>
      <c r="O363" s="40" t="s">
        <v>1162</v>
      </c>
      <c r="P363" s="53" t="s">
        <v>1892</v>
      </c>
      <c r="Q363" s="26">
        <v>43071</v>
      </c>
      <c r="R363" s="26">
        <v>44448</v>
      </c>
      <c r="S363" s="23" t="s">
        <v>84</v>
      </c>
      <c r="T363" s="23"/>
      <c r="U363" s="23"/>
      <c r="V363" s="23"/>
      <c r="W363" s="30">
        <v>33664</v>
      </c>
      <c r="X363" s="30">
        <v>33848</v>
      </c>
      <c r="Y363" s="30">
        <v>41730</v>
      </c>
      <c r="Z363" s="55" t="str">
        <f ca="1">DATEDIF(W363,TODAY(),"y")&amp;" Tahun "&amp;DATEDIF(W363,TODAY(),"ym")&amp;" Bulan "&amp;DATEDIF(W363,TODAY(),"md")&amp;" Hari"</f>
        <v>33 Tahun 7 Bulan 30 Hari</v>
      </c>
      <c r="AA363" s="55" t="s">
        <v>1893</v>
      </c>
      <c r="AB363" s="56">
        <v>25820</v>
      </c>
      <c r="AC363" s="31" t="s">
        <v>1894</v>
      </c>
      <c r="AD363" s="57" t="str">
        <f t="shared" ca="1" si="27"/>
        <v xml:space="preserve">55 Tahun 1 Bulan </v>
      </c>
      <c r="AE363" s="33" t="s">
        <v>1158</v>
      </c>
      <c r="AF363" s="34"/>
      <c r="AG363" s="58" t="s">
        <v>1888</v>
      </c>
      <c r="AH363" s="58"/>
      <c r="AI363" s="58"/>
      <c r="AJ363" s="58"/>
      <c r="AK363" s="33"/>
      <c r="AL363" s="36"/>
    </row>
    <row r="364" spans="1:39" ht="14.45" customHeight="1" x14ac:dyDescent="0.25">
      <c r="A364" s="17">
        <v>2</v>
      </c>
      <c r="B364" s="78"/>
      <c r="C364" s="50" t="s">
        <v>1895</v>
      </c>
      <c r="D364" s="20" t="s">
        <v>1896</v>
      </c>
      <c r="E364" s="52" t="s">
        <v>56</v>
      </c>
      <c r="F364" s="22" t="s">
        <v>41</v>
      </c>
      <c r="G364" s="23" t="s">
        <v>193</v>
      </c>
      <c r="H364" s="22" t="s">
        <v>194</v>
      </c>
      <c r="I364" s="22" t="s">
        <v>44</v>
      </c>
      <c r="J364" s="22" t="s">
        <v>1559</v>
      </c>
      <c r="K364" s="24">
        <v>45870</v>
      </c>
      <c r="L364" s="25" t="s">
        <v>1897</v>
      </c>
      <c r="M364" s="26">
        <v>42290</v>
      </c>
      <c r="N364" s="26">
        <v>43949</v>
      </c>
      <c r="O364" s="27" t="s">
        <v>148</v>
      </c>
      <c r="P364" s="28" t="s">
        <v>1898</v>
      </c>
      <c r="Q364" s="29">
        <v>43151</v>
      </c>
      <c r="R364" s="26">
        <v>43949</v>
      </c>
      <c r="S364" s="23" t="s">
        <v>1172</v>
      </c>
      <c r="T364" s="23">
        <v>2008</v>
      </c>
      <c r="U364" s="23"/>
      <c r="V364" s="23"/>
      <c r="W364" s="30">
        <v>43497</v>
      </c>
      <c r="X364" s="30">
        <v>39965</v>
      </c>
      <c r="Y364" s="30">
        <v>39965</v>
      </c>
      <c r="Z364" s="55" t="str">
        <f t="shared" ref="Z364:Z382" ca="1" si="28">DATEDIF(X364,TODAY(),"y")&amp;" Tahun "&amp;DATEDIF(X364,TODAY(),"ym")&amp;" Bulan "&amp;DATEDIF(X364,TODAY(),"md")&amp;" Hari"</f>
        <v>16 Tahun 4 Bulan 30 Hari</v>
      </c>
      <c r="AA364" s="55" t="s">
        <v>76</v>
      </c>
      <c r="AB364" s="56">
        <v>31895</v>
      </c>
      <c r="AC364" s="32" t="s">
        <v>1899</v>
      </c>
      <c r="AD364" s="57" t="str">
        <f t="shared" ca="1" si="27"/>
        <v xml:space="preserve">38 Tahun 6 Bulan </v>
      </c>
      <c r="AE364" s="33" t="s">
        <v>1158</v>
      </c>
      <c r="AF364" s="34"/>
      <c r="AG364" s="58" t="s">
        <v>1888</v>
      </c>
      <c r="AH364" s="22"/>
      <c r="AI364" s="22"/>
      <c r="AJ364" s="22"/>
      <c r="AK364" s="33"/>
      <c r="AL364" s="36"/>
    </row>
    <row r="365" spans="1:39" ht="14.45" customHeight="1" x14ac:dyDescent="0.25">
      <c r="A365" s="17">
        <v>3</v>
      </c>
      <c r="B365" s="52"/>
      <c r="C365" s="50" t="s">
        <v>1900</v>
      </c>
      <c r="D365" s="20" t="s">
        <v>1901</v>
      </c>
      <c r="E365" s="52" t="s">
        <v>56</v>
      </c>
      <c r="F365" s="22" t="s">
        <v>41</v>
      </c>
      <c r="G365" s="23" t="s">
        <v>227</v>
      </c>
      <c r="H365" s="22" t="s">
        <v>228</v>
      </c>
      <c r="I365" s="22" t="s">
        <v>44</v>
      </c>
      <c r="J365" s="22" t="s">
        <v>1104</v>
      </c>
      <c r="K365" s="77">
        <v>44621</v>
      </c>
      <c r="L365" s="25"/>
      <c r="M365" s="26"/>
      <c r="N365" s="26"/>
      <c r="O365" s="27"/>
      <c r="P365" s="28"/>
      <c r="Q365" s="29"/>
      <c r="R365" s="26"/>
      <c r="S365" s="23" t="s">
        <v>84</v>
      </c>
      <c r="T365" s="23">
        <v>2020</v>
      </c>
      <c r="U365" s="23"/>
      <c r="V365" s="23"/>
      <c r="W365" s="77">
        <v>44621</v>
      </c>
      <c r="X365" s="77">
        <v>44621</v>
      </c>
      <c r="Y365" s="77">
        <v>44621</v>
      </c>
      <c r="Z365" s="55" t="str">
        <f t="shared" ca="1" si="28"/>
        <v>3 Tahun 7 Bulan 30 Hari</v>
      </c>
      <c r="AA365" s="55" t="s">
        <v>697</v>
      </c>
      <c r="AB365" s="56">
        <v>35613</v>
      </c>
      <c r="AC365" s="32" t="s">
        <v>1902</v>
      </c>
      <c r="AD365" s="57" t="str">
        <f t="shared" ca="1" si="27"/>
        <v xml:space="preserve">28 Tahun 3 Bulan </v>
      </c>
      <c r="AE365" s="33" t="s">
        <v>1106</v>
      </c>
      <c r="AF365" s="71"/>
      <c r="AG365" s="58" t="s">
        <v>1888</v>
      </c>
      <c r="AH365" s="22"/>
      <c r="AI365" s="22"/>
      <c r="AJ365" s="22"/>
      <c r="AK365" s="33"/>
      <c r="AL365" s="36"/>
    </row>
    <row r="366" spans="1:39" ht="14.45" customHeight="1" x14ac:dyDescent="0.25">
      <c r="A366" s="17">
        <v>4</v>
      </c>
      <c r="B366" s="78"/>
      <c r="C366" s="50" t="s">
        <v>1903</v>
      </c>
      <c r="D366" s="62" t="s">
        <v>1904</v>
      </c>
      <c r="E366" s="21" t="s">
        <v>40</v>
      </c>
      <c r="F366" s="22" t="s">
        <v>238</v>
      </c>
      <c r="G366" s="23" t="s">
        <v>3872</v>
      </c>
      <c r="H366" s="22" t="s">
        <v>305</v>
      </c>
      <c r="I366" s="22" t="s">
        <v>44</v>
      </c>
      <c r="J366" s="22" t="s">
        <v>1104</v>
      </c>
      <c r="K366" s="30"/>
      <c r="L366" s="25"/>
      <c r="M366" s="29"/>
      <c r="N366" s="26"/>
      <c r="O366" s="27"/>
      <c r="P366" s="28"/>
      <c r="Q366" s="29"/>
      <c r="R366" s="26"/>
      <c r="S366" s="23" t="s">
        <v>84</v>
      </c>
      <c r="T366" s="23"/>
      <c r="U366" s="23"/>
      <c r="V366" s="23"/>
      <c r="W366" s="30">
        <v>45383</v>
      </c>
      <c r="X366" s="30">
        <v>45383</v>
      </c>
      <c r="Y366" s="30">
        <v>45383</v>
      </c>
      <c r="Z366" s="31" t="str">
        <f t="shared" ca="1" si="28"/>
        <v>1 Tahun 6 Bulan 30 Hari</v>
      </c>
      <c r="AA366" s="31" t="s">
        <v>1905</v>
      </c>
      <c r="AB366" s="32">
        <v>33921</v>
      </c>
      <c r="AC366" s="31" t="s">
        <v>1906</v>
      </c>
      <c r="AD366" s="22" t="str">
        <f t="shared" ca="1" si="27"/>
        <v xml:space="preserve">32 Tahun 11 Bulan </v>
      </c>
      <c r="AE366" s="33" t="s">
        <v>1106</v>
      </c>
      <c r="AF366" s="34" t="s">
        <v>1907</v>
      </c>
      <c r="AG366" s="58" t="s">
        <v>1888</v>
      </c>
      <c r="AH366" s="58"/>
      <c r="AI366" s="58"/>
      <c r="AJ366" s="58"/>
      <c r="AK366" s="33"/>
      <c r="AL366" s="36"/>
    </row>
    <row r="367" spans="1:39" ht="14.45" customHeight="1" x14ac:dyDescent="0.25">
      <c r="A367" s="17">
        <v>5</v>
      </c>
      <c r="B367" s="78"/>
      <c r="C367" s="50" t="s">
        <v>1908</v>
      </c>
      <c r="D367" s="62" t="s">
        <v>1909</v>
      </c>
      <c r="E367" s="21" t="s">
        <v>56</v>
      </c>
      <c r="F367" s="22" t="s">
        <v>238</v>
      </c>
      <c r="G367" s="23" t="s">
        <v>3872</v>
      </c>
      <c r="H367" s="22" t="s">
        <v>305</v>
      </c>
      <c r="I367" s="22" t="s">
        <v>44</v>
      </c>
      <c r="J367" s="22" t="s">
        <v>1104</v>
      </c>
      <c r="K367" s="30"/>
      <c r="L367" s="25"/>
      <c r="M367" s="29"/>
      <c r="N367" s="26"/>
      <c r="O367" s="27"/>
      <c r="P367" s="28"/>
      <c r="Q367" s="29"/>
      <c r="R367" s="26"/>
      <c r="S367" s="23" t="s">
        <v>84</v>
      </c>
      <c r="T367" s="23"/>
      <c r="U367" s="23"/>
      <c r="V367" s="23"/>
      <c r="W367" s="30">
        <v>45383</v>
      </c>
      <c r="X367" s="30">
        <v>45383</v>
      </c>
      <c r="Y367" s="30">
        <v>45383</v>
      </c>
      <c r="Z367" s="31" t="str">
        <f t="shared" ca="1" si="28"/>
        <v>1 Tahun 6 Bulan 30 Hari</v>
      </c>
      <c r="AA367" s="31" t="s">
        <v>203</v>
      </c>
      <c r="AB367" s="32">
        <v>33741</v>
      </c>
      <c r="AC367" s="31" t="s">
        <v>1910</v>
      </c>
      <c r="AD367" s="22" t="str">
        <f t="shared" ca="1" si="27"/>
        <v xml:space="preserve">33 Tahun 5 Bulan </v>
      </c>
      <c r="AE367" s="33" t="s">
        <v>1106</v>
      </c>
      <c r="AF367" s="34"/>
      <c r="AG367" s="58" t="s">
        <v>1888</v>
      </c>
      <c r="AH367" s="22"/>
      <c r="AI367" s="22"/>
      <c r="AJ367" s="22"/>
      <c r="AK367" s="33" t="s">
        <v>485</v>
      </c>
      <c r="AL367" s="36"/>
    </row>
    <row r="368" spans="1:39" ht="14.45" customHeight="1" x14ac:dyDescent="0.25">
      <c r="A368" s="17">
        <v>6</v>
      </c>
      <c r="B368" s="78"/>
      <c r="C368" s="50" t="s">
        <v>1911</v>
      </c>
      <c r="D368" s="62" t="s">
        <v>1912</v>
      </c>
      <c r="E368" s="21" t="s">
        <v>40</v>
      </c>
      <c r="F368" s="22" t="s">
        <v>238</v>
      </c>
      <c r="G368" s="23" t="s">
        <v>3872</v>
      </c>
      <c r="H368" s="22" t="s">
        <v>305</v>
      </c>
      <c r="I368" s="22" t="s">
        <v>44</v>
      </c>
      <c r="J368" s="22" t="s">
        <v>1104</v>
      </c>
      <c r="K368" s="30"/>
      <c r="L368" s="25"/>
      <c r="M368" s="29"/>
      <c r="N368" s="26"/>
      <c r="O368" s="27"/>
      <c r="P368" s="28"/>
      <c r="Q368" s="29"/>
      <c r="R368" s="26"/>
      <c r="S368" s="23" t="s">
        <v>84</v>
      </c>
      <c r="T368" s="23"/>
      <c r="U368" s="23"/>
      <c r="V368" s="23"/>
      <c r="W368" s="30">
        <v>45383</v>
      </c>
      <c r="X368" s="30">
        <v>45383</v>
      </c>
      <c r="Y368" s="30">
        <v>45383</v>
      </c>
      <c r="Z368" s="31" t="str">
        <f t="shared" ca="1" si="28"/>
        <v>1 Tahun 6 Bulan 30 Hari</v>
      </c>
      <c r="AA368" s="31" t="s">
        <v>1913</v>
      </c>
      <c r="AB368" s="32">
        <v>34637</v>
      </c>
      <c r="AC368" s="31" t="s">
        <v>1914</v>
      </c>
      <c r="AD368" s="22" t="str">
        <f t="shared" ca="1" si="27"/>
        <v xml:space="preserve">31 Tahun 0 Bulan </v>
      </c>
      <c r="AE368" s="33" t="s">
        <v>1106</v>
      </c>
      <c r="AF368" s="34"/>
      <c r="AG368" s="58" t="s">
        <v>1888</v>
      </c>
      <c r="AH368" s="22"/>
      <c r="AI368" s="22"/>
      <c r="AJ368" s="22"/>
      <c r="AK368" s="33" t="s">
        <v>485</v>
      </c>
      <c r="AL368" s="36"/>
    </row>
    <row r="369" spans="1:39" ht="14.45" customHeight="1" x14ac:dyDescent="0.25">
      <c r="A369" s="17">
        <v>7</v>
      </c>
      <c r="B369" s="78"/>
      <c r="C369" s="50" t="s">
        <v>1915</v>
      </c>
      <c r="D369" s="62" t="s">
        <v>1916</v>
      </c>
      <c r="E369" s="21" t="s">
        <v>56</v>
      </c>
      <c r="F369" s="22" t="s">
        <v>238</v>
      </c>
      <c r="G369" s="23" t="s">
        <v>3872</v>
      </c>
      <c r="H369" s="22" t="s">
        <v>305</v>
      </c>
      <c r="I369" s="22" t="s">
        <v>44</v>
      </c>
      <c r="J369" s="22" t="s">
        <v>1104</v>
      </c>
      <c r="K369" s="30"/>
      <c r="L369" s="25"/>
      <c r="M369" s="29"/>
      <c r="N369" s="26"/>
      <c r="O369" s="27"/>
      <c r="P369" s="28"/>
      <c r="Q369" s="29"/>
      <c r="R369" s="26"/>
      <c r="S369" s="23" t="s">
        <v>84</v>
      </c>
      <c r="T369" s="23"/>
      <c r="U369" s="23"/>
      <c r="V369" s="23"/>
      <c r="W369" s="30">
        <v>45383</v>
      </c>
      <c r="X369" s="30">
        <v>45383</v>
      </c>
      <c r="Y369" s="30">
        <v>45383</v>
      </c>
      <c r="Z369" s="31" t="str">
        <f t="shared" ca="1" si="28"/>
        <v>1 Tahun 6 Bulan 30 Hari</v>
      </c>
      <c r="AA369" s="31" t="s">
        <v>1917</v>
      </c>
      <c r="AB369" s="32">
        <v>35826</v>
      </c>
      <c r="AC369" s="31" t="s">
        <v>1918</v>
      </c>
      <c r="AD369" s="22" t="str">
        <f t="shared" ca="1" si="27"/>
        <v xml:space="preserve">27 Tahun 9 Bulan </v>
      </c>
      <c r="AE369" s="33" t="s">
        <v>1106</v>
      </c>
      <c r="AF369" s="34"/>
      <c r="AG369" s="58" t="s">
        <v>1888</v>
      </c>
      <c r="AH369" s="22"/>
      <c r="AI369" s="22"/>
      <c r="AJ369" s="22"/>
      <c r="AK369" s="33" t="s">
        <v>485</v>
      </c>
      <c r="AL369" s="36"/>
    </row>
    <row r="370" spans="1:39" ht="14.45" customHeight="1" x14ac:dyDescent="0.25">
      <c r="A370" s="17">
        <v>8</v>
      </c>
      <c r="B370" s="78"/>
      <c r="C370" s="50" t="s">
        <v>1919</v>
      </c>
      <c r="D370" s="62" t="s">
        <v>1920</v>
      </c>
      <c r="E370" s="21" t="s">
        <v>56</v>
      </c>
      <c r="F370" s="22" t="s">
        <v>238</v>
      </c>
      <c r="G370" s="23" t="s">
        <v>3872</v>
      </c>
      <c r="H370" s="22" t="s">
        <v>305</v>
      </c>
      <c r="I370" s="22" t="s">
        <v>44</v>
      </c>
      <c r="J370" s="22" t="s">
        <v>1104</v>
      </c>
      <c r="K370" s="30"/>
      <c r="L370" s="25"/>
      <c r="M370" s="29"/>
      <c r="N370" s="26"/>
      <c r="O370" s="27"/>
      <c r="P370" s="28"/>
      <c r="Q370" s="29"/>
      <c r="R370" s="26"/>
      <c r="S370" s="23" t="s">
        <v>84</v>
      </c>
      <c r="T370" s="23"/>
      <c r="U370" s="23"/>
      <c r="V370" s="23"/>
      <c r="W370" s="30">
        <v>45383</v>
      </c>
      <c r="X370" s="30">
        <v>45383</v>
      </c>
      <c r="Y370" s="30">
        <v>45383</v>
      </c>
      <c r="Z370" s="31" t="str">
        <f t="shared" ca="1" si="28"/>
        <v>1 Tahun 6 Bulan 30 Hari</v>
      </c>
      <c r="AA370" s="31" t="s">
        <v>1516</v>
      </c>
      <c r="AB370" s="32">
        <v>35017</v>
      </c>
      <c r="AC370" s="31" t="s">
        <v>1921</v>
      </c>
      <c r="AD370" s="22" t="str">
        <f t="shared" ca="1" si="27"/>
        <v xml:space="preserve">29 Tahun 11 Bulan </v>
      </c>
      <c r="AE370" s="33" t="s">
        <v>1106</v>
      </c>
      <c r="AF370" s="34"/>
      <c r="AG370" s="58" t="s">
        <v>1888</v>
      </c>
      <c r="AH370" s="22"/>
      <c r="AI370" s="22"/>
      <c r="AJ370" s="22"/>
      <c r="AK370" s="33" t="s">
        <v>485</v>
      </c>
      <c r="AL370" s="36"/>
    </row>
    <row r="371" spans="1:39" ht="14.45" customHeight="1" x14ac:dyDescent="0.25">
      <c r="A371" s="17">
        <v>9</v>
      </c>
      <c r="B371" s="78"/>
      <c r="C371" s="50" t="s">
        <v>1922</v>
      </c>
      <c r="D371" s="62" t="s">
        <v>1923</v>
      </c>
      <c r="E371" s="21" t="s">
        <v>56</v>
      </c>
      <c r="F371" s="22" t="s">
        <v>238</v>
      </c>
      <c r="G371" s="23" t="s">
        <v>3872</v>
      </c>
      <c r="H371" s="22" t="s">
        <v>305</v>
      </c>
      <c r="I371" s="22" t="s">
        <v>44</v>
      </c>
      <c r="J371" s="22" t="s">
        <v>1104</v>
      </c>
      <c r="K371" s="30"/>
      <c r="L371" s="25"/>
      <c r="M371" s="29"/>
      <c r="N371" s="26"/>
      <c r="O371" s="27"/>
      <c r="P371" s="28"/>
      <c r="Q371" s="29"/>
      <c r="R371" s="26"/>
      <c r="S371" s="23" t="s">
        <v>84</v>
      </c>
      <c r="T371" s="23"/>
      <c r="U371" s="23"/>
      <c r="V371" s="23"/>
      <c r="W371" s="30">
        <v>45383</v>
      </c>
      <c r="X371" s="30">
        <v>45383</v>
      </c>
      <c r="Y371" s="30">
        <v>45383</v>
      </c>
      <c r="Z371" s="31" t="str">
        <f t="shared" ca="1" si="28"/>
        <v>1 Tahun 6 Bulan 30 Hari</v>
      </c>
      <c r="AA371" s="31" t="s">
        <v>1917</v>
      </c>
      <c r="AB371" s="32">
        <v>35428</v>
      </c>
      <c r="AC371" s="31" t="s">
        <v>1924</v>
      </c>
      <c r="AD371" s="22" t="str">
        <f t="shared" ca="1" si="27"/>
        <v xml:space="preserve">28 Tahun 10 Bulan </v>
      </c>
      <c r="AE371" s="33" t="s">
        <v>1106</v>
      </c>
      <c r="AF371" s="34"/>
      <c r="AG371" s="58" t="s">
        <v>1888</v>
      </c>
      <c r="AH371" s="22"/>
      <c r="AI371" s="22"/>
      <c r="AJ371" s="22"/>
      <c r="AK371" s="33" t="s">
        <v>485</v>
      </c>
      <c r="AL371" s="36"/>
    </row>
    <row r="372" spans="1:39" ht="14.45" customHeight="1" x14ac:dyDescent="0.25">
      <c r="A372" s="17">
        <v>10</v>
      </c>
      <c r="B372" s="78"/>
      <c r="C372" s="50" t="s">
        <v>1925</v>
      </c>
      <c r="D372" s="20" t="s">
        <v>1926</v>
      </c>
      <c r="E372" s="22" t="s">
        <v>56</v>
      </c>
      <c r="F372" s="22" t="s">
        <v>238</v>
      </c>
      <c r="G372" s="33" t="s">
        <v>3872</v>
      </c>
      <c r="H372" s="22" t="s">
        <v>1078</v>
      </c>
      <c r="I372" s="22" t="s">
        <v>44</v>
      </c>
      <c r="J372" s="22" t="s">
        <v>1293</v>
      </c>
      <c r="K372" s="30"/>
      <c r="L372" s="25" t="s">
        <v>1927</v>
      </c>
      <c r="M372" s="26">
        <v>42131</v>
      </c>
      <c r="N372" s="26">
        <v>43960</v>
      </c>
      <c r="O372" s="27" t="s">
        <v>148</v>
      </c>
      <c r="P372" s="53" t="s">
        <v>1928</v>
      </c>
      <c r="Q372" s="26">
        <v>42760</v>
      </c>
      <c r="R372" s="29">
        <v>43960</v>
      </c>
      <c r="S372" s="33" t="s">
        <v>1172</v>
      </c>
      <c r="T372" s="33"/>
      <c r="U372" s="33"/>
      <c r="V372" s="33"/>
      <c r="W372" s="30">
        <v>45047</v>
      </c>
      <c r="X372" s="30">
        <v>42370</v>
      </c>
      <c r="Y372" s="30">
        <v>42401</v>
      </c>
      <c r="Z372" s="31" t="str">
        <f t="shared" ca="1" si="28"/>
        <v>9 Tahun 9 Bulan 30 Hari</v>
      </c>
      <c r="AA372" s="31" t="s">
        <v>76</v>
      </c>
      <c r="AB372" s="32">
        <v>34098</v>
      </c>
      <c r="AC372" s="31" t="s">
        <v>1929</v>
      </c>
      <c r="AD372" s="22" t="str">
        <f t="shared" ca="1" si="27"/>
        <v xml:space="preserve">32 Tahun 5 Bulan </v>
      </c>
      <c r="AE372" s="33" t="s">
        <v>1106</v>
      </c>
      <c r="AF372" s="34"/>
      <c r="AG372" s="58" t="s">
        <v>1888</v>
      </c>
      <c r="AH372" s="22"/>
      <c r="AI372" s="22"/>
      <c r="AJ372" s="22"/>
      <c r="AK372" s="33" t="s">
        <v>485</v>
      </c>
      <c r="AL372" s="36"/>
    </row>
    <row r="373" spans="1:39" ht="14.45" customHeight="1" x14ac:dyDescent="0.25">
      <c r="A373" s="17">
        <v>11</v>
      </c>
      <c r="B373" s="78"/>
      <c r="C373" s="50" t="s">
        <v>1930</v>
      </c>
      <c r="D373" s="20" t="s">
        <v>1931</v>
      </c>
      <c r="E373" s="21" t="s">
        <v>56</v>
      </c>
      <c r="F373" s="22" t="s">
        <v>238</v>
      </c>
      <c r="G373" s="33" t="s">
        <v>3872</v>
      </c>
      <c r="H373" s="22" t="s">
        <v>1078</v>
      </c>
      <c r="I373" s="22" t="s">
        <v>44</v>
      </c>
      <c r="J373" s="22" t="s">
        <v>1293</v>
      </c>
      <c r="K373" s="22"/>
      <c r="L373" s="53" t="s">
        <v>1932</v>
      </c>
      <c r="M373" s="26">
        <v>43145</v>
      </c>
      <c r="N373" s="26">
        <v>45147</v>
      </c>
      <c r="O373" s="27" t="s">
        <v>1238</v>
      </c>
      <c r="P373" s="28" t="s">
        <v>1933</v>
      </c>
      <c r="Q373" s="29">
        <v>43192</v>
      </c>
      <c r="R373" s="26">
        <v>45147</v>
      </c>
      <c r="S373" s="23" t="s">
        <v>1172</v>
      </c>
      <c r="T373" s="23"/>
      <c r="U373" s="23"/>
      <c r="V373" s="23"/>
      <c r="W373" s="77">
        <v>45047</v>
      </c>
      <c r="X373" s="30">
        <v>39965</v>
      </c>
      <c r="Y373" s="30">
        <v>39965</v>
      </c>
      <c r="Z373" s="31" t="str">
        <f t="shared" ca="1" si="28"/>
        <v>16 Tahun 4 Bulan 30 Hari</v>
      </c>
      <c r="AA373" s="31" t="s">
        <v>303</v>
      </c>
      <c r="AB373" s="32">
        <v>30903</v>
      </c>
      <c r="AC373" s="31" t="s">
        <v>1934</v>
      </c>
      <c r="AD373" s="22" t="str">
        <f t="shared" ca="1" si="27"/>
        <v xml:space="preserve">41 Tahun 2 Bulan </v>
      </c>
      <c r="AE373" s="33" t="s">
        <v>1106</v>
      </c>
      <c r="AF373" s="34"/>
      <c r="AG373" s="58" t="s">
        <v>1888</v>
      </c>
      <c r="AH373" s="22"/>
      <c r="AI373" s="22"/>
      <c r="AJ373" s="22"/>
      <c r="AK373" s="33" t="s">
        <v>314</v>
      </c>
      <c r="AL373" s="36"/>
      <c r="AM373" s="14"/>
    </row>
    <row r="374" spans="1:39" ht="14.45" customHeight="1" x14ac:dyDescent="0.25">
      <c r="A374" s="17">
        <v>12</v>
      </c>
      <c r="B374" s="155"/>
      <c r="C374" s="156" t="s">
        <v>1935</v>
      </c>
      <c r="D374" s="157" t="s">
        <v>1936</v>
      </c>
      <c r="E374" s="158" t="s">
        <v>56</v>
      </c>
      <c r="F374" s="159" t="s">
        <v>238</v>
      </c>
      <c r="G374" s="160" t="s">
        <v>3872</v>
      </c>
      <c r="H374" s="22" t="s">
        <v>1078</v>
      </c>
      <c r="I374" s="22" t="s">
        <v>44</v>
      </c>
      <c r="J374" s="22" t="s">
        <v>1293</v>
      </c>
      <c r="K374" s="22"/>
      <c r="L374" s="161" t="s">
        <v>1937</v>
      </c>
      <c r="M374" s="162">
        <v>43145</v>
      </c>
      <c r="N374" s="162">
        <v>45273</v>
      </c>
      <c r="O374" s="163" t="s">
        <v>148</v>
      </c>
      <c r="P374" s="164" t="s">
        <v>1938</v>
      </c>
      <c r="Q374" s="165">
        <v>43192</v>
      </c>
      <c r="R374" s="162">
        <v>45273</v>
      </c>
      <c r="S374" s="166" t="s">
        <v>1167</v>
      </c>
      <c r="T374" s="166"/>
      <c r="U374" s="166"/>
      <c r="V374" s="166"/>
      <c r="W374" s="167">
        <v>45047</v>
      </c>
      <c r="X374" s="168">
        <v>38899</v>
      </c>
      <c r="Y374" s="168">
        <v>38899</v>
      </c>
      <c r="Z374" s="169" t="str">
        <f t="shared" ca="1" si="28"/>
        <v>19 Tahun 3 Bulan 30 Hari</v>
      </c>
      <c r="AA374" s="169" t="s">
        <v>76</v>
      </c>
      <c r="AB374" s="170">
        <v>31029</v>
      </c>
      <c r="AC374" s="169" t="s">
        <v>1939</v>
      </c>
      <c r="AD374" s="159" t="str">
        <f t="shared" ca="1" si="27"/>
        <v xml:space="preserve">40 Tahun 10 Bulan </v>
      </c>
      <c r="AE374" s="160" t="s">
        <v>1106</v>
      </c>
      <c r="AF374" s="171"/>
      <c r="AG374" s="58" t="s">
        <v>1888</v>
      </c>
      <c r="AH374" s="22"/>
      <c r="AI374" s="22"/>
      <c r="AJ374" s="22"/>
      <c r="AK374" s="33" t="s">
        <v>314</v>
      </c>
      <c r="AL374" s="36"/>
    </row>
    <row r="375" spans="1:39" ht="14.45" customHeight="1" x14ac:dyDescent="0.25">
      <c r="A375" s="17">
        <v>13</v>
      </c>
      <c r="B375" s="78"/>
      <c r="C375" s="50" t="s">
        <v>1940</v>
      </c>
      <c r="D375" s="20" t="s">
        <v>1941</v>
      </c>
      <c r="E375" s="52" t="s">
        <v>56</v>
      </c>
      <c r="F375" s="87" t="s">
        <v>238</v>
      </c>
      <c r="G375" s="33" t="s">
        <v>3872</v>
      </c>
      <c r="H375" s="22" t="s">
        <v>1078</v>
      </c>
      <c r="I375" s="22" t="s">
        <v>44</v>
      </c>
      <c r="J375" s="22" t="s">
        <v>1293</v>
      </c>
      <c r="K375" s="22"/>
      <c r="L375" s="53" t="s">
        <v>1942</v>
      </c>
      <c r="M375" s="26">
        <v>43117</v>
      </c>
      <c r="N375" s="26">
        <v>45209</v>
      </c>
      <c r="O375" s="27" t="s">
        <v>148</v>
      </c>
      <c r="P375" s="28" t="s">
        <v>1943</v>
      </c>
      <c r="Q375" s="29">
        <v>43192</v>
      </c>
      <c r="R375" s="26">
        <v>45209</v>
      </c>
      <c r="S375" s="23" t="s">
        <v>1167</v>
      </c>
      <c r="T375" s="23"/>
      <c r="U375" s="23"/>
      <c r="V375" s="23"/>
      <c r="W375" s="77">
        <v>45047</v>
      </c>
      <c r="X375" s="30">
        <v>39085</v>
      </c>
      <c r="Y375" s="30">
        <v>39085</v>
      </c>
      <c r="Z375" s="55" t="str">
        <f t="shared" ca="1" si="28"/>
        <v>18 Tahun 9 Bulan 28 Hari</v>
      </c>
      <c r="AA375" s="55" t="s">
        <v>76</v>
      </c>
      <c r="AB375" s="56">
        <v>31330</v>
      </c>
      <c r="AC375" s="32" t="s">
        <v>1944</v>
      </c>
      <c r="AD375" s="57" t="str">
        <f t="shared" ca="1" si="27"/>
        <v xml:space="preserve">40 Tahun 0 Bulan </v>
      </c>
      <c r="AE375" s="33" t="s">
        <v>1106</v>
      </c>
      <c r="AF375" s="34"/>
      <c r="AG375" s="58" t="s">
        <v>1888</v>
      </c>
      <c r="AH375" s="159"/>
      <c r="AI375" s="159"/>
      <c r="AJ375" s="159"/>
      <c r="AK375" s="160" t="s">
        <v>314</v>
      </c>
    </row>
    <row r="376" spans="1:39" ht="14.45" customHeight="1" x14ac:dyDescent="0.25">
      <c r="A376" s="17">
        <v>14</v>
      </c>
      <c r="B376" s="78"/>
      <c r="C376" s="50" t="s">
        <v>1947</v>
      </c>
      <c r="D376" s="20">
        <v>2024080761</v>
      </c>
      <c r="E376" s="21" t="s">
        <v>56</v>
      </c>
      <c r="F376" s="22" t="s">
        <v>1063</v>
      </c>
      <c r="G376" s="23" t="s">
        <v>3872</v>
      </c>
      <c r="H376" s="22" t="s">
        <v>3872</v>
      </c>
      <c r="I376" s="22"/>
      <c r="J376" s="22"/>
      <c r="K376" s="30"/>
      <c r="L376" s="53"/>
      <c r="M376" s="26"/>
      <c r="N376" s="26"/>
      <c r="O376" s="27"/>
      <c r="P376" s="53"/>
      <c r="Q376" s="26"/>
      <c r="R376" s="29"/>
      <c r="S376" s="23" t="s">
        <v>84</v>
      </c>
      <c r="T376" s="23"/>
      <c r="U376" s="23"/>
      <c r="V376" s="23"/>
      <c r="W376" s="30"/>
      <c r="X376" s="30">
        <v>45505</v>
      </c>
      <c r="Y376" s="30">
        <v>45505</v>
      </c>
      <c r="Z376" s="31" t="str">
        <f t="shared" ca="1" si="28"/>
        <v>1 Tahun 2 Bulan 30 Hari</v>
      </c>
      <c r="AA376" s="31" t="s">
        <v>76</v>
      </c>
      <c r="AB376" s="32">
        <v>37027</v>
      </c>
      <c r="AC376" s="31" t="s">
        <v>1948</v>
      </c>
      <c r="AD376" s="22" t="str">
        <f t="shared" ca="1" si="27"/>
        <v xml:space="preserve">24 Tahun 5 Bulan </v>
      </c>
      <c r="AE376" s="33" t="s">
        <v>1106</v>
      </c>
      <c r="AF376" s="34"/>
      <c r="AG376" s="58" t="s">
        <v>1888</v>
      </c>
      <c r="AH376" s="22"/>
      <c r="AI376" s="22"/>
      <c r="AJ376" s="22"/>
      <c r="AK376" s="33" t="s">
        <v>314</v>
      </c>
      <c r="AL376" s="36"/>
    </row>
    <row r="377" spans="1:39" ht="14.45" customHeight="1" x14ac:dyDescent="0.25">
      <c r="A377" s="17">
        <v>15</v>
      </c>
      <c r="B377" s="78"/>
      <c r="C377" s="50" t="s">
        <v>1949</v>
      </c>
      <c r="D377" s="62">
        <v>2023110705</v>
      </c>
      <c r="E377" s="21" t="s">
        <v>40</v>
      </c>
      <c r="F377" s="22" t="s">
        <v>1063</v>
      </c>
      <c r="G377" s="23" t="s">
        <v>3872</v>
      </c>
      <c r="H377" s="22" t="s">
        <v>3872</v>
      </c>
      <c r="I377" s="22"/>
      <c r="J377" s="22"/>
      <c r="K377" s="30"/>
      <c r="L377" s="25"/>
      <c r="M377" s="29"/>
      <c r="N377" s="26"/>
      <c r="O377" s="27"/>
      <c r="P377" s="28"/>
      <c r="Q377" s="29"/>
      <c r="R377" s="26"/>
      <c r="S377" s="23" t="s">
        <v>1172</v>
      </c>
      <c r="T377" s="23">
        <v>2023</v>
      </c>
      <c r="U377" s="23"/>
      <c r="V377" s="23"/>
      <c r="W377" s="30"/>
      <c r="X377" s="30">
        <v>45231</v>
      </c>
      <c r="Y377" s="30">
        <v>45231</v>
      </c>
      <c r="Z377" s="31" t="str">
        <f t="shared" ca="1" si="28"/>
        <v>1 Tahun 11 Bulan 30 Hari</v>
      </c>
      <c r="AA377" s="31" t="s">
        <v>1435</v>
      </c>
      <c r="AB377" s="32">
        <v>37363</v>
      </c>
      <c r="AC377" s="31" t="s">
        <v>1950</v>
      </c>
      <c r="AD377" s="22" t="str">
        <f t="shared" ca="1" si="27"/>
        <v xml:space="preserve">23 Tahun 6 Bulan </v>
      </c>
      <c r="AE377" s="33" t="s">
        <v>1106</v>
      </c>
      <c r="AF377" s="34"/>
      <c r="AG377" s="58" t="s">
        <v>1888</v>
      </c>
      <c r="AH377" s="22"/>
      <c r="AI377" s="22"/>
      <c r="AJ377" s="22"/>
      <c r="AK377" s="33"/>
      <c r="AL377" s="36"/>
    </row>
    <row r="378" spans="1:39" ht="14.45" customHeight="1" x14ac:dyDescent="0.25">
      <c r="A378" s="17">
        <v>16</v>
      </c>
      <c r="B378" s="78"/>
      <c r="C378" s="50" t="s">
        <v>1951</v>
      </c>
      <c r="D378" s="20">
        <v>2024080734</v>
      </c>
      <c r="E378" s="21" t="s">
        <v>40</v>
      </c>
      <c r="F378" s="22" t="s">
        <v>1063</v>
      </c>
      <c r="G378" s="23" t="s">
        <v>3872</v>
      </c>
      <c r="H378" s="22" t="s">
        <v>3872</v>
      </c>
      <c r="I378" s="22"/>
      <c r="J378" s="22"/>
      <c r="K378" s="30"/>
      <c r="L378" s="53"/>
      <c r="M378" s="26"/>
      <c r="N378" s="26"/>
      <c r="O378" s="27"/>
      <c r="P378" s="53"/>
      <c r="Q378" s="26"/>
      <c r="R378" s="29"/>
      <c r="S378" s="23" t="s">
        <v>84</v>
      </c>
      <c r="T378" s="23"/>
      <c r="U378" s="23"/>
      <c r="V378" s="23"/>
      <c r="W378" s="30"/>
      <c r="X378" s="30">
        <v>45505</v>
      </c>
      <c r="Y378" s="30">
        <v>45505</v>
      </c>
      <c r="Z378" s="31" t="str">
        <f t="shared" ca="1" si="28"/>
        <v>1 Tahun 2 Bulan 30 Hari</v>
      </c>
      <c r="AA378" s="31" t="s">
        <v>76</v>
      </c>
      <c r="AB378" s="32">
        <v>32678</v>
      </c>
      <c r="AC378" s="31" t="s">
        <v>1952</v>
      </c>
      <c r="AD378" s="22" t="str">
        <f t="shared" ca="1" si="27"/>
        <v xml:space="preserve">36 Tahun 4 Bulan </v>
      </c>
      <c r="AE378" s="33" t="s">
        <v>1106</v>
      </c>
      <c r="AF378" s="34"/>
      <c r="AG378" s="58" t="s">
        <v>1888</v>
      </c>
      <c r="AH378" s="22"/>
      <c r="AI378" s="22"/>
      <c r="AJ378" s="22"/>
      <c r="AK378" s="33" t="s">
        <v>1421</v>
      </c>
      <c r="AL378" s="36"/>
      <c r="AM378" s="14"/>
    </row>
    <row r="379" spans="1:39" ht="14.45" customHeight="1" x14ac:dyDescent="0.25">
      <c r="A379" s="17">
        <v>17</v>
      </c>
      <c r="B379" s="78"/>
      <c r="C379" s="50" t="s">
        <v>1953</v>
      </c>
      <c r="D379" s="62">
        <v>2023110677</v>
      </c>
      <c r="E379" s="21" t="s">
        <v>56</v>
      </c>
      <c r="F379" s="22" t="s">
        <v>1063</v>
      </c>
      <c r="G379" s="23" t="s">
        <v>3872</v>
      </c>
      <c r="H379" s="22" t="s">
        <v>3872</v>
      </c>
      <c r="I379" s="22"/>
      <c r="J379" s="22"/>
      <c r="K379" s="30"/>
      <c r="L379" s="25"/>
      <c r="M379" s="29"/>
      <c r="N379" s="26"/>
      <c r="O379" s="27"/>
      <c r="P379" s="28"/>
      <c r="Q379" s="29"/>
      <c r="R379" s="26"/>
      <c r="S379" s="23" t="s">
        <v>84</v>
      </c>
      <c r="T379" s="23">
        <v>2020</v>
      </c>
      <c r="U379" s="23"/>
      <c r="V379" s="23"/>
      <c r="W379" s="30"/>
      <c r="X379" s="30">
        <v>45231</v>
      </c>
      <c r="Y379" s="30">
        <v>45231</v>
      </c>
      <c r="Z379" s="31" t="str">
        <f t="shared" ca="1" si="28"/>
        <v>1 Tahun 11 Bulan 30 Hari</v>
      </c>
      <c r="AA379" s="31" t="s">
        <v>76</v>
      </c>
      <c r="AB379" s="32">
        <v>35707</v>
      </c>
      <c r="AC379" s="31" t="s">
        <v>1954</v>
      </c>
      <c r="AD379" s="22" t="str">
        <f t="shared" ca="1" si="27"/>
        <v xml:space="preserve">28 Tahun 0 Bulan </v>
      </c>
      <c r="AE379" s="33" t="s">
        <v>1106</v>
      </c>
      <c r="AF379" s="34"/>
      <c r="AG379" s="58" t="s">
        <v>1888</v>
      </c>
      <c r="AH379" s="22"/>
      <c r="AI379" s="22"/>
      <c r="AJ379" s="22"/>
      <c r="AK379" s="33"/>
      <c r="AL379" s="36"/>
    </row>
    <row r="380" spans="1:39" ht="14.45" customHeight="1" x14ac:dyDescent="0.25">
      <c r="A380" s="17">
        <v>18</v>
      </c>
      <c r="B380" s="78"/>
      <c r="C380" s="50" t="s">
        <v>1955</v>
      </c>
      <c r="D380" s="62">
        <v>2023110707</v>
      </c>
      <c r="E380" s="21" t="s">
        <v>56</v>
      </c>
      <c r="F380" s="22" t="s">
        <v>1063</v>
      </c>
      <c r="G380" s="23" t="s">
        <v>3872</v>
      </c>
      <c r="H380" s="22" t="s">
        <v>3872</v>
      </c>
      <c r="I380" s="22"/>
      <c r="J380" s="22"/>
      <c r="K380" s="30"/>
      <c r="L380" s="25"/>
      <c r="M380" s="29"/>
      <c r="N380" s="26"/>
      <c r="O380" s="27"/>
      <c r="P380" s="28"/>
      <c r="Q380" s="29"/>
      <c r="R380" s="26"/>
      <c r="S380" s="23" t="s">
        <v>1172</v>
      </c>
      <c r="T380" s="23">
        <v>2015</v>
      </c>
      <c r="U380" s="23"/>
      <c r="V380" s="23"/>
      <c r="W380" s="30"/>
      <c r="X380" s="30">
        <v>45231</v>
      </c>
      <c r="Y380" s="30">
        <v>45231</v>
      </c>
      <c r="Z380" s="31" t="str">
        <f t="shared" ca="1" si="28"/>
        <v>1 Tahun 11 Bulan 30 Hari</v>
      </c>
      <c r="AA380" s="31" t="s">
        <v>128</v>
      </c>
      <c r="AB380" s="32">
        <v>34584</v>
      </c>
      <c r="AC380" s="31" t="s">
        <v>1956</v>
      </c>
      <c r="AD380" s="22" t="str">
        <f t="shared" ca="1" si="27"/>
        <v xml:space="preserve">31 Tahun 1 Bulan </v>
      </c>
      <c r="AE380" s="33" t="s">
        <v>1106</v>
      </c>
      <c r="AF380" s="34"/>
      <c r="AG380" s="58" t="s">
        <v>1888</v>
      </c>
      <c r="AH380" s="22"/>
      <c r="AI380" s="22"/>
      <c r="AJ380" s="22"/>
      <c r="AK380" s="33" t="s">
        <v>1421</v>
      </c>
      <c r="AL380" s="36"/>
      <c r="AM380" s="14"/>
    </row>
    <row r="381" spans="1:39" ht="14.45" customHeight="1" x14ac:dyDescent="0.25">
      <c r="A381" s="17">
        <v>19</v>
      </c>
      <c r="B381" s="18"/>
      <c r="C381" s="50" t="s">
        <v>5783</v>
      </c>
      <c r="D381" s="20" t="s">
        <v>1957</v>
      </c>
      <c r="E381" s="21" t="s">
        <v>56</v>
      </c>
      <c r="F381" s="22" t="s">
        <v>192</v>
      </c>
      <c r="G381" s="23" t="s">
        <v>227</v>
      </c>
      <c r="H381" s="22" t="s">
        <v>228</v>
      </c>
      <c r="I381" s="22" t="s">
        <v>155</v>
      </c>
      <c r="J381" s="22" t="s">
        <v>1104</v>
      </c>
      <c r="K381" s="24" t="s">
        <v>195</v>
      </c>
      <c r="L381" s="22"/>
      <c r="M381" s="22"/>
      <c r="N381" s="22"/>
      <c r="O381" s="22"/>
      <c r="P381" s="22"/>
      <c r="Q381" s="22"/>
      <c r="R381" s="22"/>
      <c r="S381" s="23" t="s">
        <v>84</v>
      </c>
      <c r="T381" s="23"/>
      <c r="U381" s="23"/>
      <c r="V381" s="23"/>
      <c r="W381" s="69">
        <v>45809</v>
      </c>
      <c r="X381" s="69">
        <v>45810</v>
      </c>
      <c r="Y381" s="69">
        <v>45810</v>
      </c>
      <c r="Z381" s="31" t="str">
        <f t="shared" ca="1" si="28"/>
        <v>0 Tahun 4 Bulan 29 Hari</v>
      </c>
      <c r="AA381" s="23" t="s">
        <v>627</v>
      </c>
      <c r="AB381" s="32">
        <v>36594</v>
      </c>
      <c r="AC381" s="32" t="s">
        <v>1958</v>
      </c>
      <c r="AD381" s="22" t="str">
        <f t="shared" ca="1" si="27"/>
        <v xml:space="preserve">25 Tahun 7 Bulan </v>
      </c>
      <c r="AE381" s="33" t="s">
        <v>1106</v>
      </c>
      <c r="AF381" s="34"/>
      <c r="AG381" s="58" t="s">
        <v>1888</v>
      </c>
      <c r="AH381" s="22"/>
      <c r="AI381" s="22"/>
      <c r="AJ381" s="22"/>
      <c r="AK381" s="33"/>
      <c r="AL381" s="36"/>
    </row>
    <row r="382" spans="1:39" ht="14.45" customHeight="1" x14ac:dyDescent="0.25">
      <c r="A382" s="17">
        <v>20</v>
      </c>
      <c r="B382" s="78"/>
      <c r="C382" s="50" t="s">
        <v>2771</v>
      </c>
      <c r="D382" s="20">
        <v>2024080722</v>
      </c>
      <c r="E382" s="21" t="s">
        <v>56</v>
      </c>
      <c r="F382" s="22" t="s">
        <v>1063</v>
      </c>
      <c r="G382" s="23" t="s">
        <v>3872</v>
      </c>
      <c r="H382" s="22" t="s">
        <v>3872</v>
      </c>
      <c r="I382" s="22"/>
      <c r="J382" s="22"/>
      <c r="K382" s="30"/>
      <c r="L382" s="53"/>
      <c r="M382" s="26"/>
      <c r="N382" s="26"/>
      <c r="O382" s="27"/>
      <c r="P382" s="53"/>
      <c r="Q382" s="26"/>
      <c r="R382" s="29"/>
      <c r="S382" s="23" t="s">
        <v>84</v>
      </c>
      <c r="T382" s="23"/>
      <c r="U382" s="23"/>
      <c r="V382" s="23"/>
      <c r="W382" s="30"/>
      <c r="X382" s="30">
        <v>45505</v>
      </c>
      <c r="Y382" s="30">
        <v>45505</v>
      </c>
      <c r="Z382" s="31" t="str">
        <f t="shared" ca="1" si="28"/>
        <v>1 Tahun 2 Bulan 30 Hari</v>
      </c>
      <c r="AA382" s="31" t="s">
        <v>76</v>
      </c>
      <c r="AB382" s="32">
        <v>36304</v>
      </c>
      <c r="AC382" s="31" t="s">
        <v>2772</v>
      </c>
      <c r="AD382" s="22" t="str">
        <f t="shared" ca="1" si="27"/>
        <v xml:space="preserve">26 Tahun 5 Bulan </v>
      </c>
      <c r="AE382" s="33" t="s">
        <v>1106</v>
      </c>
      <c r="AF382" s="34"/>
      <c r="AG382" s="58" t="s">
        <v>1888</v>
      </c>
      <c r="AH382" s="22"/>
      <c r="AI382" s="22"/>
      <c r="AJ382" s="22"/>
      <c r="AK382" s="33"/>
      <c r="AL382" s="36"/>
    </row>
    <row r="383" spans="1:39" ht="14.45" customHeight="1" x14ac:dyDescent="0.25">
      <c r="A383" s="17">
        <v>21</v>
      </c>
      <c r="B383" s="78"/>
      <c r="C383" s="50" t="s">
        <v>1959</v>
      </c>
      <c r="D383" s="20" t="s">
        <v>1960</v>
      </c>
      <c r="E383" s="21" t="s">
        <v>56</v>
      </c>
      <c r="F383" s="22" t="s">
        <v>41</v>
      </c>
      <c r="G383" s="23" t="s">
        <v>137</v>
      </c>
      <c r="H383" s="22" t="s">
        <v>138</v>
      </c>
      <c r="I383" s="22" t="s">
        <v>44</v>
      </c>
      <c r="J383" s="22" t="s">
        <v>1148</v>
      </c>
      <c r="K383" s="24">
        <v>45870</v>
      </c>
      <c r="L383" s="53" t="s">
        <v>1961</v>
      </c>
      <c r="M383" s="26">
        <v>43117</v>
      </c>
      <c r="N383" s="26">
        <v>45152</v>
      </c>
      <c r="O383" s="27" t="s">
        <v>148</v>
      </c>
      <c r="P383" s="53" t="s">
        <v>1962</v>
      </c>
      <c r="Q383" s="26">
        <v>43242</v>
      </c>
      <c r="R383" s="26">
        <v>45152</v>
      </c>
      <c r="S383" s="23" t="s">
        <v>84</v>
      </c>
      <c r="T383" s="23">
        <v>2021</v>
      </c>
      <c r="U383" s="23"/>
      <c r="V383" s="23"/>
      <c r="W383" s="30">
        <v>40148</v>
      </c>
      <c r="X383" s="30">
        <v>40238</v>
      </c>
      <c r="Y383" s="30">
        <v>43887</v>
      </c>
      <c r="Z383" s="31" t="str">
        <f ca="1">DATEDIF(W383,TODAY(),"y")&amp;" Tahun "&amp;DATEDIF(W383,TODAY(),"ym")&amp;" Bulan "&amp;DATEDIF(W383,TODAY(),"md")&amp;" Hari"</f>
        <v>15 Tahun 10 Bulan 30 Hari</v>
      </c>
      <c r="AA383" s="31" t="s">
        <v>76</v>
      </c>
      <c r="AB383" s="32">
        <v>32369</v>
      </c>
      <c r="AC383" s="32" t="s">
        <v>1963</v>
      </c>
      <c r="AD383" s="22" t="str">
        <f t="shared" ca="1" si="27"/>
        <v xml:space="preserve">37 Tahun 2 Bulan </v>
      </c>
      <c r="AE383" s="33" t="s">
        <v>1151</v>
      </c>
      <c r="AF383" s="34"/>
      <c r="AG383" s="58" t="s">
        <v>1964</v>
      </c>
      <c r="AH383" s="22"/>
      <c r="AI383" s="22"/>
      <c r="AJ383" s="22"/>
      <c r="AK383" s="33" t="s">
        <v>200</v>
      </c>
      <c r="AL383" s="36"/>
    </row>
    <row r="384" spans="1:39" ht="14.45" customHeight="1" x14ac:dyDescent="0.25">
      <c r="A384" s="17">
        <v>1</v>
      </c>
      <c r="B384" s="78"/>
      <c r="C384" s="50" t="s">
        <v>1965</v>
      </c>
      <c r="D384" s="20" t="s">
        <v>1966</v>
      </c>
      <c r="E384" s="21" t="s">
        <v>56</v>
      </c>
      <c r="F384" s="22" t="s">
        <v>41</v>
      </c>
      <c r="G384" s="23" t="s">
        <v>102</v>
      </c>
      <c r="H384" s="22" t="s">
        <v>103</v>
      </c>
      <c r="I384" s="22" t="s">
        <v>44</v>
      </c>
      <c r="J384" s="22" t="s">
        <v>1166</v>
      </c>
      <c r="K384" s="24">
        <v>45566</v>
      </c>
      <c r="L384" s="25" t="s">
        <v>1967</v>
      </c>
      <c r="M384" s="26">
        <v>42041</v>
      </c>
      <c r="N384" s="26">
        <v>43904</v>
      </c>
      <c r="O384" s="27" t="s">
        <v>148</v>
      </c>
      <c r="P384" s="53" t="s">
        <v>1968</v>
      </c>
      <c r="Q384" s="26">
        <v>43256</v>
      </c>
      <c r="R384" s="29">
        <v>43904</v>
      </c>
      <c r="S384" s="33" t="s">
        <v>1172</v>
      </c>
      <c r="T384" s="33">
        <v>2006</v>
      </c>
      <c r="U384" s="33"/>
      <c r="V384" s="33"/>
      <c r="W384" s="30">
        <v>40148</v>
      </c>
      <c r="X384" s="30">
        <v>41436</v>
      </c>
      <c r="Y384" s="30">
        <v>41791</v>
      </c>
      <c r="Z384" s="31" t="str">
        <f ca="1">DATEDIF(W384,TODAY(),"y")&amp;" Tahun "&amp;DATEDIF(W384,TODAY(),"ym")&amp;" Bulan "&amp;DATEDIF(W384,TODAY(),"md")&amp;" Hari"</f>
        <v>15 Tahun 10 Bulan 30 Hari</v>
      </c>
      <c r="AA384" s="31" t="s">
        <v>128</v>
      </c>
      <c r="AB384" s="32">
        <v>31120</v>
      </c>
      <c r="AC384" s="31" t="s">
        <v>1969</v>
      </c>
      <c r="AD384" s="22" t="str">
        <f t="shared" ca="1" si="27"/>
        <v xml:space="preserve">40 Tahun 7 Bulan </v>
      </c>
      <c r="AE384" s="33" t="s">
        <v>1106</v>
      </c>
      <c r="AF384" s="34"/>
      <c r="AG384" s="58" t="s">
        <v>1964</v>
      </c>
      <c r="AH384" s="22"/>
      <c r="AI384" s="22"/>
      <c r="AJ384" s="22"/>
      <c r="AK384" s="33"/>
      <c r="AL384" s="36"/>
    </row>
    <row r="385" spans="1:39" ht="14.45" customHeight="1" x14ac:dyDescent="0.25">
      <c r="A385" s="17">
        <v>2</v>
      </c>
      <c r="B385" s="52"/>
      <c r="C385" s="50" t="s">
        <v>1970</v>
      </c>
      <c r="D385" s="20" t="s">
        <v>1971</v>
      </c>
      <c r="E385" s="52" t="s">
        <v>56</v>
      </c>
      <c r="F385" s="22" t="s">
        <v>41</v>
      </c>
      <c r="G385" s="23" t="s">
        <v>227</v>
      </c>
      <c r="H385" s="22" t="s">
        <v>228</v>
      </c>
      <c r="I385" s="22" t="s">
        <v>44</v>
      </c>
      <c r="J385" s="22" t="s">
        <v>1104</v>
      </c>
      <c r="K385" s="77">
        <v>44621</v>
      </c>
      <c r="L385" s="25"/>
      <c r="M385" s="26"/>
      <c r="N385" s="26"/>
      <c r="O385" s="27"/>
      <c r="P385" s="28"/>
      <c r="Q385" s="29"/>
      <c r="R385" s="26"/>
      <c r="S385" s="23" t="s">
        <v>84</v>
      </c>
      <c r="T385" s="23">
        <v>2019</v>
      </c>
      <c r="U385" s="23"/>
      <c r="V385" s="23"/>
      <c r="W385" s="77">
        <v>44621</v>
      </c>
      <c r="X385" s="77">
        <v>44621</v>
      </c>
      <c r="Y385" s="77">
        <v>44621</v>
      </c>
      <c r="Z385" s="55" t="str">
        <f ca="1">DATEDIF(X385,TODAY(),"y")&amp;" Tahun "&amp;DATEDIF(X385,TODAY(),"ym")&amp;" Bulan "&amp;DATEDIF(X385,TODAY(),"md")&amp;" Hari"</f>
        <v>3 Tahun 7 Bulan 30 Hari</v>
      </c>
      <c r="AA385" s="55" t="s">
        <v>1540</v>
      </c>
      <c r="AB385" s="56">
        <v>34845</v>
      </c>
      <c r="AC385" s="32" t="s">
        <v>1972</v>
      </c>
      <c r="AD385" s="57" t="str">
        <f t="shared" ca="1" si="27"/>
        <v xml:space="preserve">30 Tahun 5 Bulan </v>
      </c>
      <c r="AE385" s="33" t="s">
        <v>1106</v>
      </c>
      <c r="AF385" s="71"/>
      <c r="AG385" s="58" t="s">
        <v>1964</v>
      </c>
      <c r="AH385" s="22"/>
      <c r="AI385" s="22"/>
      <c r="AJ385" s="22"/>
      <c r="AK385" s="33"/>
      <c r="AL385" s="36"/>
      <c r="AM385" s="14"/>
    </row>
    <row r="386" spans="1:39" ht="14.45" customHeight="1" x14ac:dyDescent="0.25">
      <c r="A386" s="17">
        <v>3</v>
      </c>
      <c r="B386" s="52"/>
      <c r="C386" s="50" t="s">
        <v>1973</v>
      </c>
      <c r="D386" s="20" t="s">
        <v>1974</v>
      </c>
      <c r="E386" s="52" t="s">
        <v>56</v>
      </c>
      <c r="F386" s="22" t="s">
        <v>41</v>
      </c>
      <c r="G386" s="23" t="s">
        <v>227</v>
      </c>
      <c r="H386" s="22" t="s">
        <v>228</v>
      </c>
      <c r="I386" s="22" t="s">
        <v>44</v>
      </c>
      <c r="J386" s="22" t="s">
        <v>1104</v>
      </c>
      <c r="K386" s="77">
        <v>44621</v>
      </c>
      <c r="L386" s="25"/>
      <c r="M386" s="26"/>
      <c r="N386" s="26"/>
      <c r="O386" s="27"/>
      <c r="P386" s="28"/>
      <c r="Q386" s="29"/>
      <c r="R386" s="26"/>
      <c r="S386" s="23" t="s">
        <v>84</v>
      </c>
      <c r="T386" s="23">
        <v>2016</v>
      </c>
      <c r="U386" s="23"/>
      <c r="V386" s="23"/>
      <c r="W386" s="77">
        <v>44621</v>
      </c>
      <c r="X386" s="77">
        <v>44621</v>
      </c>
      <c r="Y386" s="77">
        <v>44621</v>
      </c>
      <c r="Z386" s="55" t="str">
        <f ca="1">DATEDIF(X386,TODAY(),"y")&amp;" Tahun "&amp;DATEDIF(X386,TODAY(),"ym")&amp;" Bulan "&amp;DATEDIF(X386,TODAY(),"md")&amp;" Hari"</f>
        <v>3 Tahun 7 Bulan 30 Hari</v>
      </c>
      <c r="AA386" s="55" t="s">
        <v>563</v>
      </c>
      <c r="AB386" s="56">
        <v>33635</v>
      </c>
      <c r="AC386" s="32" t="s">
        <v>1975</v>
      </c>
      <c r="AD386" s="57" t="str">
        <f t="shared" ca="1" si="27"/>
        <v xml:space="preserve">33 Tahun 8 Bulan </v>
      </c>
      <c r="AE386" s="33" t="s">
        <v>1106</v>
      </c>
      <c r="AF386" s="71"/>
      <c r="AG386" s="58" t="s">
        <v>1964</v>
      </c>
      <c r="AH386" s="58"/>
      <c r="AI386" s="58"/>
      <c r="AJ386" s="58"/>
      <c r="AK386" s="33"/>
      <c r="AL386" s="36"/>
    </row>
    <row r="387" spans="1:39" ht="14.45" customHeight="1" x14ac:dyDescent="0.25">
      <c r="A387" s="17">
        <v>4</v>
      </c>
      <c r="B387" s="78"/>
      <c r="C387" s="50" t="s">
        <v>1976</v>
      </c>
      <c r="D387" s="20" t="s">
        <v>1977</v>
      </c>
      <c r="E387" s="52" t="s">
        <v>40</v>
      </c>
      <c r="F387" s="22" t="s">
        <v>41</v>
      </c>
      <c r="G387" s="23" t="s">
        <v>137</v>
      </c>
      <c r="H387" s="22" t="s">
        <v>138</v>
      </c>
      <c r="I387" s="22" t="s">
        <v>44</v>
      </c>
      <c r="J387" s="22" t="s">
        <v>1166</v>
      </c>
      <c r="K387" s="24">
        <v>43252</v>
      </c>
      <c r="L387" s="25" t="s">
        <v>1978</v>
      </c>
      <c r="M387" s="26">
        <v>41168</v>
      </c>
      <c r="N387" s="26">
        <v>42832</v>
      </c>
      <c r="O387" s="27" t="s">
        <v>148</v>
      </c>
      <c r="P387" s="28" t="s">
        <v>1979</v>
      </c>
      <c r="Q387" s="29">
        <v>42080</v>
      </c>
      <c r="R387" s="26">
        <v>42832</v>
      </c>
      <c r="S387" s="23" t="s">
        <v>1172</v>
      </c>
      <c r="T387" s="23"/>
      <c r="U387" s="23"/>
      <c r="V387" s="23"/>
      <c r="W387" s="30">
        <v>35855</v>
      </c>
      <c r="X387" s="30">
        <v>35855</v>
      </c>
      <c r="Y387" s="30">
        <v>43887</v>
      </c>
      <c r="Z387" s="55" t="str">
        <f ca="1">DATEDIF(W387,TODAY(),"y")&amp;" Tahun "&amp;DATEDIF(W387,TODAY(),"ym")&amp;" Bulan "&amp;DATEDIF(W387,TODAY(),"md")&amp;" Hari"</f>
        <v>27 Tahun 7 Bulan 30 Hari</v>
      </c>
      <c r="AA387" s="55" t="s">
        <v>76</v>
      </c>
      <c r="AB387" s="56">
        <v>27126</v>
      </c>
      <c r="AC387" s="32" t="s">
        <v>1980</v>
      </c>
      <c r="AD387" s="57" t="str">
        <f t="shared" ca="1" si="27"/>
        <v xml:space="preserve">51 Tahun 6 Bulan </v>
      </c>
      <c r="AE387" s="33" t="s">
        <v>1158</v>
      </c>
      <c r="AF387" s="71"/>
      <c r="AG387" s="58" t="s">
        <v>1964</v>
      </c>
      <c r="AH387" s="58"/>
      <c r="AI387" s="58"/>
      <c r="AJ387" s="58"/>
      <c r="AK387" s="33"/>
      <c r="AL387" s="36"/>
    </row>
    <row r="388" spans="1:39" ht="14.45" customHeight="1" x14ac:dyDescent="0.25">
      <c r="A388" s="17">
        <v>5</v>
      </c>
      <c r="B388" s="134"/>
      <c r="C388" s="19" t="s">
        <v>1981</v>
      </c>
      <c r="D388" s="20" t="s">
        <v>1982</v>
      </c>
      <c r="E388" s="52" t="s">
        <v>56</v>
      </c>
      <c r="F388" s="22" t="s">
        <v>41</v>
      </c>
      <c r="G388" s="23" t="s">
        <v>102</v>
      </c>
      <c r="H388" s="22" t="s">
        <v>103</v>
      </c>
      <c r="I388" s="22" t="s">
        <v>44</v>
      </c>
      <c r="J388" s="22" t="s">
        <v>1166</v>
      </c>
      <c r="K388" s="24">
        <v>45200</v>
      </c>
      <c r="L388" s="53" t="s">
        <v>1983</v>
      </c>
      <c r="M388" s="26">
        <v>43117</v>
      </c>
      <c r="N388" s="26">
        <v>45178</v>
      </c>
      <c r="O388" s="27" t="s">
        <v>148</v>
      </c>
      <c r="P388" s="53" t="s">
        <v>1984</v>
      </c>
      <c r="Q388" s="26">
        <v>43256</v>
      </c>
      <c r="R388" s="29">
        <v>45177</v>
      </c>
      <c r="S388" s="23" t="s">
        <v>1172</v>
      </c>
      <c r="T388" s="23"/>
      <c r="U388" s="23"/>
      <c r="V388" s="23"/>
      <c r="W388" s="30">
        <v>40513</v>
      </c>
      <c r="X388" s="30">
        <v>40664</v>
      </c>
      <c r="Y388" s="30">
        <v>40664</v>
      </c>
      <c r="Z388" s="55" t="str">
        <f ca="1">DATEDIF(W388,TODAY(),"y")&amp;" Tahun "&amp;DATEDIF(W388,TODAY(),"ym")&amp;" Bulan "&amp;DATEDIF(W388,TODAY(),"md")&amp;" Hari"</f>
        <v>14 Tahun 10 Bulan 30 Hari</v>
      </c>
      <c r="AA388" s="66" t="s">
        <v>1534</v>
      </c>
      <c r="AB388" s="56">
        <v>32760</v>
      </c>
      <c r="AC388" s="32" t="s">
        <v>1985</v>
      </c>
      <c r="AD388" s="57" t="str">
        <f t="shared" ca="1" si="27"/>
        <v xml:space="preserve">36 Tahun 1 Bulan </v>
      </c>
      <c r="AE388" s="33" t="s">
        <v>1106</v>
      </c>
      <c r="AF388" s="34"/>
      <c r="AG388" s="58" t="s">
        <v>1964</v>
      </c>
      <c r="AH388" s="58"/>
      <c r="AI388" s="58"/>
      <c r="AJ388" s="87"/>
      <c r="AK388" s="61"/>
      <c r="AL388" s="36"/>
    </row>
    <row r="389" spans="1:39" ht="14.45" customHeight="1" x14ac:dyDescent="0.25">
      <c r="A389" s="17">
        <v>6</v>
      </c>
      <c r="B389" s="78">
        <v>1375</v>
      </c>
      <c r="C389" s="50" t="s">
        <v>5784</v>
      </c>
      <c r="D389" s="20" t="s">
        <v>1986</v>
      </c>
      <c r="E389" s="58" t="s">
        <v>56</v>
      </c>
      <c r="F389" s="22" t="s">
        <v>41</v>
      </c>
      <c r="G389" s="23" t="s">
        <v>227</v>
      </c>
      <c r="H389" s="22" t="s">
        <v>228</v>
      </c>
      <c r="I389" s="22" t="s">
        <v>44</v>
      </c>
      <c r="J389" s="60" t="s">
        <v>1104</v>
      </c>
      <c r="K389" s="24">
        <v>45200</v>
      </c>
      <c r="L389" s="25"/>
      <c r="M389" s="26"/>
      <c r="N389" s="26"/>
      <c r="O389" s="27"/>
      <c r="P389" s="28"/>
      <c r="Q389" s="29"/>
      <c r="R389" s="26"/>
      <c r="S389" s="23" t="s">
        <v>84</v>
      </c>
      <c r="T389" s="23"/>
      <c r="U389" s="23"/>
      <c r="V389" s="23"/>
      <c r="W389" s="30">
        <v>44166</v>
      </c>
      <c r="X389" s="30">
        <v>44197</v>
      </c>
      <c r="Y389" s="30">
        <v>44197</v>
      </c>
      <c r="Z389" s="55" t="str">
        <f ca="1">DATEDIF(X389,TODAY(),"y")&amp;" Tahun "&amp;DATEDIF(X389,TODAY(),"ym")&amp;" Bulan "&amp;DATEDIF(X389,TODAY(),"md")&amp;" Hari"</f>
        <v>4 Tahun 9 Bulan 30 Hari</v>
      </c>
      <c r="AA389" s="31" t="s">
        <v>1363</v>
      </c>
      <c r="AB389" s="32">
        <v>34838</v>
      </c>
      <c r="AC389" s="32" t="s">
        <v>1987</v>
      </c>
      <c r="AD389" s="57" t="str">
        <f t="shared" ca="1" si="27"/>
        <v xml:space="preserve">30 Tahun 5 Bulan </v>
      </c>
      <c r="AE389" s="33" t="s">
        <v>1106</v>
      </c>
      <c r="AF389" s="34"/>
      <c r="AG389" s="58" t="s">
        <v>1964</v>
      </c>
      <c r="AH389" s="22"/>
      <c r="AI389" s="22"/>
      <c r="AJ389" s="22"/>
      <c r="AK389" s="33"/>
      <c r="AL389" s="36"/>
    </row>
    <row r="390" spans="1:39" ht="14.45" customHeight="1" x14ac:dyDescent="0.25">
      <c r="A390" s="17">
        <v>7</v>
      </c>
      <c r="B390" s="18"/>
      <c r="C390" s="50" t="s">
        <v>1988</v>
      </c>
      <c r="D390" s="20" t="s">
        <v>1989</v>
      </c>
      <c r="E390" s="21" t="s">
        <v>56</v>
      </c>
      <c r="F390" s="22" t="s">
        <v>41</v>
      </c>
      <c r="G390" s="23" t="s">
        <v>57</v>
      </c>
      <c r="H390" s="22" t="s">
        <v>58</v>
      </c>
      <c r="I390" s="22" t="s">
        <v>44</v>
      </c>
      <c r="J390" s="6" t="s">
        <v>148</v>
      </c>
      <c r="K390" s="24">
        <v>44105</v>
      </c>
      <c r="L390" s="53" t="s">
        <v>1990</v>
      </c>
      <c r="M390" s="26">
        <v>43117</v>
      </c>
      <c r="N390" s="26">
        <v>44931</v>
      </c>
      <c r="O390" s="27" t="s">
        <v>84</v>
      </c>
      <c r="P390" s="53" t="s">
        <v>1991</v>
      </c>
      <c r="Q390" s="26">
        <v>43305</v>
      </c>
      <c r="R390" s="29">
        <v>44931</v>
      </c>
      <c r="S390" s="23" t="s">
        <v>1167</v>
      </c>
      <c r="T390" s="23"/>
      <c r="U390" s="23"/>
      <c r="V390" s="23"/>
      <c r="W390" s="30">
        <v>35855</v>
      </c>
      <c r="X390" s="30">
        <v>36008</v>
      </c>
      <c r="Y390" s="22"/>
      <c r="Z390" s="31" t="str">
        <f ca="1">DATEDIF(W390,TODAY(),"y")&amp;" Tahun "&amp;DATEDIF(W390,TODAY(),"ym")&amp;" Bulan "&amp;DATEDIF(W390,TODAY(),"md")&amp;" Hari"</f>
        <v>27 Tahun 7 Bulan 30 Hari</v>
      </c>
      <c r="AA390" s="31" t="s">
        <v>76</v>
      </c>
      <c r="AB390" s="32">
        <v>27399</v>
      </c>
      <c r="AC390" s="32" t="s">
        <v>1992</v>
      </c>
      <c r="AD390" s="22" t="str">
        <f t="shared" ca="1" si="27"/>
        <v xml:space="preserve">50 Tahun 9 Bulan </v>
      </c>
      <c r="AE390" s="33" t="s">
        <v>1158</v>
      </c>
      <c r="AF390" s="34"/>
      <c r="AG390" s="58" t="s">
        <v>1964</v>
      </c>
      <c r="AH390" s="22"/>
      <c r="AI390" s="22"/>
      <c r="AJ390" s="22"/>
      <c r="AK390" s="33" t="s">
        <v>676</v>
      </c>
      <c r="AL390" s="36"/>
    </row>
    <row r="391" spans="1:39" ht="14.45" customHeight="1" x14ac:dyDescent="0.25">
      <c r="A391" s="17">
        <v>8</v>
      </c>
      <c r="B391" s="78"/>
      <c r="C391" s="50" t="s">
        <v>1993</v>
      </c>
      <c r="D391" s="20" t="s">
        <v>1994</v>
      </c>
      <c r="E391" s="21" t="s">
        <v>40</v>
      </c>
      <c r="F391" s="22" t="s">
        <v>41</v>
      </c>
      <c r="G391" s="23" t="s">
        <v>42</v>
      </c>
      <c r="H391" s="22" t="s">
        <v>43</v>
      </c>
      <c r="I391" s="22" t="s">
        <v>44</v>
      </c>
      <c r="J391" s="22" t="s">
        <v>148</v>
      </c>
      <c r="K391" s="24">
        <v>45505</v>
      </c>
      <c r="L391" s="53" t="s">
        <v>1995</v>
      </c>
      <c r="M391" s="26">
        <v>43117</v>
      </c>
      <c r="N391" s="26">
        <v>45023</v>
      </c>
      <c r="O391" s="27" t="s">
        <v>148</v>
      </c>
      <c r="P391" s="53" t="s">
        <v>1996</v>
      </c>
      <c r="Q391" s="26">
        <v>43341</v>
      </c>
      <c r="R391" s="29">
        <v>45023</v>
      </c>
      <c r="S391" s="23" t="s">
        <v>84</v>
      </c>
      <c r="T391" s="23">
        <v>2021</v>
      </c>
      <c r="U391" s="23"/>
      <c r="V391" s="23"/>
      <c r="W391" s="30">
        <v>36586</v>
      </c>
      <c r="X391" s="30">
        <v>36586</v>
      </c>
      <c r="Y391" s="30">
        <v>40914</v>
      </c>
      <c r="Z391" s="31" t="str">
        <f ca="1">DATEDIF(W391,TODAY(),"y")&amp;" Tahun "&amp;DATEDIF(W391,TODAY(),"ym")&amp;" Bulan "&amp;DATEDIF(W391,TODAY(),"md")&amp;" Hari"</f>
        <v>25 Tahun 7 Bulan 30 Hari</v>
      </c>
      <c r="AA391" s="31" t="s">
        <v>128</v>
      </c>
      <c r="AB391" s="32">
        <v>27857</v>
      </c>
      <c r="AC391" s="32" t="s">
        <v>1997</v>
      </c>
      <c r="AD391" s="22" t="str">
        <f t="shared" ca="1" si="27"/>
        <v xml:space="preserve">49 Tahun 6 Bulan </v>
      </c>
      <c r="AE391" s="33" t="s">
        <v>1106</v>
      </c>
      <c r="AF391" s="34"/>
      <c r="AG391" s="58" t="s">
        <v>1964</v>
      </c>
      <c r="AH391" s="22"/>
      <c r="AI391" s="22"/>
      <c r="AJ391" s="22"/>
      <c r="AK391" s="33"/>
      <c r="AL391" s="36"/>
    </row>
    <row r="392" spans="1:39" ht="14.45" customHeight="1" x14ac:dyDescent="0.25">
      <c r="A392" s="17">
        <v>9</v>
      </c>
      <c r="B392" s="78"/>
      <c r="C392" s="50" t="s">
        <v>1998</v>
      </c>
      <c r="D392" s="20" t="s">
        <v>1999</v>
      </c>
      <c r="E392" s="21" t="s">
        <v>56</v>
      </c>
      <c r="F392" s="22" t="s">
        <v>41</v>
      </c>
      <c r="G392" s="23" t="s">
        <v>137</v>
      </c>
      <c r="H392" s="22" t="s">
        <v>138</v>
      </c>
      <c r="I392" s="22" t="s">
        <v>44</v>
      </c>
      <c r="J392" s="22" t="s">
        <v>1166</v>
      </c>
      <c r="K392" s="24">
        <v>45566</v>
      </c>
      <c r="L392" s="53" t="s">
        <v>2000</v>
      </c>
      <c r="M392" s="26">
        <v>43117</v>
      </c>
      <c r="N392" s="26">
        <v>44994</v>
      </c>
      <c r="O392" s="27" t="s">
        <v>148</v>
      </c>
      <c r="P392" s="53" t="s">
        <v>2001</v>
      </c>
      <c r="Q392" s="26">
        <v>43073</v>
      </c>
      <c r="R392" s="26">
        <v>43254</v>
      </c>
      <c r="S392" s="23" t="s">
        <v>1172</v>
      </c>
      <c r="T392" s="23"/>
      <c r="U392" s="23"/>
      <c r="V392" s="23"/>
      <c r="W392" s="30">
        <v>40148</v>
      </c>
      <c r="X392" s="30">
        <v>39965</v>
      </c>
      <c r="Y392" s="22"/>
      <c r="Z392" s="31" t="str">
        <f ca="1">DATEDIF(W392,TODAY(),"y")&amp;" Tahun "&amp;DATEDIF(W392,TODAY(),"ym")&amp;" Bulan "&amp;DATEDIF(W392,TODAY(),"md")&amp;" Hari"</f>
        <v>15 Tahun 10 Bulan 30 Hari</v>
      </c>
      <c r="AA392" s="31" t="s">
        <v>1540</v>
      </c>
      <c r="AB392" s="32">
        <v>31115</v>
      </c>
      <c r="AC392" s="31" t="s">
        <v>2002</v>
      </c>
      <c r="AD392" s="22" t="str">
        <f t="shared" ca="1" si="27"/>
        <v xml:space="preserve">40 Tahun 7 Bulan </v>
      </c>
      <c r="AE392" s="33" t="s">
        <v>1106</v>
      </c>
      <c r="AF392" s="34"/>
      <c r="AG392" s="58" t="s">
        <v>1964</v>
      </c>
      <c r="AH392" s="22"/>
      <c r="AI392" s="22"/>
      <c r="AJ392" s="22"/>
      <c r="AK392" s="33"/>
      <c r="AL392" s="36"/>
    </row>
    <row r="393" spans="1:39" ht="14.45" customHeight="1" x14ac:dyDescent="0.25">
      <c r="A393" s="17">
        <v>10</v>
      </c>
      <c r="B393" s="78"/>
      <c r="C393" s="50" t="s">
        <v>2003</v>
      </c>
      <c r="D393" s="20" t="s">
        <v>2004</v>
      </c>
      <c r="E393" s="21" t="s">
        <v>56</v>
      </c>
      <c r="F393" s="22" t="s">
        <v>41</v>
      </c>
      <c r="G393" s="23" t="s">
        <v>137</v>
      </c>
      <c r="H393" s="22" t="s">
        <v>138</v>
      </c>
      <c r="I393" s="22" t="s">
        <v>44</v>
      </c>
      <c r="J393" s="22" t="s">
        <v>1166</v>
      </c>
      <c r="K393" s="24">
        <v>45200</v>
      </c>
      <c r="L393" s="53" t="s">
        <v>2005</v>
      </c>
      <c r="M393" s="26">
        <v>43117</v>
      </c>
      <c r="N393" s="26">
        <v>45191</v>
      </c>
      <c r="O393" s="27" t="s">
        <v>148</v>
      </c>
      <c r="P393" s="53" t="s">
        <v>2006</v>
      </c>
      <c r="Q393" s="26">
        <v>43256</v>
      </c>
      <c r="R393" s="29">
        <v>45191</v>
      </c>
      <c r="S393" s="23" t="s">
        <v>84</v>
      </c>
      <c r="T393" s="23"/>
      <c r="U393" s="23"/>
      <c r="V393" s="23"/>
      <c r="W393" s="30">
        <v>38808</v>
      </c>
      <c r="X393" s="30">
        <v>39995</v>
      </c>
      <c r="Y393" s="30">
        <v>40914</v>
      </c>
      <c r="Z393" s="31" t="str">
        <f ca="1">DATEDIF(W393,TODAY(),"y")&amp;" Tahun "&amp;DATEDIF(W393,TODAY(),"ym")&amp;" Bulan "&amp;DATEDIF(W393,TODAY(),"md")&amp;" Hari"</f>
        <v>19 Tahun 6 Bulan 30 Hari</v>
      </c>
      <c r="AA393" s="31" t="s">
        <v>76</v>
      </c>
      <c r="AB393" s="32">
        <v>28025</v>
      </c>
      <c r="AC393" s="32" t="s">
        <v>2007</v>
      </c>
      <c r="AD393" s="57" t="str">
        <f t="shared" ca="1" si="27"/>
        <v xml:space="preserve">49 Tahun 1 Bulan </v>
      </c>
      <c r="AE393" s="33" t="s">
        <v>1106</v>
      </c>
      <c r="AF393" s="34"/>
      <c r="AG393" s="58" t="s">
        <v>1964</v>
      </c>
      <c r="AH393" s="22"/>
      <c r="AI393" s="22"/>
      <c r="AJ393" s="22"/>
      <c r="AK393" s="33"/>
      <c r="AL393" s="36"/>
    </row>
    <row r="394" spans="1:39" ht="14.45" customHeight="1" x14ac:dyDescent="0.25">
      <c r="A394" s="17">
        <v>11</v>
      </c>
      <c r="B394" s="52"/>
      <c r="C394" s="50" t="s">
        <v>2008</v>
      </c>
      <c r="D394" s="20" t="s">
        <v>2009</v>
      </c>
      <c r="E394" s="52" t="s">
        <v>56</v>
      </c>
      <c r="F394" s="22" t="s">
        <v>41</v>
      </c>
      <c r="G394" s="23" t="s">
        <v>227</v>
      </c>
      <c r="H394" s="22" t="s">
        <v>228</v>
      </c>
      <c r="I394" s="22" t="s">
        <v>44</v>
      </c>
      <c r="J394" s="22" t="s">
        <v>1104</v>
      </c>
      <c r="K394" s="77">
        <v>44621</v>
      </c>
      <c r="L394" s="25"/>
      <c r="M394" s="26"/>
      <c r="N394" s="26"/>
      <c r="O394" s="27"/>
      <c r="P394" s="28"/>
      <c r="Q394" s="29"/>
      <c r="R394" s="26"/>
      <c r="S394" s="23" t="s">
        <v>84</v>
      </c>
      <c r="T394" s="23">
        <v>2013</v>
      </c>
      <c r="U394" s="23"/>
      <c r="V394" s="23"/>
      <c r="W394" s="77">
        <v>44621</v>
      </c>
      <c r="X394" s="77">
        <v>44621</v>
      </c>
      <c r="Y394" s="77">
        <v>44621</v>
      </c>
      <c r="Z394" s="55" t="str">
        <f ca="1">DATEDIF(X394,TODAY(),"y")&amp;" Tahun "&amp;DATEDIF(X394,TODAY(),"ym")&amp;" Bulan "&amp;DATEDIF(X394,TODAY(),"md")&amp;" Hari"</f>
        <v>3 Tahun 7 Bulan 30 Hari</v>
      </c>
      <c r="AA394" s="55" t="s">
        <v>76</v>
      </c>
      <c r="AB394" s="56">
        <v>33184</v>
      </c>
      <c r="AC394" s="32" t="s">
        <v>2010</v>
      </c>
      <c r="AD394" s="57" t="str">
        <f t="shared" ca="1" si="27"/>
        <v xml:space="preserve">34 Tahun 11 Bulan </v>
      </c>
      <c r="AE394" s="33" t="s">
        <v>1106</v>
      </c>
      <c r="AF394" s="71"/>
      <c r="AG394" s="58" t="s">
        <v>1964</v>
      </c>
      <c r="AH394" s="22"/>
      <c r="AI394" s="22"/>
      <c r="AJ394" s="22"/>
      <c r="AK394" s="33"/>
      <c r="AL394" s="36"/>
    </row>
    <row r="395" spans="1:39" ht="14.45" customHeight="1" x14ac:dyDescent="0.25">
      <c r="A395" s="17">
        <v>12</v>
      </c>
      <c r="B395" s="78"/>
      <c r="C395" s="50" t="s">
        <v>5785</v>
      </c>
      <c r="D395" s="20" t="s">
        <v>2011</v>
      </c>
      <c r="E395" s="58" t="s">
        <v>56</v>
      </c>
      <c r="F395" s="22" t="s">
        <v>238</v>
      </c>
      <c r="G395" s="23" t="s">
        <v>3872</v>
      </c>
      <c r="H395" s="22" t="s">
        <v>1078</v>
      </c>
      <c r="I395" s="22" t="s">
        <v>44</v>
      </c>
      <c r="J395" s="22" t="s">
        <v>1293</v>
      </c>
      <c r="K395" s="22"/>
      <c r="L395" s="53" t="s">
        <v>2012</v>
      </c>
      <c r="M395" s="26">
        <v>43046</v>
      </c>
      <c r="N395" s="26">
        <v>44833</v>
      </c>
      <c r="O395" s="27" t="s">
        <v>148</v>
      </c>
      <c r="P395" s="28" t="s">
        <v>2013</v>
      </c>
      <c r="Q395" s="29">
        <v>43192</v>
      </c>
      <c r="R395" s="26">
        <v>43375</v>
      </c>
      <c r="S395" s="23" t="s">
        <v>1172</v>
      </c>
      <c r="T395" s="23"/>
      <c r="U395" s="23"/>
      <c r="V395" s="23"/>
      <c r="W395" s="77">
        <v>45047</v>
      </c>
      <c r="X395" s="30">
        <v>42370</v>
      </c>
      <c r="Y395" s="30">
        <v>43887</v>
      </c>
      <c r="Z395" s="31" t="str">
        <f ca="1">DATEDIF(X395,TODAY(),"y")&amp;" Tahun "&amp;DATEDIF(X395,TODAY(),"ym")&amp;" Bulan "&amp;DATEDIF(X395,TODAY(),"md")&amp;" Hari"</f>
        <v>9 Tahun 9 Bulan 30 Hari</v>
      </c>
      <c r="AA395" s="31" t="s">
        <v>1540</v>
      </c>
      <c r="AB395" s="32">
        <v>32415</v>
      </c>
      <c r="AC395" s="31" t="s">
        <v>2014</v>
      </c>
      <c r="AD395" s="57" t="str">
        <f t="shared" ca="1" si="27"/>
        <v xml:space="preserve">37 Tahun 1 Bulan </v>
      </c>
      <c r="AE395" s="33" t="s">
        <v>1106</v>
      </c>
      <c r="AF395" s="34"/>
      <c r="AG395" s="58" t="s">
        <v>1964</v>
      </c>
      <c r="AH395" s="58"/>
      <c r="AI395" s="58"/>
      <c r="AJ395" s="58"/>
      <c r="AK395" s="33"/>
      <c r="AL395" s="36"/>
    </row>
    <row r="396" spans="1:39" ht="14.45" customHeight="1" x14ac:dyDescent="0.25">
      <c r="A396" s="17">
        <v>13</v>
      </c>
      <c r="B396" s="78"/>
      <c r="C396" s="50" t="s">
        <v>5786</v>
      </c>
      <c r="D396" s="62" t="s">
        <v>2015</v>
      </c>
      <c r="E396" s="21" t="s">
        <v>40</v>
      </c>
      <c r="F396" s="22" t="s">
        <v>238</v>
      </c>
      <c r="G396" s="23" t="s">
        <v>3872</v>
      </c>
      <c r="H396" s="22" t="s">
        <v>1078</v>
      </c>
      <c r="I396" s="22" t="s">
        <v>44</v>
      </c>
      <c r="J396" s="22" t="s">
        <v>1293</v>
      </c>
      <c r="K396" s="30"/>
      <c r="L396" s="25" t="s">
        <v>2016</v>
      </c>
      <c r="M396" s="29">
        <v>42942</v>
      </c>
      <c r="N396" s="26">
        <v>44636</v>
      </c>
      <c r="O396" s="27" t="s">
        <v>2017</v>
      </c>
      <c r="P396" s="28" t="s">
        <v>2018</v>
      </c>
      <c r="Q396" s="29">
        <v>43124</v>
      </c>
      <c r="R396" s="26">
        <v>44636</v>
      </c>
      <c r="S396" s="23" t="s">
        <v>1172</v>
      </c>
      <c r="T396" s="23"/>
      <c r="U396" s="23"/>
      <c r="V396" s="23"/>
      <c r="W396" s="30">
        <v>45383</v>
      </c>
      <c r="X396" s="30">
        <v>43070</v>
      </c>
      <c r="Y396" s="30">
        <v>43070</v>
      </c>
      <c r="Z396" s="31" t="str">
        <f ca="1">DATEDIF(X396,TODAY(),"y")&amp;" Tahun "&amp;DATEDIF(X396,TODAY(),"ym")&amp;" Bulan "&amp;DATEDIF(X396,TODAY(),"md")&amp;" Hari"</f>
        <v>7 Tahun 10 Bulan 30 Hari</v>
      </c>
      <c r="AA396" s="31" t="s">
        <v>1534</v>
      </c>
      <c r="AB396" s="32">
        <v>33313</v>
      </c>
      <c r="AC396" s="31" t="s">
        <v>2019</v>
      </c>
      <c r="AD396" s="22" t="str">
        <f t="shared" ca="1" si="27"/>
        <v xml:space="preserve">34 Tahun 7 Bulan </v>
      </c>
      <c r="AE396" s="33" t="s">
        <v>1106</v>
      </c>
      <c r="AF396" s="34"/>
      <c r="AG396" s="58" t="s">
        <v>1964</v>
      </c>
      <c r="AH396" s="22"/>
      <c r="AI396" s="22"/>
      <c r="AJ396" s="22"/>
      <c r="AK396" s="33" t="s">
        <v>314</v>
      </c>
      <c r="AL396" s="36"/>
      <c r="AM396" s="14"/>
    </row>
    <row r="397" spans="1:39" ht="14.45" customHeight="1" x14ac:dyDescent="0.25">
      <c r="A397" s="17">
        <v>14</v>
      </c>
      <c r="B397" s="78"/>
      <c r="C397" s="50" t="s">
        <v>2020</v>
      </c>
      <c r="D397" s="62">
        <v>2023110694</v>
      </c>
      <c r="E397" s="21" t="s">
        <v>56</v>
      </c>
      <c r="F397" s="22" t="s">
        <v>1063</v>
      </c>
      <c r="G397" s="23" t="s">
        <v>3872</v>
      </c>
      <c r="H397" s="22" t="s">
        <v>3872</v>
      </c>
      <c r="I397" s="22"/>
      <c r="J397" s="22"/>
      <c r="K397" s="30"/>
      <c r="L397" s="25"/>
      <c r="M397" s="29"/>
      <c r="N397" s="26"/>
      <c r="O397" s="27"/>
      <c r="P397" s="28"/>
      <c r="Q397" s="29"/>
      <c r="R397" s="26"/>
      <c r="S397" s="23" t="s">
        <v>1172</v>
      </c>
      <c r="T397" s="23">
        <v>2023</v>
      </c>
      <c r="U397" s="23"/>
      <c r="V397" s="23"/>
      <c r="W397" s="30"/>
      <c r="X397" s="30">
        <v>45231</v>
      </c>
      <c r="Y397" s="30">
        <v>45231</v>
      </c>
      <c r="Z397" s="31" t="str">
        <f ca="1">DATEDIF(X397,TODAY(),"y")&amp;" Tahun "&amp;DATEDIF(X397,TODAY(),"ym")&amp;" Bulan "&amp;DATEDIF(X397,TODAY(),"md")&amp;" Hari"</f>
        <v>1 Tahun 11 Bulan 30 Hari</v>
      </c>
      <c r="AA397" s="31" t="s">
        <v>2021</v>
      </c>
      <c r="AB397" s="32">
        <v>37413</v>
      </c>
      <c r="AC397" s="31" t="s">
        <v>2022</v>
      </c>
      <c r="AD397" s="22" t="str">
        <f t="shared" ca="1" si="27"/>
        <v xml:space="preserve">23 Tahun 4 Bulan </v>
      </c>
      <c r="AE397" s="33" t="s">
        <v>1106</v>
      </c>
      <c r="AF397" s="34"/>
      <c r="AG397" s="58" t="s">
        <v>1964</v>
      </c>
      <c r="AH397" s="22"/>
      <c r="AI397" s="22"/>
      <c r="AJ397" s="22"/>
      <c r="AK397" s="33" t="s">
        <v>485</v>
      </c>
      <c r="AL397" s="36"/>
      <c r="AM397" s="14"/>
    </row>
    <row r="398" spans="1:39" ht="14.45" customHeight="1" x14ac:dyDescent="0.25">
      <c r="A398" s="17">
        <v>15</v>
      </c>
      <c r="B398" s="52"/>
      <c r="C398" s="50" t="s">
        <v>2023</v>
      </c>
      <c r="D398" s="20" t="s">
        <v>2024</v>
      </c>
      <c r="E398" s="52" t="s">
        <v>56</v>
      </c>
      <c r="F398" s="22" t="s">
        <v>41</v>
      </c>
      <c r="G398" s="23" t="s">
        <v>227</v>
      </c>
      <c r="H398" s="22" t="s">
        <v>228</v>
      </c>
      <c r="I398" s="22" t="s">
        <v>44</v>
      </c>
      <c r="J398" s="22" t="s">
        <v>1104</v>
      </c>
      <c r="K398" s="77">
        <v>44621</v>
      </c>
      <c r="L398" s="25"/>
      <c r="M398" s="26"/>
      <c r="N398" s="26"/>
      <c r="O398" s="27"/>
      <c r="P398" s="28"/>
      <c r="Q398" s="29"/>
      <c r="R398" s="26"/>
      <c r="S398" s="23" t="s">
        <v>84</v>
      </c>
      <c r="T398" s="23">
        <v>2015</v>
      </c>
      <c r="U398" s="23"/>
      <c r="V398" s="23"/>
      <c r="W398" s="77">
        <v>44621</v>
      </c>
      <c r="X398" s="77">
        <v>44621</v>
      </c>
      <c r="Y398" s="77">
        <v>44621</v>
      </c>
      <c r="Z398" s="55" t="str">
        <f ca="1">DATEDIF(X398,TODAY(),"y")&amp;" Tahun "&amp;DATEDIF(X398,TODAY(),"ym")&amp;" Bulan "&amp;DATEDIF(X398,TODAY(),"md")&amp;" Hari"</f>
        <v>3 Tahun 7 Bulan 30 Hari</v>
      </c>
      <c r="AA398" s="55" t="s">
        <v>76</v>
      </c>
      <c r="AB398" s="56">
        <v>33451</v>
      </c>
      <c r="AC398" s="32" t="s">
        <v>2025</v>
      </c>
      <c r="AD398" s="57" t="str">
        <f t="shared" ca="1" si="27"/>
        <v xml:space="preserve">34 Tahun 2 Bulan </v>
      </c>
      <c r="AE398" s="33" t="s">
        <v>1106</v>
      </c>
      <c r="AF398" s="71"/>
      <c r="AG398" s="58" t="s">
        <v>1964</v>
      </c>
      <c r="AH398" s="22"/>
      <c r="AI398" s="22"/>
      <c r="AJ398" s="22"/>
      <c r="AK398" s="33"/>
      <c r="AL398" s="36"/>
    </row>
    <row r="399" spans="1:39" ht="14.45" customHeight="1" x14ac:dyDescent="0.25">
      <c r="A399" s="17">
        <v>16</v>
      </c>
      <c r="B399" s="78"/>
      <c r="C399" s="50" t="s">
        <v>2026</v>
      </c>
      <c r="D399" s="20" t="s">
        <v>2027</v>
      </c>
      <c r="E399" s="21" t="s">
        <v>56</v>
      </c>
      <c r="F399" s="22" t="s">
        <v>41</v>
      </c>
      <c r="G399" s="33" t="s">
        <v>137</v>
      </c>
      <c r="H399" s="22" t="s">
        <v>138</v>
      </c>
      <c r="I399" s="22" t="s">
        <v>44</v>
      </c>
      <c r="J399" s="22" t="s">
        <v>1148</v>
      </c>
      <c r="K399" s="24">
        <v>44835</v>
      </c>
      <c r="L399" s="53" t="s">
        <v>2028</v>
      </c>
      <c r="M399" s="26">
        <v>43145</v>
      </c>
      <c r="N399" s="26">
        <v>45157</v>
      </c>
      <c r="O399" s="27" t="s">
        <v>148</v>
      </c>
      <c r="P399" s="53" t="s">
        <v>2029</v>
      </c>
      <c r="Q399" s="26">
        <v>43242</v>
      </c>
      <c r="R399" s="26">
        <v>45157</v>
      </c>
      <c r="S399" s="23" t="s">
        <v>84</v>
      </c>
      <c r="T399" s="23"/>
      <c r="U399" s="23"/>
      <c r="V399" s="23"/>
      <c r="W399" s="30">
        <v>38353</v>
      </c>
      <c r="X399" s="30">
        <v>38353</v>
      </c>
      <c r="Y399" s="30">
        <v>42410</v>
      </c>
      <c r="Z399" s="31" t="str">
        <f ca="1">DATEDIF(W399,TODAY(),"y")&amp;" Tahun "&amp;DATEDIF(W399,TODAY(),"ym")&amp;" Bulan "&amp;DATEDIF(W399,TODAY(),"md")&amp;" Hari"</f>
        <v>20 Tahun 9 Bulan 30 Hari</v>
      </c>
      <c r="AA399" s="31" t="s">
        <v>76</v>
      </c>
      <c r="AB399" s="32">
        <v>28356</v>
      </c>
      <c r="AC399" s="31" t="s">
        <v>2030</v>
      </c>
      <c r="AD399" s="22" t="str">
        <f t="shared" ca="1" si="27"/>
        <v xml:space="preserve">48 Tahun 2 Bulan </v>
      </c>
      <c r="AE399" s="33" t="s">
        <v>1106</v>
      </c>
      <c r="AF399" s="34"/>
      <c r="AG399" s="58" t="s">
        <v>1964</v>
      </c>
      <c r="AH399" s="58"/>
      <c r="AI399" s="58"/>
      <c r="AJ399" s="58"/>
      <c r="AK399" s="33"/>
      <c r="AL399" s="36"/>
    </row>
    <row r="400" spans="1:39" ht="14.45" customHeight="1" x14ac:dyDescent="0.25">
      <c r="A400" s="17">
        <v>17</v>
      </c>
      <c r="B400" s="18"/>
      <c r="C400" s="50" t="s">
        <v>5787</v>
      </c>
      <c r="D400" s="20" t="s">
        <v>2031</v>
      </c>
      <c r="E400" s="21" t="s">
        <v>56</v>
      </c>
      <c r="F400" s="22" t="s">
        <v>192</v>
      </c>
      <c r="G400" s="23" t="s">
        <v>193</v>
      </c>
      <c r="H400" s="22" t="s">
        <v>194</v>
      </c>
      <c r="I400" s="22" t="s">
        <v>155</v>
      </c>
      <c r="J400" s="22" t="s">
        <v>1104</v>
      </c>
      <c r="K400" s="24" t="s">
        <v>195</v>
      </c>
      <c r="L400" s="22"/>
      <c r="M400" s="22"/>
      <c r="N400" s="22"/>
      <c r="O400" s="22"/>
      <c r="P400" s="22"/>
      <c r="Q400" s="22"/>
      <c r="R400" s="22"/>
      <c r="S400" s="23" t="s">
        <v>1164</v>
      </c>
      <c r="T400" s="23"/>
      <c r="U400" s="23"/>
      <c r="V400" s="23"/>
      <c r="W400" s="69">
        <v>45809</v>
      </c>
      <c r="X400" s="69">
        <v>45810</v>
      </c>
      <c r="Y400" s="69">
        <v>45810</v>
      </c>
      <c r="Z400" s="31" t="str">
        <f ca="1">DATEDIF(X400,TODAY(),"y")&amp;" Tahun "&amp;DATEDIF(X400,TODAY(),"ym")&amp;" Bulan "&amp;DATEDIF(X400,TODAY(),"md")&amp;" Hari"</f>
        <v>0 Tahun 4 Bulan 29 Hari</v>
      </c>
      <c r="AA400" s="23" t="s">
        <v>2032</v>
      </c>
      <c r="AB400" s="32">
        <v>35370</v>
      </c>
      <c r="AC400" s="32" t="s">
        <v>2033</v>
      </c>
      <c r="AD400" s="22" t="str">
        <f t="shared" ca="1" si="27"/>
        <v xml:space="preserve">28 Tahun 11 Bulan </v>
      </c>
      <c r="AE400" s="23" t="s">
        <v>1106</v>
      </c>
      <c r="AF400" s="34"/>
      <c r="AG400" s="58" t="s">
        <v>1964</v>
      </c>
      <c r="AH400" s="22"/>
      <c r="AI400" s="22"/>
      <c r="AJ400" s="22"/>
      <c r="AK400" s="33"/>
      <c r="AL400" s="41"/>
    </row>
    <row r="401" spans="1:39" ht="14.45" customHeight="1" x14ac:dyDescent="0.25">
      <c r="A401" s="17">
        <v>18</v>
      </c>
      <c r="B401" s="78"/>
      <c r="C401" s="50" t="s">
        <v>2034</v>
      </c>
      <c r="D401" s="20" t="s">
        <v>2035</v>
      </c>
      <c r="E401" s="21" t="s">
        <v>56</v>
      </c>
      <c r="F401" s="22" t="s">
        <v>41</v>
      </c>
      <c r="G401" s="23" t="s">
        <v>42</v>
      </c>
      <c r="H401" s="22" t="s">
        <v>43</v>
      </c>
      <c r="I401" s="22" t="s">
        <v>44</v>
      </c>
      <c r="J401" s="22" t="s">
        <v>148</v>
      </c>
      <c r="K401" s="24">
        <v>45200</v>
      </c>
      <c r="L401" s="53" t="s">
        <v>2036</v>
      </c>
      <c r="M401" s="26">
        <v>42683</v>
      </c>
      <c r="N401" s="26">
        <v>44435</v>
      </c>
      <c r="O401" s="27" t="s">
        <v>1162</v>
      </c>
      <c r="P401" s="53" t="s">
        <v>2037</v>
      </c>
      <c r="Q401" s="26">
        <v>43096</v>
      </c>
      <c r="R401" s="29">
        <v>44435</v>
      </c>
      <c r="S401" s="23" t="s">
        <v>84</v>
      </c>
      <c r="T401" s="23"/>
      <c r="U401" s="23"/>
      <c r="V401" s="23"/>
      <c r="W401" s="30">
        <v>35855</v>
      </c>
      <c r="X401" s="30">
        <v>35855</v>
      </c>
      <c r="Y401" s="22">
        <v>42339</v>
      </c>
      <c r="Z401" s="31" t="str">
        <f ca="1">DATEDIF(W401,TODAY(),"y")&amp;" Tahun "&amp;DATEDIF(W401,TODAY(),"ym")&amp;" Bulan "&amp;DATEDIF(W401,TODAY(),"md")&amp;" Hari"</f>
        <v>27 Tahun 7 Bulan 30 Hari</v>
      </c>
      <c r="AA401" s="31" t="s">
        <v>1540</v>
      </c>
      <c r="AB401" s="32">
        <v>27268</v>
      </c>
      <c r="AC401" s="32" t="s">
        <v>2038</v>
      </c>
      <c r="AD401" s="22" t="str">
        <f t="shared" ca="1" si="27"/>
        <v xml:space="preserve">51 Tahun 2 Bulan </v>
      </c>
      <c r="AE401" s="33" t="s">
        <v>1151</v>
      </c>
      <c r="AF401" s="34" t="s">
        <v>2039</v>
      </c>
      <c r="AG401" s="22" t="s">
        <v>2040</v>
      </c>
      <c r="AH401" s="22"/>
      <c r="AI401" s="22"/>
      <c r="AJ401" s="22"/>
      <c r="AK401" s="33" t="s">
        <v>200</v>
      </c>
      <c r="AL401" s="36"/>
    </row>
    <row r="402" spans="1:39" ht="15" x14ac:dyDescent="0.25">
      <c r="A402" s="17">
        <v>1</v>
      </c>
      <c r="B402" s="78"/>
      <c r="C402" s="50" t="s">
        <v>2041</v>
      </c>
      <c r="D402" s="20" t="s">
        <v>2042</v>
      </c>
      <c r="E402" s="21" t="s">
        <v>40</v>
      </c>
      <c r="F402" s="22" t="s">
        <v>41</v>
      </c>
      <c r="G402" s="23" t="s">
        <v>42</v>
      </c>
      <c r="H402" s="22" t="s">
        <v>43</v>
      </c>
      <c r="I402" s="22" t="s">
        <v>44</v>
      </c>
      <c r="J402" s="22" t="s">
        <v>148</v>
      </c>
      <c r="K402" s="24">
        <v>45200</v>
      </c>
      <c r="L402" s="53" t="s">
        <v>2043</v>
      </c>
      <c r="M402" s="26">
        <v>42926</v>
      </c>
      <c r="N402" s="26">
        <v>44668</v>
      </c>
      <c r="O402" s="27" t="s">
        <v>1155</v>
      </c>
      <c r="P402" s="53" t="s">
        <v>2044</v>
      </c>
      <c r="Q402" s="26">
        <v>43052</v>
      </c>
      <c r="R402" s="29">
        <v>44668</v>
      </c>
      <c r="S402" s="23" t="s">
        <v>1167</v>
      </c>
      <c r="T402" s="23"/>
      <c r="U402" s="23"/>
      <c r="V402" s="23"/>
      <c r="W402" s="30">
        <v>36586</v>
      </c>
      <c r="X402" s="30">
        <v>36586</v>
      </c>
      <c r="Y402" s="22">
        <v>42339</v>
      </c>
      <c r="Z402" s="31" t="str">
        <f ca="1">DATEDIF(W402,TODAY(),"y")&amp;" Tahun "&amp;DATEDIF(W402,TODAY(),"ym")&amp;" Bulan "&amp;DATEDIF(W402,TODAY(),"md")&amp;" Hari"</f>
        <v>25 Tahun 7 Bulan 30 Hari</v>
      </c>
      <c r="AA402" s="31" t="s">
        <v>50</v>
      </c>
      <c r="AB402" s="32">
        <v>27136</v>
      </c>
      <c r="AC402" s="32" t="s">
        <v>2045</v>
      </c>
      <c r="AD402" s="22" t="str">
        <f t="shared" ca="1" si="27"/>
        <v xml:space="preserve">51 Tahun 6 Bulan </v>
      </c>
      <c r="AE402" s="33" t="s">
        <v>1106</v>
      </c>
      <c r="AF402" s="34"/>
      <c r="AG402" s="22" t="s">
        <v>2040</v>
      </c>
      <c r="AH402" s="22"/>
      <c r="AI402" s="22"/>
      <c r="AJ402" s="22"/>
      <c r="AK402" s="33"/>
      <c r="AL402" s="22"/>
    </row>
    <row r="403" spans="1:39" ht="14.45" customHeight="1" x14ac:dyDescent="0.25">
      <c r="A403" s="17">
        <v>2</v>
      </c>
      <c r="B403" s="78"/>
      <c r="C403" s="50" t="s">
        <v>2046</v>
      </c>
      <c r="D403" s="20" t="s">
        <v>2047</v>
      </c>
      <c r="E403" s="21" t="s">
        <v>40</v>
      </c>
      <c r="F403" s="22" t="s">
        <v>41</v>
      </c>
      <c r="G403" s="23" t="s">
        <v>137</v>
      </c>
      <c r="H403" s="22" t="s">
        <v>138</v>
      </c>
      <c r="I403" s="22" t="s">
        <v>44</v>
      </c>
      <c r="J403" s="22" t="s">
        <v>1166</v>
      </c>
      <c r="K403" s="24">
        <v>43252</v>
      </c>
      <c r="L403" s="53" t="s">
        <v>2048</v>
      </c>
      <c r="M403" s="26">
        <v>43145</v>
      </c>
      <c r="N403" s="26">
        <v>45021</v>
      </c>
      <c r="O403" s="27" t="s">
        <v>148</v>
      </c>
      <c r="P403" s="53" t="s">
        <v>2049</v>
      </c>
      <c r="Q403" s="26">
        <v>43256</v>
      </c>
      <c r="R403" s="29">
        <v>45021</v>
      </c>
      <c r="S403" s="23" t="s">
        <v>1167</v>
      </c>
      <c r="T403" s="23"/>
      <c r="U403" s="23"/>
      <c r="V403" s="23"/>
      <c r="W403" s="30">
        <v>33664</v>
      </c>
      <c r="X403" s="30">
        <v>33664</v>
      </c>
      <c r="Y403" s="22"/>
      <c r="Z403" s="31" t="str">
        <f ca="1">DATEDIF(W403,TODAY(),"y")&amp;" Tahun "&amp;DATEDIF(W403,TODAY(),"ym")&amp;" Bulan "&amp;DATEDIF(W403,TODAY(),"md")&amp;" Hari"</f>
        <v>33 Tahun 7 Bulan 30 Hari</v>
      </c>
      <c r="AA403" s="31" t="s">
        <v>2050</v>
      </c>
      <c r="AB403" s="32">
        <v>26394</v>
      </c>
      <c r="AC403" s="32" t="s">
        <v>2051</v>
      </c>
      <c r="AD403" s="22" t="str">
        <f t="shared" ca="1" si="27"/>
        <v xml:space="preserve">53 Tahun 6 Bulan </v>
      </c>
      <c r="AE403" s="33" t="s">
        <v>1106</v>
      </c>
      <c r="AF403" s="34"/>
      <c r="AG403" s="22" t="s">
        <v>2040</v>
      </c>
      <c r="AH403" s="22"/>
      <c r="AI403" s="22"/>
      <c r="AJ403" s="22"/>
      <c r="AK403" s="33"/>
      <c r="AL403" s="22"/>
    </row>
    <row r="404" spans="1:39" ht="14.45" customHeight="1" x14ac:dyDescent="0.25">
      <c r="A404" s="17">
        <v>3</v>
      </c>
      <c r="B404" s="78"/>
      <c r="C404" s="50" t="s">
        <v>2052</v>
      </c>
      <c r="D404" s="20" t="s">
        <v>2053</v>
      </c>
      <c r="E404" s="52" t="s">
        <v>56</v>
      </c>
      <c r="F404" s="58" t="s">
        <v>41</v>
      </c>
      <c r="G404" s="23" t="s">
        <v>137</v>
      </c>
      <c r="H404" s="22" t="s">
        <v>138</v>
      </c>
      <c r="I404" s="22" t="s">
        <v>44</v>
      </c>
      <c r="J404" s="22" t="s">
        <v>1148</v>
      </c>
      <c r="K404" s="24">
        <v>45200</v>
      </c>
      <c r="L404" s="25" t="s">
        <v>2054</v>
      </c>
      <c r="M404" s="26">
        <v>42926</v>
      </c>
      <c r="N404" s="26">
        <v>44751</v>
      </c>
      <c r="O404" s="27" t="s">
        <v>1155</v>
      </c>
      <c r="P404" s="53" t="s">
        <v>2055</v>
      </c>
      <c r="Q404" s="29">
        <v>43048</v>
      </c>
      <c r="R404" s="26">
        <v>44751</v>
      </c>
      <c r="S404" s="23" t="s">
        <v>84</v>
      </c>
      <c r="T404" s="23">
        <v>2021</v>
      </c>
      <c r="U404" s="23"/>
      <c r="V404" s="23"/>
      <c r="W404" s="30">
        <v>39783</v>
      </c>
      <c r="X404" s="30">
        <v>39845</v>
      </c>
      <c r="Y404" s="30">
        <v>42125</v>
      </c>
      <c r="Z404" s="55" t="str">
        <f ca="1">DATEDIF(W404,TODAY(),"y")&amp;" Tahun "&amp;DATEDIF(W404,TODAY(),"ym")&amp;" Bulan "&amp;DATEDIF(W404,TODAY(),"md")&amp;" Hari"</f>
        <v>16 Tahun 10 Bulan 30 Hari</v>
      </c>
      <c r="AA404" s="55" t="s">
        <v>76</v>
      </c>
      <c r="AB404" s="56">
        <v>30016</v>
      </c>
      <c r="AC404" s="32" t="s">
        <v>2056</v>
      </c>
      <c r="AD404" s="57" t="str">
        <f t="shared" ca="1" si="27"/>
        <v xml:space="preserve">43 Tahun 7 Bulan </v>
      </c>
      <c r="AE404" s="33" t="s">
        <v>1106</v>
      </c>
      <c r="AF404" s="71"/>
      <c r="AG404" s="22" t="s">
        <v>2040</v>
      </c>
      <c r="AH404" s="22"/>
      <c r="AI404" s="22"/>
      <c r="AJ404" s="22"/>
      <c r="AK404" s="33"/>
      <c r="AL404" s="22"/>
    </row>
    <row r="405" spans="1:39" ht="14.45" customHeight="1" x14ac:dyDescent="0.25">
      <c r="A405" s="17">
        <v>4</v>
      </c>
      <c r="B405" s="78"/>
      <c r="C405" s="50" t="s">
        <v>2057</v>
      </c>
      <c r="D405" s="62" t="s">
        <v>2058</v>
      </c>
      <c r="E405" s="35" t="s">
        <v>56</v>
      </c>
      <c r="F405" s="35" t="s">
        <v>41</v>
      </c>
      <c r="G405" s="23" t="s">
        <v>227</v>
      </c>
      <c r="H405" s="22" t="s">
        <v>228</v>
      </c>
      <c r="I405" s="22" t="s">
        <v>44</v>
      </c>
      <c r="J405" s="22" t="s">
        <v>1148</v>
      </c>
      <c r="K405" s="24">
        <v>45505</v>
      </c>
      <c r="L405" s="25" t="s">
        <v>2059</v>
      </c>
      <c r="M405" s="26">
        <v>43117</v>
      </c>
      <c r="N405" s="26">
        <v>45129</v>
      </c>
      <c r="O405" s="27" t="s">
        <v>84</v>
      </c>
      <c r="P405" s="28" t="s">
        <v>2060</v>
      </c>
      <c r="Q405" s="29">
        <v>43242</v>
      </c>
      <c r="R405" s="26">
        <v>45129</v>
      </c>
      <c r="S405" s="38" t="s">
        <v>84</v>
      </c>
      <c r="T405" s="38"/>
      <c r="U405" s="38"/>
      <c r="V405" s="38"/>
      <c r="W405" s="30">
        <v>44166</v>
      </c>
      <c r="X405" s="37">
        <v>42095</v>
      </c>
      <c r="Y405" s="37">
        <v>42339</v>
      </c>
      <c r="Z405" s="63" t="str">
        <f ca="1">DATEDIF(X405,TODAY(),"y")&amp;" Tahun "&amp;DATEDIF(X405,TODAY(),"ym")&amp;" Bulan "&amp;DATEDIF(X405,TODAY(),"md")&amp;" Hari"</f>
        <v>10 Tahun 6 Bulan 30 Hari</v>
      </c>
      <c r="AA405" s="63" t="s">
        <v>76</v>
      </c>
      <c r="AB405" s="39">
        <v>32711</v>
      </c>
      <c r="AC405" s="31" t="s">
        <v>2061</v>
      </c>
      <c r="AD405" s="22" t="str">
        <f t="shared" ca="1" si="27"/>
        <v xml:space="preserve">36 Tahun 3 Bulan </v>
      </c>
      <c r="AE405" s="38" t="s">
        <v>1106</v>
      </c>
      <c r="AF405" s="96"/>
      <c r="AG405" s="22" t="s">
        <v>2040</v>
      </c>
      <c r="AH405" s="58"/>
      <c r="AI405" s="58"/>
      <c r="AJ405" s="58"/>
      <c r="AK405" s="33"/>
      <c r="AL405" s="36"/>
    </row>
    <row r="406" spans="1:39" ht="14.45" customHeight="1" x14ac:dyDescent="0.25">
      <c r="A406" s="17">
        <v>5</v>
      </c>
      <c r="B406" s="18">
        <v>1356</v>
      </c>
      <c r="C406" s="50" t="s">
        <v>2062</v>
      </c>
      <c r="D406" s="20" t="s">
        <v>2063</v>
      </c>
      <c r="E406" s="58" t="s">
        <v>56</v>
      </c>
      <c r="F406" s="22" t="s">
        <v>41</v>
      </c>
      <c r="G406" s="23" t="s">
        <v>102</v>
      </c>
      <c r="H406" s="22" t="s">
        <v>103</v>
      </c>
      <c r="I406" s="22" t="s">
        <v>44</v>
      </c>
      <c r="J406" s="22" t="s">
        <v>1148</v>
      </c>
      <c r="K406" s="24">
        <v>45870</v>
      </c>
      <c r="L406" s="22"/>
      <c r="M406" s="22"/>
      <c r="N406" s="22"/>
      <c r="O406" s="22"/>
      <c r="P406" s="22"/>
      <c r="Q406" s="22"/>
      <c r="R406" s="22"/>
      <c r="S406" s="23" t="s">
        <v>84</v>
      </c>
      <c r="T406" s="23">
        <v>2015</v>
      </c>
      <c r="U406" s="23"/>
      <c r="V406" s="23"/>
      <c r="W406" s="30">
        <v>43497</v>
      </c>
      <c r="X406" s="30">
        <v>43497</v>
      </c>
      <c r="Y406" s="30">
        <v>43497</v>
      </c>
      <c r="Z406" s="55" t="str">
        <f ca="1">DATEDIF(X406,TODAY(),"y")&amp;" Tahun "&amp;DATEDIF(X406,TODAY(),"ym")&amp;" Bulan "&amp;DATEDIF(X406,TODAY(),"md")&amp;" Hari"</f>
        <v>6 Tahun 8 Bulan 30 Hari</v>
      </c>
      <c r="AA406" s="55" t="s">
        <v>76</v>
      </c>
      <c r="AB406" s="56">
        <v>33565</v>
      </c>
      <c r="AC406" s="31" t="s">
        <v>2064</v>
      </c>
      <c r="AD406" s="57" t="str">
        <f t="shared" ca="1" si="27"/>
        <v xml:space="preserve">33 Tahun 11 Bulan </v>
      </c>
      <c r="AE406" s="33" t="s">
        <v>1106</v>
      </c>
      <c r="AF406" s="71"/>
      <c r="AG406" s="22" t="s">
        <v>2040</v>
      </c>
      <c r="AH406" s="38"/>
      <c r="AI406" s="38"/>
      <c r="AJ406" s="38"/>
      <c r="AK406" s="38" t="s">
        <v>112</v>
      </c>
      <c r="AL406" s="38"/>
      <c r="AM406" s="47"/>
    </row>
    <row r="407" spans="1:39" ht="14.45" customHeight="1" x14ac:dyDescent="0.25">
      <c r="A407" s="17">
        <v>6</v>
      </c>
      <c r="B407" s="134"/>
      <c r="C407" s="50" t="s">
        <v>2065</v>
      </c>
      <c r="D407" s="62" t="s">
        <v>2066</v>
      </c>
      <c r="E407" s="52" t="s">
        <v>56</v>
      </c>
      <c r="F407" s="58" t="s">
        <v>41</v>
      </c>
      <c r="G407" s="23" t="s">
        <v>102</v>
      </c>
      <c r="H407" s="22" t="s">
        <v>103</v>
      </c>
      <c r="I407" s="58" t="s">
        <v>44</v>
      </c>
      <c r="J407" s="22" t="s">
        <v>1148</v>
      </c>
      <c r="K407" s="24">
        <v>45870</v>
      </c>
      <c r="L407" s="25" t="s">
        <v>2067</v>
      </c>
      <c r="M407" s="29">
        <v>43024</v>
      </c>
      <c r="N407" s="26">
        <v>44773</v>
      </c>
      <c r="O407" s="27" t="s">
        <v>84</v>
      </c>
      <c r="P407" s="28" t="s">
        <v>2068</v>
      </c>
      <c r="Q407" s="29">
        <v>43124</v>
      </c>
      <c r="R407" s="26">
        <v>44773</v>
      </c>
      <c r="S407" s="23" t="s">
        <v>84</v>
      </c>
      <c r="T407" s="23">
        <v>2017</v>
      </c>
      <c r="U407" s="23"/>
      <c r="V407" s="23"/>
      <c r="W407" s="30">
        <v>43497</v>
      </c>
      <c r="X407" s="30">
        <v>43070</v>
      </c>
      <c r="Y407" s="30">
        <v>43497</v>
      </c>
      <c r="Z407" s="55" t="str">
        <f ca="1">DATEDIF(X407,TODAY(),"y")&amp;" Tahun "&amp;DATEDIF(X407,TODAY(),"ym")&amp;" Bulan "&amp;DATEDIF(X407,TODAY(),"md")&amp;" Hari"</f>
        <v>7 Tahun 10 Bulan 30 Hari</v>
      </c>
      <c r="AA407" s="55" t="s">
        <v>76</v>
      </c>
      <c r="AB407" s="56">
        <v>34181</v>
      </c>
      <c r="AC407" s="32" t="s">
        <v>2069</v>
      </c>
      <c r="AD407" s="57" t="str">
        <f t="shared" ca="1" si="27"/>
        <v xml:space="preserve">32 Tahun 3 Bulan </v>
      </c>
      <c r="AE407" s="33" t="s">
        <v>1106</v>
      </c>
      <c r="AF407" s="71"/>
      <c r="AG407" s="22" t="s">
        <v>2040</v>
      </c>
      <c r="AH407" s="58"/>
      <c r="AI407" s="58"/>
      <c r="AJ407" s="58"/>
      <c r="AK407" s="33"/>
      <c r="AL407" s="36"/>
    </row>
    <row r="408" spans="1:39" ht="14.45" customHeight="1" x14ac:dyDescent="0.25">
      <c r="A408" s="17">
        <v>7</v>
      </c>
      <c r="B408" s="78"/>
      <c r="C408" s="50" t="s">
        <v>2070</v>
      </c>
      <c r="D408" s="137" t="s">
        <v>2071</v>
      </c>
      <c r="E408" s="52" t="s">
        <v>56</v>
      </c>
      <c r="F408" s="87" t="s">
        <v>41</v>
      </c>
      <c r="G408" s="23" t="s">
        <v>102</v>
      </c>
      <c r="H408" s="60" t="s">
        <v>103</v>
      </c>
      <c r="I408" s="60" t="s">
        <v>44</v>
      </c>
      <c r="J408" s="60" t="s">
        <v>1148</v>
      </c>
      <c r="K408" s="24">
        <v>45870</v>
      </c>
      <c r="L408" s="25" t="s">
        <v>1206</v>
      </c>
      <c r="M408" s="26"/>
      <c r="N408" s="26"/>
      <c r="O408" s="27"/>
      <c r="P408" s="28" t="s">
        <v>2072</v>
      </c>
      <c r="Q408" s="29">
        <v>42212</v>
      </c>
      <c r="R408" s="26">
        <v>42396</v>
      </c>
      <c r="S408" s="33" t="s">
        <v>84</v>
      </c>
      <c r="T408" s="33"/>
      <c r="U408" s="33"/>
      <c r="V408" s="33"/>
      <c r="W408" s="95">
        <v>41244</v>
      </c>
      <c r="X408" s="30">
        <v>41334</v>
      </c>
      <c r="Y408" s="22"/>
      <c r="Z408" s="31" t="str">
        <f ca="1">DATEDIF(W408,TODAY(),"y")&amp;" Tahun "&amp;DATEDIF(W408,TODAY(),"ym")&amp;" Bulan "&amp;DATEDIF(W408,TODAY(),"md")&amp;" Hari"</f>
        <v>12 Tahun 10 Bulan 30 Hari</v>
      </c>
      <c r="AA408" s="55" t="s">
        <v>846</v>
      </c>
      <c r="AB408" s="56">
        <v>28576</v>
      </c>
      <c r="AC408" s="31" t="s">
        <v>2073</v>
      </c>
      <c r="AD408" s="57" t="str">
        <f t="shared" ca="1" si="27"/>
        <v xml:space="preserve">47 Tahun 7 Bulan </v>
      </c>
      <c r="AE408" s="33" t="s">
        <v>1106</v>
      </c>
      <c r="AF408" s="71"/>
      <c r="AG408" s="22" t="s">
        <v>2040</v>
      </c>
      <c r="AH408" s="58"/>
      <c r="AI408" s="58"/>
      <c r="AJ408" s="58"/>
      <c r="AK408" s="33"/>
      <c r="AL408" s="36"/>
    </row>
    <row r="409" spans="1:39" ht="14.45" customHeight="1" x14ac:dyDescent="0.25">
      <c r="A409" s="17">
        <v>8</v>
      </c>
      <c r="B409" s="78"/>
      <c r="C409" s="50" t="s">
        <v>6160</v>
      </c>
      <c r="D409" s="137" t="s">
        <v>2074</v>
      </c>
      <c r="E409" s="21" t="s">
        <v>56</v>
      </c>
      <c r="F409" s="22" t="s">
        <v>41</v>
      </c>
      <c r="G409" s="23" t="s">
        <v>102</v>
      </c>
      <c r="H409" s="22" t="s">
        <v>103</v>
      </c>
      <c r="I409" s="22" t="s">
        <v>44</v>
      </c>
      <c r="J409" s="22" t="s">
        <v>1166</v>
      </c>
      <c r="K409" s="24">
        <v>45566</v>
      </c>
      <c r="L409" s="25" t="s">
        <v>2075</v>
      </c>
      <c r="M409" s="26">
        <v>42041</v>
      </c>
      <c r="N409" s="26">
        <v>43866</v>
      </c>
      <c r="O409" s="27" t="s">
        <v>148</v>
      </c>
      <c r="P409" s="28" t="s">
        <v>2076</v>
      </c>
      <c r="Q409" s="29">
        <v>42396</v>
      </c>
      <c r="R409" s="26">
        <v>43866</v>
      </c>
      <c r="S409" s="33" t="s">
        <v>1172</v>
      </c>
      <c r="T409" s="33">
        <v>2009</v>
      </c>
      <c r="U409" s="33"/>
      <c r="V409" s="33"/>
      <c r="W409" s="95">
        <v>41244</v>
      </c>
      <c r="X409" s="30">
        <v>41334</v>
      </c>
      <c r="Y409" s="82">
        <v>42339</v>
      </c>
      <c r="Z409" s="31" t="str">
        <f ca="1">DATEDIF(W409,TODAY(),"y")&amp;" Tahun "&amp;DATEDIF(W409,TODAY(),"ym")&amp;" Bulan "&amp;DATEDIF(W409,TODAY(),"md")&amp;" Hari"</f>
        <v>12 Tahun 10 Bulan 30 Hari</v>
      </c>
      <c r="AA409" s="31" t="s">
        <v>471</v>
      </c>
      <c r="AB409" s="32">
        <v>31813</v>
      </c>
      <c r="AC409" s="31" t="s">
        <v>2077</v>
      </c>
      <c r="AD409" s="57" t="str">
        <f t="shared" ca="1" si="27"/>
        <v xml:space="preserve">38 Tahun 8 Bulan </v>
      </c>
      <c r="AE409" s="33" t="s">
        <v>1106</v>
      </c>
      <c r="AF409" s="34"/>
      <c r="AG409" s="22" t="s">
        <v>2040</v>
      </c>
      <c r="AH409" s="58"/>
      <c r="AI409" s="58"/>
      <c r="AJ409" s="58"/>
      <c r="AK409" s="34"/>
      <c r="AL409" s="36"/>
    </row>
    <row r="410" spans="1:39" ht="14.45" customHeight="1" x14ac:dyDescent="0.25">
      <c r="A410" s="17">
        <v>9</v>
      </c>
      <c r="B410" s="78"/>
      <c r="C410" s="50" t="s">
        <v>2078</v>
      </c>
      <c r="D410" s="20" t="s">
        <v>2079</v>
      </c>
      <c r="E410" s="52" t="s">
        <v>56</v>
      </c>
      <c r="F410" s="22" t="s">
        <v>41</v>
      </c>
      <c r="G410" s="33" t="s">
        <v>137</v>
      </c>
      <c r="H410" s="22" t="s">
        <v>138</v>
      </c>
      <c r="I410" s="22" t="s">
        <v>44</v>
      </c>
      <c r="J410" s="22" t="s">
        <v>1166</v>
      </c>
      <c r="K410" s="24">
        <v>45566</v>
      </c>
      <c r="L410" s="53" t="s">
        <v>2080</v>
      </c>
      <c r="M410" s="26">
        <v>43117</v>
      </c>
      <c r="N410" s="26">
        <v>45144</v>
      </c>
      <c r="O410" s="27" t="s">
        <v>148</v>
      </c>
      <c r="P410" s="53" t="s">
        <v>2081</v>
      </c>
      <c r="Q410" s="26">
        <v>43256</v>
      </c>
      <c r="R410" s="29">
        <v>45144</v>
      </c>
      <c r="S410" s="23" t="s">
        <v>1172</v>
      </c>
      <c r="T410" s="23"/>
      <c r="U410" s="23"/>
      <c r="V410" s="23"/>
      <c r="W410" s="30">
        <v>40148</v>
      </c>
      <c r="X410" s="30">
        <v>39085</v>
      </c>
      <c r="Y410" s="30">
        <v>41122</v>
      </c>
      <c r="Z410" s="55" t="str">
        <f ca="1">DATEDIF(W410,TODAY(),"y")&amp;" Tahun "&amp;DATEDIF(W410,TODAY(),"ym")&amp;" Bulan "&amp;DATEDIF(W410,TODAY(),"md")&amp;" Hari"</f>
        <v>15 Tahun 10 Bulan 30 Hari</v>
      </c>
      <c r="AA410" s="55" t="s">
        <v>303</v>
      </c>
      <c r="AB410" s="56">
        <v>30534</v>
      </c>
      <c r="AC410" s="31" t="s">
        <v>2082</v>
      </c>
      <c r="AD410" s="57" t="str">
        <f t="shared" ca="1" si="27"/>
        <v xml:space="preserve">42 Tahun 2 Bulan </v>
      </c>
      <c r="AE410" s="33" t="s">
        <v>1106</v>
      </c>
      <c r="AF410" s="71"/>
      <c r="AG410" s="22" t="s">
        <v>2040</v>
      </c>
      <c r="AH410" s="22"/>
      <c r="AI410" s="22"/>
      <c r="AJ410" s="22"/>
      <c r="AK410" s="34"/>
      <c r="AL410" s="41"/>
    </row>
    <row r="411" spans="1:39" ht="14.45" customHeight="1" x14ac:dyDescent="0.25">
      <c r="A411" s="17">
        <v>10</v>
      </c>
      <c r="B411" s="78"/>
      <c r="C411" s="50" t="s">
        <v>2083</v>
      </c>
      <c r="D411" s="62" t="s">
        <v>2084</v>
      </c>
      <c r="E411" s="92" t="s">
        <v>56</v>
      </c>
      <c r="F411" s="35" t="s">
        <v>41</v>
      </c>
      <c r="G411" s="23" t="s">
        <v>227</v>
      </c>
      <c r="H411" s="22" t="s">
        <v>228</v>
      </c>
      <c r="I411" s="58" t="s">
        <v>44</v>
      </c>
      <c r="J411" s="22" t="s">
        <v>1148</v>
      </c>
      <c r="K411" s="24">
        <v>45200</v>
      </c>
      <c r="L411" s="25" t="s">
        <v>2085</v>
      </c>
      <c r="M411" s="26">
        <v>42174</v>
      </c>
      <c r="N411" s="26">
        <v>43918</v>
      </c>
      <c r="O411" s="27" t="s">
        <v>84</v>
      </c>
      <c r="P411" s="28" t="s">
        <v>2086</v>
      </c>
      <c r="Q411" s="29">
        <v>42774</v>
      </c>
      <c r="R411" s="26">
        <v>43918</v>
      </c>
      <c r="S411" s="38" t="s">
        <v>84</v>
      </c>
      <c r="T411" s="38"/>
      <c r="U411" s="38"/>
      <c r="V411" s="38"/>
      <c r="W411" s="30">
        <v>44166</v>
      </c>
      <c r="X411" s="37">
        <v>42095</v>
      </c>
      <c r="Y411" s="37">
        <v>42114</v>
      </c>
      <c r="Z411" s="63" t="str">
        <f t="shared" ref="Z411:Z421" ca="1" si="29">DATEDIF(X411,TODAY(),"y")&amp;" Tahun "&amp;DATEDIF(X411,TODAY(),"ym")&amp;" Bulan "&amp;DATEDIF(X411,TODAY(),"md")&amp;" Hari"</f>
        <v>10 Tahun 6 Bulan 30 Hari</v>
      </c>
      <c r="AA411" s="63" t="s">
        <v>297</v>
      </c>
      <c r="AB411" s="39">
        <v>32230</v>
      </c>
      <c r="AC411" s="31" t="s">
        <v>2087</v>
      </c>
      <c r="AD411" s="57" t="str">
        <f t="shared" ca="1" si="27"/>
        <v xml:space="preserve">37 Tahun 7 Bulan </v>
      </c>
      <c r="AE411" s="38" t="s">
        <v>1106</v>
      </c>
      <c r="AF411" s="96"/>
      <c r="AG411" s="22" t="s">
        <v>2040</v>
      </c>
      <c r="AH411" s="58"/>
      <c r="AI411" s="58"/>
      <c r="AJ411" s="58"/>
      <c r="AK411" s="33"/>
      <c r="AL411" s="36"/>
    </row>
    <row r="412" spans="1:39" ht="14.45" customHeight="1" x14ac:dyDescent="0.25">
      <c r="A412" s="17">
        <v>11</v>
      </c>
      <c r="B412" s="78"/>
      <c r="C412" s="50" t="s">
        <v>2088</v>
      </c>
      <c r="D412" s="20" t="s">
        <v>2089</v>
      </c>
      <c r="E412" s="21" t="s">
        <v>56</v>
      </c>
      <c r="F412" s="22" t="s">
        <v>238</v>
      </c>
      <c r="G412" s="33" t="s">
        <v>3872</v>
      </c>
      <c r="H412" s="22" t="s">
        <v>1078</v>
      </c>
      <c r="I412" s="22" t="s">
        <v>44</v>
      </c>
      <c r="J412" s="22" t="s">
        <v>1293</v>
      </c>
      <c r="K412" s="22"/>
      <c r="L412" s="25" t="s">
        <v>2090</v>
      </c>
      <c r="M412" s="26">
        <v>42926</v>
      </c>
      <c r="N412" s="26">
        <v>44621</v>
      </c>
      <c r="O412" s="27" t="s">
        <v>1155</v>
      </c>
      <c r="P412" s="28"/>
      <c r="Q412" s="43"/>
      <c r="R412" s="26"/>
      <c r="S412" s="23" t="s">
        <v>1167</v>
      </c>
      <c r="T412" s="23"/>
      <c r="U412" s="23"/>
      <c r="V412" s="23"/>
      <c r="W412" s="77">
        <v>45047</v>
      </c>
      <c r="X412" s="30">
        <v>39085</v>
      </c>
      <c r="Y412" s="30">
        <v>42424</v>
      </c>
      <c r="Z412" s="31" t="str">
        <f t="shared" ca="1" si="29"/>
        <v>18 Tahun 9 Bulan 28 Hari</v>
      </c>
      <c r="AA412" s="31" t="s">
        <v>76</v>
      </c>
      <c r="AB412" s="32">
        <v>30390</v>
      </c>
      <c r="AC412" s="31" t="s">
        <v>2091</v>
      </c>
      <c r="AD412" s="22" t="str">
        <f t="shared" ca="1" si="27"/>
        <v xml:space="preserve">42 Tahun 7 Bulan </v>
      </c>
      <c r="AE412" s="33" t="s">
        <v>1106</v>
      </c>
      <c r="AF412" s="34"/>
      <c r="AG412" s="22" t="s">
        <v>2040</v>
      </c>
      <c r="AH412" s="38"/>
      <c r="AI412" s="38"/>
      <c r="AJ412" s="38"/>
      <c r="AK412" s="38" t="s">
        <v>112</v>
      </c>
      <c r="AL412" s="38"/>
      <c r="AM412" s="47"/>
    </row>
    <row r="413" spans="1:39" ht="14.45" customHeight="1" x14ac:dyDescent="0.25">
      <c r="A413" s="17">
        <v>12</v>
      </c>
      <c r="B413" s="78"/>
      <c r="C413" s="50" t="s">
        <v>5788</v>
      </c>
      <c r="D413" s="20" t="s">
        <v>2092</v>
      </c>
      <c r="E413" s="52" t="s">
        <v>40</v>
      </c>
      <c r="F413" s="58" t="s">
        <v>238</v>
      </c>
      <c r="G413" s="33" t="s">
        <v>3872</v>
      </c>
      <c r="H413" s="22" t="s">
        <v>1078</v>
      </c>
      <c r="I413" s="22" t="s">
        <v>44</v>
      </c>
      <c r="J413" s="22" t="s">
        <v>1293</v>
      </c>
      <c r="K413" s="22"/>
      <c r="L413" s="25" t="s">
        <v>2093</v>
      </c>
      <c r="M413" s="26">
        <v>42926</v>
      </c>
      <c r="N413" s="26">
        <v>44751</v>
      </c>
      <c r="O413" s="27" t="s">
        <v>1155</v>
      </c>
      <c r="P413" s="53" t="s">
        <v>2094</v>
      </c>
      <c r="Q413" s="29">
        <v>43048</v>
      </c>
      <c r="R413" s="26">
        <v>44746</v>
      </c>
      <c r="S413" s="23" t="s">
        <v>1172</v>
      </c>
      <c r="T413" s="23"/>
      <c r="U413" s="23"/>
      <c r="V413" s="23"/>
      <c r="W413" s="77">
        <v>45383</v>
      </c>
      <c r="X413" s="30">
        <v>41030</v>
      </c>
      <c r="Y413" s="30">
        <v>41061</v>
      </c>
      <c r="Z413" s="55" t="str">
        <f t="shared" ca="1" si="29"/>
        <v>13 Tahun 5 Bulan 30 Hari</v>
      </c>
      <c r="AA413" s="55" t="s">
        <v>76</v>
      </c>
      <c r="AB413" s="56">
        <v>32698</v>
      </c>
      <c r="AC413" s="31" t="s">
        <v>2095</v>
      </c>
      <c r="AD413" s="57" t="str">
        <f t="shared" ca="1" si="27"/>
        <v xml:space="preserve">36 Tahun 3 Bulan </v>
      </c>
      <c r="AE413" s="33" t="s">
        <v>1106</v>
      </c>
      <c r="AF413" s="71"/>
      <c r="AG413" s="22" t="s">
        <v>2040</v>
      </c>
      <c r="AH413" s="22"/>
      <c r="AI413" s="22"/>
      <c r="AJ413" s="22"/>
      <c r="AK413" s="33" t="s">
        <v>314</v>
      </c>
      <c r="AL413" s="41"/>
    </row>
    <row r="414" spans="1:39" ht="14.45" customHeight="1" x14ac:dyDescent="0.25">
      <c r="A414" s="17">
        <v>13</v>
      </c>
      <c r="B414" s="78"/>
      <c r="C414" s="50" t="s">
        <v>2096</v>
      </c>
      <c r="D414" s="62">
        <v>2023110701</v>
      </c>
      <c r="E414" s="21" t="s">
        <v>56</v>
      </c>
      <c r="F414" s="22" t="s">
        <v>1063</v>
      </c>
      <c r="G414" s="23" t="s">
        <v>3872</v>
      </c>
      <c r="H414" s="22" t="s">
        <v>3872</v>
      </c>
      <c r="I414" s="22"/>
      <c r="J414" s="22"/>
      <c r="K414" s="30"/>
      <c r="L414" s="25"/>
      <c r="M414" s="29"/>
      <c r="N414" s="26"/>
      <c r="O414" s="27"/>
      <c r="P414" s="28"/>
      <c r="Q414" s="29"/>
      <c r="R414" s="26"/>
      <c r="S414" s="23" t="s">
        <v>1172</v>
      </c>
      <c r="T414" s="23">
        <v>2022</v>
      </c>
      <c r="U414" s="23"/>
      <c r="V414" s="23"/>
      <c r="W414" s="30"/>
      <c r="X414" s="30">
        <v>45231</v>
      </c>
      <c r="Y414" s="30">
        <v>45231</v>
      </c>
      <c r="Z414" s="31" t="str">
        <f t="shared" ca="1" si="29"/>
        <v>1 Tahun 11 Bulan 30 Hari</v>
      </c>
      <c r="AA414" s="31" t="s">
        <v>1540</v>
      </c>
      <c r="AB414" s="32">
        <v>37031</v>
      </c>
      <c r="AC414" s="31" t="s">
        <v>2097</v>
      </c>
      <c r="AD414" s="22" t="str">
        <f t="shared" ca="1" si="27"/>
        <v xml:space="preserve">24 Tahun 5 Bulan </v>
      </c>
      <c r="AE414" s="33" t="s">
        <v>1106</v>
      </c>
      <c r="AF414" s="34"/>
      <c r="AG414" s="58" t="s">
        <v>2040</v>
      </c>
      <c r="AH414" s="58"/>
      <c r="AI414" s="58"/>
      <c r="AJ414" s="58"/>
      <c r="AK414" s="33" t="s">
        <v>485</v>
      </c>
      <c r="AL414" s="36"/>
    </row>
    <row r="415" spans="1:39" ht="14.45" customHeight="1" x14ac:dyDescent="0.25">
      <c r="A415" s="17">
        <v>14</v>
      </c>
      <c r="B415" s="78"/>
      <c r="C415" s="50" t="s">
        <v>2098</v>
      </c>
      <c r="D415" s="62">
        <v>2023110695</v>
      </c>
      <c r="E415" s="21" t="s">
        <v>56</v>
      </c>
      <c r="F415" s="22" t="s">
        <v>1063</v>
      </c>
      <c r="G415" s="23" t="s">
        <v>3872</v>
      </c>
      <c r="H415" s="22" t="s">
        <v>3872</v>
      </c>
      <c r="I415" s="22"/>
      <c r="J415" s="22"/>
      <c r="K415" s="30"/>
      <c r="L415" s="25"/>
      <c r="M415" s="29"/>
      <c r="N415" s="26"/>
      <c r="O415" s="27"/>
      <c r="P415" s="28"/>
      <c r="Q415" s="29"/>
      <c r="R415" s="26"/>
      <c r="S415" s="23" t="s">
        <v>1172</v>
      </c>
      <c r="T415" s="23">
        <v>2021</v>
      </c>
      <c r="U415" s="23"/>
      <c r="V415" s="23"/>
      <c r="W415" s="30"/>
      <c r="X415" s="30">
        <v>45231</v>
      </c>
      <c r="Y415" s="30">
        <v>45231</v>
      </c>
      <c r="Z415" s="31" t="str">
        <f t="shared" ca="1" si="29"/>
        <v>1 Tahun 11 Bulan 30 Hari</v>
      </c>
      <c r="AA415" s="31" t="s">
        <v>2050</v>
      </c>
      <c r="AB415" s="32">
        <v>36269</v>
      </c>
      <c r="AC415" s="31" t="s">
        <v>2099</v>
      </c>
      <c r="AD415" s="22" t="str">
        <f t="shared" ca="1" si="27"/>
        <v xml:space="preserve">26 Tahun 6 Bulan </v>
      </c>
      <c r="AE415" s="33" t="s">
        <v>1106</v>
      </c>
      <c r="AF415" s="34"/>
      <c r="AG415" s="58" t="s">
        <v>2040</v>
      </c>
      <c r="AH415" s="22"/>
      <c r="AI415" s="22"/>
      <c r="AJ415" s="22"/>
      <c r="AK415" s="33"/>
      <c r="AL415" s="36"/>
    </row>
    <row r="416" spans="1:39" ht="14.45" customHeight="1" x14ac:dyDescent="0.25">
      <c r="A416" s="17">
        <v>15</v>
      </c>
      <c r="B416" s="134"/>
      <c r="C416" s="50" t="s">
        <v>2100</v>
      </c>
      <c r="D416" s="137" t="s">
        <v>2101</v>
      </c>
      <c r="E416" s="52" t="s">
        <v>56</v>
      </c>
      <c r="F416" s="58" t="s">
        <v>41</v>
      </c>
      <c r="G416" s="89" t="s">
        <v>102</v>
      </c>
      <c r="H416" s="22" t="s">
        <v>103</v>
      </c>
      <c r="I416" s="58" t="s">
        <v>44</v>
      </c>
      <c r="J416" s="22" t="s">
        <v>1166</v>
      </c>
      <c r="K416" s="24">
        <v>45566</v>
      </c>
      <c r="L416" s="25" t="s">
        <v>2102</v>
      </c>
      <c r="M416" s="26">
        <v>43202</v>
      </c>
      <c r="N416" s="26">
        <v>44965</v>
      </c>
      <c r="O416" s="27" t="s">
        <v>148</v>
      </c>
      <c r="P416" s="53" t="s">
        <v>2103</v>
      </c>
      <c r="Q416" s="26">
        <v>43367</v>
      </c>
      <c r="R416" s="26">
        <v>44965</v>
      </c>
      <c r="S416" s="33" t="s">
        <v>1172</v>
      </c>
      <c r="T416" s="33"/>
      <c r="U416" s="33"/>
      <c r="V416" s="33"/>
      <c r="W416" s="95">
        <v>41244</v>
      </c>
      <c r="X416" s="30">
        <v>41334</v>
      </c>
      <c r="Y416" s="30">
        <v>41579</v>
      </c>
      <c r="Z416" s="55" t="str">
        <f t="shared" ca="1" si="29"/>
        <v>12 Tahun 7 Bulan 30 Hari</v>
      </c>
      <c r="AA416" s="55" t="s">
        <v>76</v>
      </c>
      <c r="AB416" s="56">
        <v>33277</v>
      </c>
      <c r="AC416" s="31" t="s">
        <v>2104</v>
      </c>
      <c r="AD416" s="57" t="str">
        <f t="shared" ca="1" si="27"/>
        <v xml:space="preserve">34 Tahun 8 Bulan </v>
      </c>
      <c r="AE416" s="33" t="s">
        <v>1106</v>
      </c>
      <c r="AF416" s="71"/>
      <c r="AG416" s="58" t="s">
        <v>2040</v>
      </c>
      <c r="AH416" s="22"/>
      <c r="AI416" s="22"/>
      <c r="AJ416" s="22"/>
      <c r="AK416" s="33"/>
      <c r="AL416" s="36"/>
    </row>
    <row r="417" spans="1:39" ht="14.45" customHeight="1" x14ac:dyDescent="0.25">
      <c r="A417" s="17">
        <v>16</v>
      </c>
      <c r="B417" s="78"/>
      <c r="C417" s="50" t="s">
        <v>2105</v>
      </c>
      <c r="D417" s="62">
        <v>2023110667</v>
      </c>
      <c r="E417" s="21" t="s">
        <v>56</v>
      </c>
      <c r="F417" s="22" t="s">
        <v>1063</v>
      </c>
      <c r="G417" s="23" t="s">
        <v>3872</v>
      </c>
      <c r="H417" s="22" t="s">
        <v>3872</v>
      </c>
      <c r="I417" s="22"/>
      <c r="J417" s="22"/>
      <c r="K417" s="30"/>
      <c r="L417" s="25"/>
      <c r="M417" s="29"/>
      <c r="N417" s="26"/>
      <c r="O417" s="27"/>
      <c r="P417" s="28"/>
      <c r="Q417" s="29"/>
      <c r="R417" s="26"/>
      <c r="S417" s="23" t="s">
        <v>84</v>
      </c>
      <c r="T417" s="23">
        <v>2023</v>
      </c>
      <c r="U417" s="23"/>
      <c r="V417" s="23"/>
      <c r="W417" s="30"/>
      <c r="X417" s="30">
        <v>45231</v>
      </c>
      <c r="Y417" s="30">
        <v>45231</v>
      </c>
      <c r="Z417" s="31" t="str">
        <f t="shared" ca="1" si="29"/>
        <v>1 Tahun 11 Bulan 30 Hari</v>
      </c>
      <c r="AA417" s="31" t="s">
        <v>697</v>
      </c>
      <c r="AB417" s="32">
        <v>36336</v>
      </c>
      <c r="AC417" s="31" t="s">
        <v>2106</v>
      </c>
      <c r="AD417" s="22" t="str">
        <f t="shared" ca="1" si="27"/>
        <v xml:space="preserve">26 Tahun 4 Bulan </v>
      </c>
      <c r="AE417" s="33" t="s">
        <v>1106</v>
      </c>
      <c r="AF417" s="34"/>
      <c r="AG417" s="58" t="s">
        <v>2040</v>
      </c>
      <c r="AH417" s="58"/>
      <c r="AI417" s="58"/>
      <c r="AJ417" s="58"/>
      <c r="AK417" s="34"/>
      <c r="AL417" s="36"/>
    </row>
    <row r="418" spans="1:39" ht="14.45" customHeight="1" x14ac:dyDescent="0.25">
      <c r="A418" s="17">
        <v>17</v>
      </c>
      <c r="B418" s="78"/>
      <c r="C418" s="50" t="s">
        <v>2107</v>
      </c>
      <c r="D418" s="62" t="s">
        <v>2108</v>
      </c>
      <c r="E418" s="21" t="s">
        <v>56</v>
      </c>
      <c r="F418" s="22" t="s">
        <v>238</v>
      </c>
      <c r="G418" s="23" t="s">
        <v>3872</v>
      </c>
      <c r="H418" s="22" t="s">
        <v>305</v>
      </c>
      <c r="I418" s="22" t="s">
        <v>44</v>
      </c>
      <c r="J418" s="22" t="s">
        <v>1104</v>
      </c>
      <c r="K418" s="30"/>
      <c r="L418" s="25"/>
      <c r="M418" s="29"/>
      <c r="N418" s="26"/>
      <c r="O418" s="27"/>
      <c r="P418" s="28"/>
      <c r="Q418" s="29"/>
      <c r="R418" s="26"/>
      <c r="S418" s="23" t="s">
        <v>84</v>
      </c>
      <c r="T418" s="23"/>
      <c r="U418" s="23"/>
      <c r="V418" s="23"/>
      <c r="W418" s="30">
        <v>45383</v>
      </c>
      <c r="X418" s="30">
        <v>45383</v>
      </c>
      <c r="Y418" s="30">
        <v>45383</v>
      </c>
      <c r="Z418" s="31" t="str">
        <f t="shared" ca="1" si="29"/>
        <v>1 Tahun 6 Bulan 30 Hari</v>
      </c>
      <c r="AA418" s="31" t="s">
        <v>206</v>
      </c>
      <c r="AB418" s="32">
        <v>35024</v>
      </c>
      <c r="AC418" s="31" t="s">
        <v>2109</v>
      </c>
      <c r="AD418" s="22" t="str">
        <f t="shared" ca="1" si="27"/>
        <v xml:space="preserve">29 Tahun 11 Bulan </v>
      </c>
      <c r="AE418" s="33" t="s">
        <v>1106</v>
      </c>
      <c r="AF418" s="34"/>
      <c r="AG418" s="58" t="s">
        <v>2040</v>
      </c>
      <c r="AH418" s="22"/>
      <c r="AI418" s="22"/>
      <c r="AJ418" s="22"/>
      <c r="AK418" s="33"/>
      <c r="AL418" s="36"/>
    </row>
    <row r="419" spans="1:39" ht="14.45" customHeight="1" x14ac:dyDescent="0.25">
      <c r="A419" s="17">
        <v>18</v>
      </c>
      <c r="B419" s="78"/>
      <c r="C419" s="50" t="s">
        <v>2110</v>
      </c>
      <c r="D419" s="62" t="s">
        <v>2111</v>
      </c>
      <c r="E419" s="21" t="s">
        <v>56</v>
      </c>
      <c r="F419" s="22" t="s">
        <v>238</v>
      </c>
      <c r="G419" s="23" t="s">
        <v>3872</v>
      </c>
      <c r="H419" s="22" t="s">
        <v>305</v>
      </c>
      <c r="I419" s="22" t="s">
        <v>44</v>
      </c>
      <c r="J419" s="22" t="s">
        <v>1104</v>
      </c>
      <c r="K419" s="30"/>
      <c r="L419" s="25"/>
      <c r="M419" s="29"/>
      <c r="N419" s="26"/>
      <c r="O419" s="27"/>
      <c r="P419" s="28"/>
      <c r="Q419" s="29"/>
      <c r="R419" s="26"/>
      <c r="S419" s="23" t="s">
        <v>84</v>
      </c>
      <c r="T419" s="23"/>
      <c r="U419" s="23"/>
      <c r="V419" s="23"/>
      <c r="W419" s="30">
        <v>45383</v>
      </c>
      <c r="X419" s="30">
        <v>45383</v>
      </c>
      <c r="Y419" s="30">
        <v>45383</v>
      </c>
      <c r="Z419" s="31" t="str">
        <f t="shared" ca="1" si="29"/>
        <v>1 Tahun 6 Bulan 30 Hari</v>
      </c>
      <c r="AA419" s="31" t="s">
        <v>203</v>
      </c>
      <c r="AB419" s="32">
        <v>34224</v>
      </c>
      <c r="AC419" s="31" t="s">
        <v>2112</v>
      </c>
      <c r="AD419" s="22" t="str">
        <f t="shared" ca="1" si="27"/>
        <v xml:space="preserve">32 Tahun 1 Bulan </v>
      </c>
      <c r="AE419" s="33" t="s">
        <v>1106</v>
      </c>
      <c r="AF419" s="34"/>
      <c r="AG419" s="58" t="s">
        <v>2040</v>
      </c>
      <c r="AH419" s="22"/>
      <c r="AI419" s="22"/>
      <c r="AJ419" s="22"/>
      <c r="AK419" s="33" t="s">
        <v>485</v>
      </c>
      <c r="AL419" s="36"/>
    </row>
    <row r="420" spans="1:39" ht="14.45" customHeight="1" x14ac:dyDescent="0.25">
      <c r="A420" s="17">
        <v>19</v>
      </c>
      <c r="B420" s="18"/>
      <c r="C420" s="50" t="s">
        <v>5789</v>
      </c>
      <c r="D420" s="20" t="s">
        <v>2113</v>
      </c>
      <c r="E420" s="21" t="s">
        <v>56</v>
      </c>
      <c r="F420" s="22" t="s">
        <v>192</v>
      </c>
      <c r="G420" s="23" t="s">
        <v>227</v>
      </c>
      <c r="H420" s="22" t="s">
        <v>228</v>
      </c>
      <c r="I420" s="22" t="s">
        <v>155</v>
      </c>
      <c r="J420" s="22" t="s">
        <v>1104</v>
      </c>
      <c r="K420" s="24" t="s">
        <v>195</v>
      </c>
      <c r="L420" s="22"/>
      <c r="M420" s="22"/>
      <c r="N420" s="22"/>
      <c r="O420" s="22"/>
      <c r="P420" s="22"/>
      <c r="Q420" s="22"/>
      <c r="R420" s="22"/>
      <c r="S420" s="23" t="s">
        <v>84</v>
      </c>
      <c r="T420" s="23"/>
      <c r="U420" s="23"/>
      <c r="V420" s="23"/>
      <c r="W420" s="69">
        <v>45809</v>
      </c>
      <c r="X420" s="69">
        <v>45810</v>
      </c>
      <c r="Y420" s="69">
        <v>45810</v>
      </c>
      <c r="Z420" s="31" t="str">
        <f t="shared" ca="1" si="29"/>
        <v>0 Tahun 4 Bulan 29 Hari</v>
      </c>
      <c r="AA420" s="23" t="s">
        <v>203</v>
      </c>
      <c r="AB420" s="32">
        <v>36202</v>
      </c>
      <c r="AC420" s="32" t="s">
        <v>2114</v>
      </c>
      <c r="AD420" s="22" t="str">
        <f t="shared" ca="1" si="27"/>
        <v xml:space="preserve">26 Tahun 8 Bulan </v>
      </c>
      <c r="AE420" s="33" t="s">
        <v>1106</v>
      </c>
      <c r="AF420" s="34"/>
      <c r="AG420" s="58" t="s">
        <v>2040</v>
      </c>
      <c r="AH420" s="22"/>
      <c r="AI420" s="22"/>
      <c r="AJ420" s="22"/>
      <c r="AK420" s="33" t="s">
        <v>485</v>
      </c>
      <c r="AL420" s="36"/>
    </row>
    <row r="421" spans="1:39" ht="14.45" customHeight="1" x14ac:dyDescent="0.25">
      <c r="A421" s="17">
        <v>20</v>
      </c>
      <c r="B421" s="78"/>
      <c r="C421" s="50" t="s">
        <v>2116</v>
      </c>
      <c r="D421" s="62" t="s">
        <v>2117</v>
      </c>
      <c r="E421" s="92" t="s">
        <v>56</v>
      </c>
      <c r="F421" s="35" t="s">
        <v>41</v>
      </c>
      <c r="G421" s="23" t="s">
        <v>227</v>
      </c>
      <c r="H421" s="22" t="s">
        <v>228</v>
      </c>
      <c r="I421" s="22" t="s">
        <v>44</v>
      </c>
      <c r="J421" s="22" t="s">
        <v>1148</v>
      </c>
      <c r="K421" s="24">
        <v>45505</v>
      </c>
      <c r="L421" s="25" t="s">
        <v>2118</v>
      </c>
      <c r="M421" s="26">
        <v>42926</v>
      </c>
      <c r="N421" s="26">
        <v>44653</v>
      </c>
      <c r="O421" s="27" t="s">
        <v>1155</v>
      </c>
      <c r="P421" s="28" t="s">
        <v>2119</v>
      </c>
      <c r="Q421" s="29">
        <v>43052</v>
      </c>
      <c r="R421" s="26">
        <v>44653</v>
      </c>
      <c r="S421" s="65" t="s">
        <v>84</v>
      </c>
      <c r="T421" s="38"/>
      <c r="U421" s="38"/>
      <c r="V421" s="38"/>
      <c r="W421" s="30">
        <v>44166</v>
      </c>
      <c r="X421" s="37">
        <v>40330</v>
      </c>
      <c r="Y421" s="37">
        <v>40360</v>
      </c>
      <c r="Z421" s="93" t="str">
        <f t="shared" ca="1" si="29"/>
        <v>15 Tahun 4 Bulan 30 Hari</v>
      </c>
      <c r="AA421" s="93" t="s">
        <v>76</v>
      </c>
      <c r="AB421" s="94">
        <v>31139</v>
      </c>
      <c r="AC421" s="31" t="s">
        <v>2120</v>
      </c>
      <c r="AD421" s="57" t="str">
        <f t="shared" ca="1" si="27"/>
        <v xml:space="preserve">40 Tahun 6 Bulan </v>
      </c>
      <c r="AE421" s="154" t="s">
        <v>1106</v>
      </c>
      <c r="AF421" s="172"/>
      <c r="AG421" s="22" t="s">
        <v>2040</v>
      </c>
      <c r="AH421" s="22"/>
      <c r="AI421" s="22"/>
      <c r="AJ421" s="22"/>
      <c r="AK421" s="33" t="s">
        <v>2115</v>
      </c>
      <c r="AL421" s="36"/>
    </row>
    <row r="422" spans="1:39" ht="14.45" customHeight="1" x14ac:dyDescent="0.25">
      <c r="A422" s="17">
        <v>21</v>
      </c>
      <c r="B422" s="134"/>
      <c r="C422" s="50" t="s">
        <v>2122</v>
      </c>
      <c r="D422" s="20" t="s">
        <v>2123</v>
      </c>
      <c r="E422" s="52" t="s">
        <v>56</v>
      </c>
      <c r="F422" s="58" t="s">
        <v>41</v>
      </c>
      <c r="G422" s="89" t="s">
        <v>102</v>
      </c>
      <c r="H422" s="22" t="s">
        <v>103</v>
      </c>
      <c r="I422" s="58" t="s">
        <v>44</v>
      </c>
      <c r="J422" s="22" t="s">
        <v>1166</v>
      </c>
      <c r="K422" s="24">
        <v>44652</v>
      </c>
      <c r="L422" s="53" t="s">
        <v>2124</v>
      </c>
      <c r="M422" s="26">
        <v>43047</v>
      </c>
      <c r="N422" s="26">
        <v>44563</v>
      </c>
      <c r="O422" s="27" t="s">
        <v>1155</v>
      </c>
      <c r="P422" s="53" t="s">
        <v>2125</v>
      </c>
      <c r="Q422" s="26">
        <v>43341</v>
      </c>
      <c r="R422" s="29">
        <v>44563</v>
      </c>
      <c r="S422" s="23" t="s">
        <v>84</v>
      </c>
      <c r="T422" s="23"/>
      <c r="U422" s="23"/>
      <c r="V422" s="23"/>
      <c r="W422" s="30">
        <v>40148</v>
      </c>
      <c r="X422" s="30">
        <v>40238</v>
      </c>
      <c r="Y422" s="30">
        <v>42125</v>
      </c>
      <c r="Z422" s="31" t="str">
        <f ca="1">DATEDIF(W422,TODAY(),"y")&amp;" Tahun "&amp;DATEDIF(W422,TODAY(),"ym")&amp;" Bulan "&amp;DATEDIF(W422,TODAY(),"md")&amp;" Hari"</f>
        <v>15 Tahun 10 Bulan 30 Hari</v>
      </c>
      <c r="AA422" s="31" t="s">
        <v>1279</v>
      </c>
      <c r="AB422" s="32">
        <v>29953</v>
      </c>
      <c r="AC422" s="32" t="s">
        <v>2126</v>
      </c>
      <c r="AD422" s="22" t="str">
        <f t="shared" ca="1" si="27"/>
        <v xml:space="preserve">43 Tahun 9 Bulan </v>
      </c>
      <c r="AE422" s="33" t="s">
        <v>1158</v>
      </c>
      <c r="AF422" s="71"/>
      <c r="AG422" s="22" t="s">
        <v>2040</v>
      </c>
      <c r="AH422" s="38"/>
      <c r="AI422" s="38"/>
      <c r="AJ422" s="154"/>
      <c r="AK422" s="33" t="s">
        <v>2121</v>
      </c>
      <c r="AL422" s="38"/>
      <c r="AM422" s="47"/>
    </row>
    <row r="423" spans="1:39" ht="14.45" customHeight="1" x14ac:dyDescent="0.25">
      <c r="A423" s="17">
        <v>22</v>
      </c>
      <c r="B423" s="78"/>
      <c r="C423" s="50" t="s">
        <v>2127</v>
      </c>
      <c r="D423" s="68" t="s">
        <v>2128</v>
      </c>
      <c r="E423" s="22" t="s">
        <v>40</v>
      </c>
      <c r="F423" s="22" t="s">
        <v>41</v>
      </c>
      <c r="G423" s="33" t="s">
        <v>137</v>
      </c>
      <c r="H423" s="22" t="s">
        <v>138</v>
      </c>
      <c r="I423" s="22" t="s">
        <v>44</v>
      </c>
      <c r="J423" s="22" t="s">
        <v>1166</v>
      </c>
      <c r="K423" s="24">
        <v>45017</v>
      </c>
      <c r="L423" s="53" t="s">
        <v>2129</v>
      </c>
      <c r="M423" s="26">
        <v>42290</v>
      </c>
      <c r="N423" s="26">
        <v>43953</v>
      </c>
      <c r="O423" s="27" t="s">
        <v>148</v>
      </c>
      <c r="P423" s="28" t="s">
        <v>2130</v>
      </c>
      <c r="Q423" s="29">
        <v>43154</v>
      </c>
      <c r="R423" s="26">
        <v>43953</v>
      </c>
      <c r="S423" s="33" t="s">
        <v>1172</v>
      </c>
      <c r="T423" s="33"/>
      <c r="U423" s="33"/>
      <c r="V423" s="33"/>
      <c r="W423" s="30">
        <v>38353</v>
      </c>
      <c r="X423" s="30">
        <v>41153</v>
      </c>
      <c r="Y423" s="30"/>
      <c r="Z423" s="31" t="str">
        <f ca="1">DATEDIF(W423,TODAY(),"y")&amp;" Tahun "&amp;DATEDIF(W423,TODAY(),"ym")&amp;" Bulan "&amp;DATEDIF(W423,TODAY(),"md")&amp;" Hari"</f>
        <v>20 Tahun 9 Bulan 30 Hari</v>
      </c>
      <c r="AA423" s="31" t="s">
        <v>2131</v>
      </c>
      <c r="AB423" s="32">
        <v>29708</v>
      </c>
      <c r="AC423" s="31" t="s">
        <v>2132</v>
      </c>
      <c r="AD423" s="22" t="str">
        <f t="shared" ca="1" si="27"/>
        <v xml:space="preserve">44 Tahun 5 Bulan </v>
      </c>
      <c r="AE423" s="33" t="s">
        <v>1106</v>
      </c>
      <c r="AF423" s="34"/>
      <c r="AG423" s="22" t="s">
        <v>2040</v>
      </c>
      <c r="AH423" s="58"/>
      <c r="AI423" s="58"/>
      <c r="AJ423" s="58"/>
      <c r="AK423" s="33" t="s">
        <v>2121</v>
      </c>
      <c r="AL423" s="36"/>
    </row>
    <row r="424" spans="1:39" ht="14.45" customHeight="1" x14ac:dyDescent="0.25">
      <c r="A424" s="17">
        <v>23</v>
      </c>
      <c r="B424" s="78"/>
      <c r="C424" s="50" t="s">
        <v>2133</v>
      </c>
      <c r="D424" s="20" t="s">
        <v>2134</v>
      </c>
      <c r="E424" s="21" t="s">
        <v>56</v>
      </c>
      <c r="F424" s="22" t="s">
        <v>238</v>
      </c>
      <c r="G424" s="23" t="s">
        <v>3872</v>
      </c>
      <c r="H424" s="22" t="s">
        <v>1078</v>
      </c>
      <c r="I424" s="22" t="s">
        <v>44</v>
      </c>
      <c r="J424" s="22" t="s">
        <v>1293</v>
      </c>
      <c r="K424" s="30"/>
      <c r="L424" s="53" t="s">
        <v>2135</v>
      </c>
      <c r="M424" s="26">
        <v>43145</v>
      </c>
      <c r="N424" s="26">
        <v>45135</v>
      </c>
      <c r="O424" s="27" t="s">
        <v>148</v>
      </c>
      <c r="P424" s="28" t="s">
        <v>2136</v>
      </c>
      <c r="Q424" s="29">
        <v>42025</v>
      </c>
      <c r="R424" s="26">
        <v>42205</v>
      </c>
      <c r="S424" s="23" t="s">
        <v>1172</v>
      </c>
      <c r="T424" s="23"/>
      <c r="U424" s="23"/>
      <c r="V424" s="23"/>
      <c r="W424" s="30">
        <v>45047</v>
      </c>
      <c r="X424" s="30">
        <v>40330</v>
      </c>
      <c r="Y424" s="30">
        <v>40725</v>
      </c>
      <c r="Z424" s="31" t="str">
        <f t="shared" ref="Z424:Z436" ca="1" si="30">DATEDIF(X424,TODAY(),"y")&amp;" Tahun "&amp;DATEDIF(X424,TODAY(),"ym")&amp;" Bulan "&amp;DATEDIF(X424,TODAY(),"md")&amp;" Hari"</f>
        <v>15 Tahun 4 Bulan 30 Hari</v>
      </c>
      <c r="AA424" s="31" t="s">
        <v>76</v>
      </c>
      <c r="AB424" s="32">
        <v>31256</v>
      </c>
      <c r="AC424" s="31" t="s">
        <v>2137</v>
      </c>
      <c r="AD424" s="22" t="str">
        <f t="shared" ref="AD424:AD487" ca="1" si="31">DATEDIF(AB424,TODAY(),"y")&amp;" Tahun "&amp;DATEDIF(AB424,TODAY(),"ym")&amp;" Bulan "</f>
        <v xml:space="preserve">40 Tahun 3 Bulan </v>
      </c>
      <c r="AE424" s="33" t="s">
        <v>1106</v>
      </c>
      <c r="AF424" s="34"/>
      <c r="AG424" s="22" t="s">
        <v>2040</v>
      </c>
      <c r="AH424" s="22"/>
      <c r="AI424" s="22"/>
      <c r="AJ424" s="22"/>
      <c r="AK424" s="33" t="s">
        <v>2121</v>
      </c>
      <c r="AL424" s="22"/>
    </row>
    <row r="425" spans="1:39" ht="14.45" customHeight="1" x14ac:dyDescent="0.25">
      <c r="A425" s="17">
        <v>24</v>
      </c>
      <c r="B425" s="78"/>
      <c r="C425" s="50" t="s">
        <v>5790</v>
      </c>
      <c r="D425" s="20" t="s">
        <v>2138</v>
      </c>
      <c r="E425" s="52" t="s">
        <v>56</v>
      </c>
      <c r="F425" s="22" t="s">
        <v>238</v>
      </c>
      <c r="G425" s="33" t="s">
        <v>3872</v>
      </c>
      <c r="H425" s="22" t="s">
        <v>1078</v>
      </c>
      <c r="I425" s="22" t="s">
        <v>44</v>
      </c>
      <c r="J425" s="22" t="s">
        <v>1293</v>
      </c>
      <c r="K425" s="22"/>
      <c r="L425" s="25" t="s">
        <v>2139</v>
      </c>
      <c r="M425" s="26">
        <v>42641</v>
      </c>
      <c r="N425" s="26">
        <v>44316</v>
      </c>
      <c r="O425" s="27" t="s">
        <v>148</v>
      </c>
      <c r="P425" s="53" t="s">
        <v>2140</v>
      </c>
      <c r="Q425" s="29">
        <v>43048</v>
      </c>
      <c r="R425" s="26">
        <v>44316</v>
      </c>
      <c r="S425" s="23" t="s">
        <v>1172</v>
      </c>
      <c r="T425" s="23"/>
      <c r="U425" s="23"/>
      <c r="V425" s="23"/>
      <c r="W425" s="77">
        <v>45047</v>
      </c>
      <c r="X425" s="30">
        <v>41030</v>
      </c>
      <c r="Y425" s="30">
        <v>41061</v>
      </c>
      <c r="Z425" s="55" t="str">
        <f t="shared" ca="1" si="30"/>
        <v>13 Tahun 5 Bulan 30 Hari</v>
      </c>
      <c r="AA425" s="55" t="s">
        <v>97</v>
      </c>
      <c r="AB425" s="56">
        <v>32993</v>
      </c>
      <c r="AC425" s="31" t="s">
        <v>2141</v>
      </c>
      <c r="AD425" s="57" t="str">
        <f t="shared" ca="1" si="31"/>
        <v xml:space="preserve">35 Tahun 6 Bulan </v>
      </c>
      <c r="AE425" s="33" t="s">
        <v>1106</v>
      </c>
      <c r="AF425" s="71"/>
      <c r="AG425" s="22" t="s">
        <v>2040</v>
      </c>
      <c r="AH425" s="22"/>
      <c r="AI425" s="22"/>
      <c r="AJ425" s="22"/>
      <c r="AK425" s="33" t="s">
        <v>2121</v>
      </c>
      <c r="AL425" s="36"/>
    </row>
    <row r="426" spans="1:39" ht="14.45" customHeight="1" x14ac:dyDescent="0.25">
      <c r="A426" s="17">
        <v>25</v>
      </c>
      <c r="B426" s="78"/>
      <c r="C426" s="50" t="s">
        <v>2142</v>
      </c>
      <c r="D426" s="20">
        <v>2024080724</v>
      </c>
      <c r="E426" s="21" t="s">
        <v>56</v>
      </c>
      <c r="F426" s="22" t="s">
        <v>1063</v>
      </c>
      <c r="G426" s="23" t="s">
        <v>3872</v>
      </c>
      <c r="H426" s="22" t="s">
        <v>3872</v>
      </c>
      <c r="I426" s="22"/>
      <c r="J426" s="22"/>
      <c r="K426" s="30"/>
      <c r="L426" s="53"/>
      <c r="M426" s="26"/>
      <c r="N426" s="26"/>
      <c r="O426" s="27"/>
      <c r="P426" s="53"/>
      <c r="Q426" s="26"/>
      <c r="R426" s="29"/>
      <c r="S426" s="23" t="s">
        <v>84</v>
      </c>
      <c r="T426" s="23"/>
      <c r="U426" s="23"/>
      <c r="V426" s="23"/>
      <c r="W426" s="30"/>
      <c r="X426" s="30">
        <v>45505</v>
      </c>
      <c r="Y426" s="30">
        <v>45505</v>
      </c>
      <c r="Z426" s="31" t="str">
        <f t="shared" ca="1" si="30"/>
        <v>1 Tahun 2 Bulan 30 Hari</v>
      </c>
      <c r="AA426" s="31" t="s">
        <v>2143</v>
      </c>
      <c r="AB426" s="32">
        <v>34740</v>
      </c>
      <c r="AC426" s="31" t="s">
        <v>2144</v>
      </c>
      <c r="AD426" s="22" t="str">
        <f t="shared" ca="1" si="31"/>
        <v xml:space="preserve">30 Tahun 8 Bulan </v>
      </c>
      <c r="AE426" s="33" t="s">
        <v>1106</v>
      </c>
      <c r="AF426" s="34"/>
      <c r="AG426" s="58" t="s">
        <v>2040</v>
      </c>
      <c r="AH426" s="58"/>
      <c r="AI426" s="58"/>
      <c r="AJ426" s="58"/>
      <c r="AK426" s="33" t="s">
        <v>2121</v>
      </c>
      <c r="AL426" s="36"/>
    </row>
    <row r="427" spans="1:39" ht="14.45" customHeight="1" x14ac:dyDescent="0.25">
      <c r="A427" s="17">
        <v>26</v>
      </c>
      <c r="B427" s="52"/>
      <c r="C427" s="50" t="s">
        <v>2145</v>
      </c>
      <c r="D427" s="20" t="s">
        <v>2146</v>
      </c>
      <c r="E427" s="52" t="s">
        <v>56</v>
      </c>
      <c r="F427" s="22" t="s">
        <v>41</v>
      </c>
      <c r="G427" s="23" t="s">
        <v>227</v>
      </c>
      <c r="H427" s="22" t="s">
        <v>228</v>
      </c>
      <c r="I427" s="22" t="s">
        <v>44</v>
      </c>
      <c r="J427" s="22" t="s">
        <v>1104</v>
      </c>
      <c r="K427" s="77">
        <v>44621</v>
      </c>
      <c r="L427" s="25"/>
      <c r="M427" s="26"/>
      <c r="N427" s="26"/>
      <c r="O427" s="27"/>
      <c r="P427" s="28"/>
      <c r="Q427" s="29"/>
      <c r="R427" s="26"/>
      <c r="S427" s="23" t="s">
        <v>84</v>
      </c>
      <c r="T427" s="23">
        <v>2020</v>
      </c>
      <c r="U427" s="23"/>
      <c r="V427" s="23"/>
      <c r="W427" s="77">
        <v>44621</v>
      </c>
      <c r="X427" s="77">
        <v>44621</v>
      </c>
      <c r="Y427" s="77">
        <v>44621</v>
      </c>
      <c r="Z427" s="55" t="str">
        <f t="shared" ca="1" si="30"/>
        <v>3 Tahun 7 Bulan 30 Hari</v>
      </c>
      <c r="AA427" s="55" t="s">
        <v>297</v>
      </c>
      <c r="AB427" s="56">
        <v>35091</v>
      </c>
      <c r="AC427" s="32" t="s">
        <v>2147</v>
      </c>
      <c r="AD427" s="57" t="str">
        <f t="shared" ca="1" si="31"/>
        <v xml:space="preserve">29 Tahun 9 Bulan </v>
      </c>
      <c r="AE427" s="33" t="s">
        <v>1106</v>
      </c>
      <c r="AF427" s="71"/>
      <c r="AG427" s="58" t="s">
        <v>2040</v>
      </c>
      <c r="AH427" s="22"/>
      <c r="AI427" s="22"/>
      <c r="AJ427" s="22"/>
      <c r="AK427" s="33" t="s">
        <v>2121</v>
      </c>
      <c r="AL427" s="36"/>
      <c r="AM427" s="14"/>
    </row>
    <row r="428" spans="1:39" ht="14.45" customHeight="1" x14ac:dyDescent="0.25">
      <c r="A428" s="17">
        <v>27</v>
      </c>
      <c r="B428" s="134"/>
      <c r="C428" s="50" t="s">
        <v>5791</v>
      </c>
      <c r="D428" s="20" t="s">
        <v>2148</v>
      </c>
      <c r="E428" s="58" t="s">
        <v>40</v>
      </c>
      <c r="F428" s="58" t="s">
        <v>238</v>
      </c>
      <c r="G428" s="89" t="s">
        <v>3872</v>
      </c>
      <c r="H428" s="22" t="s">
        <v>1078</v>
      </c>
      <c r="I428" s="58" t="s">
        <v>44</v>
      </c>
      <c r="J428" s="22" t="s">
        <v>1293</v>
      </c>
      <c r="K428" s="22"/>
      <c r="L428" s="25" t="s">
        <v>2149</v>
      </c>
      <c r="M428" s="26">
        <v>41971</v>
      </c>
      <c r="N428" s="26">
        <v>43590</v>
      </c>
      <c r="O428" s="27" t="s">
        <v>148</v>
      </c>
      <c r="P428" s="28" t="s">
        <v>1206</v>
      </c>
      <c r="Q428" s="29"/>
      <c r="R428" s="26"/>
      <c r="S428" s="23" t="s">
        <v>1172</v>
      </c>
      <c r="T428" s="23"/>
      <c r="U428" s="23"/>
      <c r="V428" s="23"/>
      <c r="W428" s="77">
        <v>45047</v>
      </c>
      <c r="X428" s="30">
        <v>42370</v>
      </c>
      <c r="Y428" s="30">
        <v>42856</v>
      </c>
      <c r="Z428" s="55" t="str">
        <f t="shared" ca="1" si="30"/>
        <v>9 Tahun 9 Bulan 30 Hari</v>
      </c>
      <c r="AA428" s="55" t="s">
        <v>437</v>
      </c>
      <c r="AB428" s="56">
        <v>33363</v>
      </c>
      <c r="AC428" s="31" t="s">
        <v>2150</v>
      </c>
      <c r="AD428" s="57" t="str">
        <f t="shared" ca="1" si="31"/>
        <v xml:space="preserve">34 Tahun 5 Bulan </v>
      </c>
      <c r="AE428" s="33" t="s">
        <v>1106</v>
      </c>
      <c r="AF428" s="71"/>
      <c r="AG428" s="58" t="s">
        <v>2040</v>
      </c>
      <c r="AH428" s="58"/>
      <c r="AI428" s="58"/>
      <c r="AJ428" s="58"/>
      <c r="AK428" s="33" t="s">
        <v>2121</v>
      </c>
      <c r="AL428" s="36"/>
    </row>
    <row r="429" spans="1:39" ht="14.45" customHeight="1" x14ac:dyDescent="0.25">
      <c r="A429" s="17">
        <v>28</v>
      </c>
      <c r="B429" s="78"/>
      <c r="C429" s="50" t="s">
        <v>2151</v>
      </c>
      <c r="D429" s="62" t="s">
        <v>2152</v>
      </c>
      <c r="E429" s="21" t="s">
        <v>56</v>
      </c>
      <c r="F429" s="22" t="s">
        <v>238</v>
      </c>
      <c r="G429" s="23" t="s">
        <v>3872</v>
      </c>
      <c r="H429" s="22" t="s">
        <v>305</v>
      </c>
      <c r="I429" s="22" t="s">
        <v>44</v>
      </c>
      <c r="J429" s="22" t="s">
        <v>1104</v>
      </c>
      <c r="K429" s="30"/>
      <c r="L429" s="25"/>
      <c r="M429" s="29"/>
      <c r="N429" s="26"/>
      <c r="O429" s="27"/>
      <c r="P429" s="28"/>
      <c r="Q429" s="29"/>
      <c r="R429" s="26"/>
      <c r="S429" s="23" t="s">
        <v>84</v>
      </c>
      <c r="T429" s="23">
        <v>2017</v>
      </c>
      <c r="U429" s="23"/>
      <c r="V429" s="23"/>
      <c r="W429" s="30">
        <v>45383</v>
      </c>
      <c r="X429" s="30">
        <v>45261</v>
      </c>
      <c r="Y429" s="30">
        <v>45261</v>
      </c>
      <c r="Z429" s="31" t="str">
        <f t="shared" ca="1" si="30"/>
        <v>1 Tahun 10 Bulan 30 Hari</v>
      </c>
      <c r="AA429" s="31" t="s">
        <v>1363</v>
      </c>
      <c r="AB429" s="32">
        <v>33234</v>
      </c>
      <c r="AC429" s="31" t="s">
        <v>2153</v>
      </c>
      <c r="AD429" s="22" t="str">
        <f t="shared" ca="1" si="31"/>
        <v xml:space="preserve">34 Tahun 10 Bulan </v>
      </c>
      <c r="AE429" s="33" t="s">
        <v>1106</v>
      </c>
      <c r="AF429" s="34"/>
      <c r="AG429" s="58" t="s">
        <v>2040</v>
      </c>
      <c r="AH429" s="58"/>
      <c r="AI429" s="58"/>
      <c r="AJ429" s="58"/>
      <c r="AK429" s="33" t="s">
        <v>2121</v>
      </c>
      <c r="AL429" s="36"/>
    </row>
    <row r="430" spans="1:39" ht="14.45" customHeight="1" x14ac:dyDescent="0.25">
      <c r="A430" s="17">
        <v>29</v>
      </c>
      <c r="B430" s="78"/>
      <c r="C430" s="50" t="s">
        <v>2154</v>
      </c>
      <c r="D430" s="20">
        <v>2024080723</v>
      </c>
      <c r="E430" s="21" t="s">
        <v>56</v>
      </c>
      <c r="F430" s="22" t="s">
        <v>1063</v>
      </c>
      <c r="G430" s="23" t="s">
        <v>3872</v>
      </c>
      <c r="H430" s="22" t="s">
        <v>3872</v>
      </c>
      <c r="I430" s="22"/>
      <c r="J430" s="22"/>
      <c r="K430" s="30"/>
      <c r="L430" s="53"/>
      <c r="M430" s="26"/>
      <c r="N430" s="26"/>
      <c r="O430" s="27"/>
      <c r="P430" s="53"/>
      <c r="Q430" s="26"/>
      <c r="R430" s="29"/>
      <c r="S430" s="23" t="s">
        <v>84</v>
      </c>
      <c r="T430" s="23"/>
      <c r="U430" s="23"/>
      <c r="V430" s="23"/>
      <c r="W430" s="30"/>
      <c r="X430" s="30">
        <v>45505</v>
      </c>
      <c r="Y430" s="30">
        <v>45505</v>
      </c>
      <c r="Z430" s="31" t="str">
        <f t="shared" ca="1" si="30"/>
        <v>1 Tahun 2 Bulan 30 Hari</v>
      </c>
      <c r="AA430" s="31" t="s">
        <v>128</v>
      </c>
      <c r="AB430" s="32">
        <v>36441</v>
      </c>
      <c r="AC430" s="31" t="s">
        <v>2155</v>
      </c>
      <c r="AD430" s="22" t="str">
        <f t="shared" ca="1" si="31"/>
        <v xml:space="preserve">26 Tahun 0 Bulan </v>
      </c>
      <c r="AE430" s="33" t="s">
        <v>1106</v>
      </c>
      <c r="AF430" s="34"/>
      <c r="AG430" s="58" t="s">
        <v>2040</v>
      </c>
      <c r="AH430" s="22"/>
      <c r="AI430" s="22"/>
      <c r="AJ430" s="22"/>
      <c r="AK430" s="33" t="s">
        <v>2121</v>
      </c>
      <c r="AL430" s="36"/>
    </row>
    <row r="431" spans="1:39" ht="14.45" customHeight="1" x14ac:dyDescent="0.25">
      <c r="A431" s="17">
        <v>30</v>
      </c>
      <c r="B431" s="78"/>
      <c r="C431" s="50" t="s">
        <v>2156</v>
      </c>
      <c r="D431" s="20">
        <v>2024080744</v>
      </c>
      <c r="E431" s="21" t="s">
        <v>56</v>
      </c>
      <c r="F431" s="22" t="s">
        <v>1063</v>
      </c>
      <c r="G431" s="23" t="s">
        <v>3872</v>
      </c>
      <c r="H431" s="22" t="s">
        <v>3872</v>
      </c>
      <c r="I431" s="22"/>
      <c r="J431" s="22"/>
      <c r="K431" s="30"/>
      <c r="L431" s="53"/>
      <c r="M431" s="26"/>
      <c r="N431" s="26"/>
      <c r="O431" s="27"/>
      <c r="P431" s="53"/>
      <c r="Q431" s="26"/>
      <c r="R431" s="29"/>
      <c r="S431" s="23" t="s">
        <v>84</v>
      </c>
      <c r="T431" s="23"/>
      <c r="U431" s="23"/>
      <c r="V431" s="23"/>
      <c r="W431" s="30"/>
      <c r="X431" s="30">
        <v>45505</v>
      </c>
      <c r="Y431" s="30">
        <v>45505</v>
      </c>
      <c r="Z431" s="31" t="str">
        <f t="shared" ca="1" si="30"/>
        <v>1 Tahun 2 Bulan 30 Hari</v>
      </c>
      <c r="AA431" s="31" t="s">
        <v>128</v>
      </c>
      <c r="AB431" s="32">
        <v>34343</v>
      </c>
      <c r="AC431" s="31" t="s">
        <v>2157</v>
      </c>
      <c r="AD431" s="22" t="str">
        <f t="shared" ca="1" si="31"/>
        <v xml:space="preserve">31 Tahun 9 Bulan </v>
      </c>
      <c r="AE431" s="33" t="s">
        <v>1106</v>
      </c>
      <c r="AF431" s="34"/>
      <c r="AG431" s="58" t="s">
        <v>2040</v>
      </c>
      <c r="AH431" s="22"/>
      <c r="AI431" s="22"/>
      <c r="AJ431" s="22"/>
      <c r="AK431" s="33" t="s">
        <v>2121</v>
      </c>
      <c r="AL431" s="36"/>
      <c r="AM431" s="14"/>
    </row>
    <row r="432" spans="1:39" ht="14.45" customHeight="1" x14ac:dyDescent="0.25">
      <c r="A432" s="17">
        <v>31</v>
      </c>
      <c r="B432" s="78"/>
      <c r="C432" s="50" t="s">
        <v>2158</v>
      </c>
      <c r="D432" s="20">
        <v>2024080755</v>
      </c>
      <c r="E432" s="21" t="s">
        <v>56</v>
      </c>
      <c r="F432" s="22" t="s">
        <v>1063</v>
      </c>
      <c r="G432" s="23" t="s">
        <v>3872</v>
      </c>
      <c r="H432" s="22" t="s">
        <v>3872</v>
      </c>
      <c r="I432" s="22"/>
      <c r="J432" s="22"/>
      <c r="K432" s="30"/>
      <c r="L432" s="53"/>
      <c r="M432" s="26"/>
      <c r="N432" s="26"/>
      <c r="O432" s="27"/>
      <c r="P432" s="53"/>
      <c r="Q432" s="26"/>
      <c r="R432" s="29"/>
      <c r="S432" s="23" t="s">
        <v>84</v>
      </c>
      <c r="T432" s="23"/>
      <c r="U432" s="23"/>
      <c r="V432" s="23"/>
      <c r="W432" s="30"/>
      <c r="X432" s="30">
        <v>45505</v>
      </c>
      <c r="Y432" s="30">
        <v>45505</v>
      </c>
      <c r="Z432" s="31" t="str">
        <f t="shared" ca="1" si="30"/>
        <v>1 Tahun 2 Bulan 30 Hari</v>
      </c>
      <c r="AA432" s="31" t="s">
        <v>2159</v>
      </c>
      <c r="AB432" s="32">
        <v>34189</v>
      </c>
      <c r="AC432" s="31" t="s">
        <v>2160</v>
      </c>
      <c r="AD432" s="22" t="str">
        <f t="shared" ca="1" si="31"/>
        <v xml:space="preserve">32 Tahun 2 Bulan </v>
      </c>
      <c r="AE432" s="33" t="s">
        <v>1106</v>
      </c>
      <c r="AF432" s="34"/>
      <c r="AG432" s="58" t="s">
        <v>2040</v>
      </c>
      <c r="AH432" s="22"/>
      <c r="AI432" s="22"/>
      <c r="AJ432" s="22"/>
      <c r="AK432" s="33" t="s">
        <v>2121</v>
      </c>
      <c r="AL432" s="36"/>
      <c r="AM432" s="14"/>
    </row>
    <row r="433" spans="1:39" ht="14.45" customHeight="1" x14ac:dyDescent="0.25">
      <c r="A433" s="17">
        <v>32</v>
      </c>
      <c r="B433" s="78"/>
      <c r="C433" s="50" t="s">
        <v>2161</v>
      </c>
      <c r="D433" s="20">
        <v>2024080752</v>
      </c>
      <c r="E433" s="21" t="s">
        <v>40</v>
      </c>
      <c r="F433" s="22" t="s">
        <v>1063</v>
      </c>
      <c r="G433" s="23" t="s">
        <v>3872</v>
      </c>
      <c r="H433" s="22" t="s">
        <v>3872</v>
      </c>
      <c r="I433" s="22"/>
      <c r="J433" s="22"/>
      <c r="K433" s="30"/>
      <c r="L433" s="53"/>
      <c r="M433" s="26"/>
      <c r="N433" s="26"/>
      <c r="O433" s="27"/>
      <c r="P433" s="53"/>
      <c r="Q433" s="26"/>
      <c r="R433" s="29"/>
      <c r="S433" s="23" t="s">
        <v>84</v>
      </c>
      <c r="T433" s="23"/>
      <c r="U433" s="23"/>
      <c r="V433" s="23"/>
      <c r="W433" s="30"/>
      <c r="X433" s="30">
        <v>45505</v>
      </c>
      <c r="Y433" s="30">
        <v>45505</v>
      </c>
      <c r="Z433" s="31" t="str">
        <f t="shared" ca="1" si="30"/>
        <v>1 Tahun 2 Bulan 30 Hari</v>
      </c>
      <c r="AA433" s="31" t="s">
        <v>76</v>
      </c>
      <c r="AB433" s="32">
        <v>35559</v>
      </c>
      <c r="AC433" s="31" t="s">
        <v>2162</v>
      </c>
      <c r="AD433" s="22" t="str">
        <f t="shared" ca="1" si="31"/>
        <v xml:space="preserve">28 Tahun 5 Bulan </v>
      </c>
      <c r="AE433" s="33" t="s">
        <v>1106</v>
      </c>
      <c r="AF433" s="34"/>
      <c r="AG433" s="58" t="s">
        <v>2040</v>
      </c>
      <c r="AH433" s="22"/>
      <c r="AI433" s="22"/>
      <c r="AJ433" s="22"/>
      <c r="AK433" s="33" t="s">
        <v>2121</v>
      </c>
      <c r="AL433" s="36"/>
      <c r="AM433" s="14"/>
    </row>
    <row r="434" spans="1:39" ht="14.45" customHeight="1" x14ac:dyDescent="0.25">
      <c r="A434" s="17">
        <v>33</v>
      </c>
      <c r="B434" s="78"/>
      <c r="C434" s="50" t="s">
        <v>2163</v>
      </c>
      <c r="D434" s="20">
        <v>2024080736</v>
      </c>
      <c r="E434" s="21" t="s">
        <v>56</v>
      </c>
      <c r="F434" s="22" t="s">
        <v>1063</v>
      </c>
      <c r="G434" s="23" t="s">
        <v>3872</v>
      </c>
      <c r="H434" s="22" t="s">
        <v>3872</v>
      </c>
      <c r="I434" s="22"/>
      <c r="J434" s="22"/>
      <c r="K434" s="30"/>
      <c r="L434" s="53"/>
      <c r="M434" s="26"/>
      <c r="N434" s="26"/>
      <c r="O434" s="27"/>
      <c r="P434" s="53"/>
      <c r="Q434" s="26"/>
      <c r="R434" s="29"/>
      <c r="S434" s="23" t="s">
        <v>84</v>
      </c>
      <c r="T434" s="23"/>
      <c r="U434" s="23"/>
      <c r="V434" s="23"/>
      <c r="W434" s="30"/>
      <c r="X434" s="30">
        <v>45505</v>
      </c>
      <c r="Y434" s="30">
        <v>45505</v>
      </c>
      <c r="Z434" s="31" t="str">
        <f t="shared" ca="1" si="30"/>
        <v>1 Tahun 2 Bulan 30 Hari</v>
      </c>
      <c r="AA434" s="31" t="s">
        <v>2164</v>
      </c>
      <c r="AB434" s="32">
        <v>35235</v>
      </c>
      <c r="AC434" s="31" t="s">
        <v>2165</v>
      </c>
      <c r="AD434" s="22" t="str">
        <f t="shared" ca="1" si="31"/>
        <v xml:space="preserve">29 Tahun 4 Bulan </v>
      </c>
      <c r="AE434" s="33" t="s">
        <v>1106</v>
      </c>
      <c r="AF434" s="34"/>
      <c r="AG434" s="58" t="s">
        <v>2040</v>
      </c>
      <c r="AH434" s="22"/>
      <c r="AI434" s="22"/>
      <c r="AJ434" s="22"/>
      <c r="AK434" s="33" t="s">
        <v>2121</v>
      </c>
      <c r="AL434" s="36"/>
      <c r="AM434" s="14"/>
    </row>
    <row r="435" spans="1:39" ht="14.45" customHeight="1" x14ac:dyDescent="0.25">
      <c r="A435" s="17">
        <v>34</v>
      </c>
      <c r="B435" s="78"/>
      <c r="C435" s="50" t="s">
        <v>5792</v>
      </c>
      <c r="D435" s="20" t="s">
        <v>2166</v>
      </c>
      <c r="E435" s="58" t="s">
        <v>56</v>
      </c>
      <c r="F435" s="22" t="s">
        <v>238</v>
      </c>
      <c r="G435" s="33" t="s">
        <v>3872</v>
      </c>
      <c r="H435" s="22" t="s">
        <v>1078</v>
      </c>
      <c r="I435" s="58" t="s">
        <v>44</v>
      </c>
      <c r="J435" s="22" t="s">
        <v>1293</v>
      </c>
      <c r="K435" s="30"/>
      <c r="L435" s="25" t="s">
        <v>2167</v>
      </c>
      <c r="M435" s="26">
        <v>41698</v>
      </c>
      <c r="N435" s="26">
        <v>43619</v>
      </c>
      <c r="O435" s="27" t="s">
        <v>148</v>
      </c>
      <c r="P435" s="28" t="s">
        <v>2168</v>
      </c>
      <c r="Q435" s="29">
        <v>43151</v>
      </c>
      <c r="R435" s="26">
        <v>43619</v>
      </c>
      <c r="S435" s="33" t="s">
        <v>1172</v>
      </c>
      <c r="T435" s="33"/>
      <c r="U435" s="33"/>
      <c r="V435" s="33"/>
      <c r="W435" s="30">
        <v>45047</v>
      </c>
      <c r="X435" s="30">
        <v>42095</v>
      </c>
      <c r="Y435" s="30">
        <v>43887</v>
      </c>
      <c r="Z435" s="55" t="str">
        <f t="shared" ca="1" si="30"/>
        <v>10 Tahun 6 Bulan 30 Hari</v>
      </c>
      <c r="AA435" s="55" t="s">
        <v>76</v>
      </c>
      <c r="AB435" s="56">
        <v>33758</v>
      </c>
      <c r="AC435" s="31" t="s">
        <v>2169</v>
      </c>
      <c r="AD435" s="57" t="str">
        <f t="shared" ca="1" si="31"/>
        <v xml:space="preserve">33 Tahun 4 Bulan </v>
      </c>
      <c r="AE435" s="33" t="s">
        <v>1106</v>
      </c>
      <c r="AF435" s="34"/>
      <c r="AG435" s="58" t="s">
        <v>2040</v>
      </c>
      <c r="AH435" s="22"/>
      <c r="AI435" s="22"/>
      <c r="AJ435" s="22"/>
      <c r="AK435" s="33" t="s">
        <v>2121</v>
      </c>
      <c r="AL435" s="36"/>
      <c r="AM435" s="14"/>
    </row>
    <row r="436" spans="1:39" ht="14.45" customHeight="1" x14ac:dyDescent="0.25">
      <c r="A436" s="17">
        <v>35</v>
      </c>
      <c r="B436" s="78"/>
      <c r="C436" s="50" t="s">
        <v>5793</v>
      </c>
      <c r="D436" s="20" t="s">
        <v>2171</v>
      </c>
      <c r="E436" s="21" t="s">
        <v>40</v>
      </c>
      <c r="F436" s="22" t="s">
        <v>238</v>
      </c>
      <c r="G436" s="33" t="s">
        <v>3872</v>
      </c>
      <c r="H436" s="22" t="s">
        <v>305</v>
      </c>
      <c r="I436" s="22" t="s">
        <v>44</v>
      </c>
      <c r="J436" s="22" t="s">
        <v>1104</v>
      </c>
      <c r="K436" s="22"/>
      <c r="L436" s="53"/>
      <c r="M436" s="26"/>
      <c r="N436" s="26"/>
      <c r="O436" s="27"/>
      <c r="P436" s="28"/>
      <c r="Q436" s="29"/>
      <c r="R436" s="26"/>
      <c r="S436" s="23" t="s">
        <v>84</v>
      </c>
      <c r="T436" s="23"/>
      <c r="U436" s="23"/>
      <c r="V436" s="23"/>
      <c r="W436" s="77">
        <v>45047</v>
      </c>
      <c r="X436" s="30">
        <v>45048</v>
      </c>
      <c r="Y436" s="30">
        <v>45048</v>
      </c>
      <c r="Z436" s="31" t="str">
        <f t="shared" ca="1" si="30"/>
        <v>2 Tahun 5 Bulan 29 Hari</v>
      </c>
      <c r="AA436" s="31" t="s">
        <v>128</v>
      </c>
      <c r="AB436" s="32">
        <v>34460</v>
      </c>
      <c r="AC436" s="31" t="s">
        <v>2172</v>
      </c>
      <c r="AD436" s="22" t="str">
        <f t="shared" ca="1" si="31"/>
        <v xml:space="preserve">31 Tahun 5 Bulan </v>
      </c>
      <c r="AE436" s="33" t="s">
        <v>1106</v>
      </c>
      <c r="AF436" s="34"/>
      <c r="AG436" s="22" t="s">
        <v>2040</v>
      </c>
      <c r="AH436" s="22"/>
      <c r="AI436" s="22"/>
      <c r="AJ436" s="22"/>
      <c r="AK436" s="33" t="s">
        <v>2170</v>
      </c>
      <c r="AL436" s="36"/>
    </row>
    <row r="437" spans="1:39" ht="14.45" customHeight="1" x14ac:dyDescent="0.25">
      <c r="A437" s="17">
        <v>36</v>
      </c>
      <c r="B437" s="18"/>
      <c r="C437" s="19" t="s">
        <v>2173</v>
      </c>
      <c r="D437" s="20" t="s">
        <v>2174</v>
      </c>
      <c r="E437" s="21" t="s">
        <v>40</v>
      </c>
      <c r="F437" s="22" t="s">
        <v>41</v>
      </c>
      <c r="G437" s="23" t="s">
        <v>227</v>
      </c>
      <c r="H437" s="22" t="s">
        <v>228</v>
      </c>
      <c r="I437" s="22" t="s">
        <v>44</v>
      </c>
      <c r="J437" s="22" t="s">
        <v>1104</v>
      </c>
      <c r="K437" s="24">
        <v>45017</v>
      </c>
      <c r="L437" s="25" t="s">
        <v>2175</v>
      </c>
      <c r="M437" s="26">
        <v>41168</v>
      </c>
      <c r="N437" s="26">
        <v>43007</v>
      </c>
      <c r="O437" s="27" t="s">
        <v>148</v>
      </c>
      <c r="P437" s="28" t="s">
        <v>2176</v>
      </c>
      <c r="Q437" s="29">
        <v>42080</v>
      </c>
      <c r="R437" s="26">
        <v>43007</v>
      </c>
      <c r="S437" s="23" t="s">
        <v>84</v>
      </c>
      <c r="T437" s="23"/>
      <c r="U437" s="23"/>
      <c r="V437" s="23"/>
      <c r="W437" s="30">
        <v>40513</v>
      </c>
      <c r="X437" s="30">
        <v>40664</v>
      </c>
      <c r="Y437" s="30">
        <v>40710</v>
      </c>
      <c r="Z437" s="31" t="str">
        <f ca="1">DATEDIF(W437,TODAY(),"y")&amp;" Tahun "&amp;DATEDIF(W437,TODAY(),"ym")&amp;" Bulan "&amp;DATEDIF(W437,TODAY(),"md")&amp;" Hari"</f>
        <v>14 Tahun 10 Bulan 30 Hari</v>
      </c>
      <c r="AA437" s="31" t="s">
        <v>128</v>
      </c>
      <c r="AB437" s="32">
        <v>33145</v>
      </c>
      <c r="AC437" s="31" t="s">
        <v>2177</v>
      </c>
      <c r="AD437" s="22" t="str">
        <f t="shared" ca="1" si="31"/>
        <v xml:space="preserve">35 Tahun 1 Bulan </v>
      </c>
      <c r="AE437" s="33" t="s">
        <v>1106</v>
      </c>
      <c r="AF437" s="34"/>
      <c r="AG437" s="22" t="s">
        <v>2040</v>
      </c>
      <c r="AH437" s="22"/>
      <c r="AI437" s="22"/>
      <c r="AJ437" s="22"/>
      <c r="AK437" s="33" t="s">
        <v>308</v>
      </c>
      <c r="AL437" s="36"/>
    </row>
    <row r="438" spans="1:39" ht="14.45" customHeight="1" x14ac:dyDescent="0.25">
      <c r="A438" s="17">
        <v>37</v>
      </c>
      <c r="B438" s="18"/>
      <c r="C438" s="50" t="s">
        <v>5794</v>
      </c>
      <c r="D438" s="20" t="s">
        <v>2178</v>
      </c>
      <c r="E438" s="21" t="s">
        <v>56</v>
      </c>
      <c r="F438" s="22" t="s">
        <v>192</v>
      </c>
      <c r="G438" s="23" t="s">
        <v>227</v>
      </c>
      <c r="H438" s="22" t="s">
        <v>228</v>
      </c>
      <c r="I438" s="22" t="s">
        <v>155</v>
      </c>
      <c r="J438" s="22" t="s">
        <v>1104</v>
      </c>
      <c r="K438" s="24" t="s">
        <v>195</v>
      </c>
      <c r="L438" s="22"/>
      <c r="M438" s="22"/>
      <c r="N438" s="22"/>
      <c r="O438" s="22"/>
      <c r="P438" s="22"/>
      <c r="Q438" s="22"/>
      <c r="R438" s="22"/>
      <c r="S438" s="23" t="s">
        <v>84</v>
      </c>
      <c r="T438" s="23"/>
      <c r="U438" s="23"/>
      <c r="V438" s="23"/>
      <c r="W438" s="69">
        <v>45809</v>
      </c>
      <c r="X438" s="69">
        <v>45810</v>
      </c>
      <c r="Y438" s="69">
        <v>45810</v>
      </c>
      <c r="Z438" s="31" t="str">
        <f ca="1">DATEDIF(X438,TODAY(),"y")&amp;" Tahun "&amp;DATEDIF(X438,TODAY(),"ym")&amp;" Bulan "&amp;DATEDIF(X438,TODAY(),"md")&amp;" Hari"</f>
        <v>0 Tahun 4 Bulan 29 Hari</v>
      </c>
      <c r="AA438" s="23" t="s">
        <v>2179</v>
      </c>
      <c r="AB438" s="32">
        <v>36346</v>
      </c>
      <c r="AC438" s="32" t="s">
        <v>2180</v>
      </c>
      <c r="AD438" s="22" t="str">
        <f t="shared" ca="1" si="31"/>
        <v xml:space="preserve">26 Tahun 3 Bulan </v>
      </c>
      <c r="AE438" s="33" t="s">
        <v>1106</v>
      </c>
      <c r="AF438" s="34"/>
      <c r="AG438" s="22" t="s">
        <v>2040</v>
      </c>
      <c r="AH438" s="22"/>
      <c r="AI438" s="22"/>
      <c r="AJ438" s="22"/>
      <c r="AK438" s="33"/>
      <c r="AL438" s="36"/>
      <c r="AM438" s="14"/>
    </row>
    <row r="439" spans="1:39" ht="14.45" customHeight="1" x14ac:dyDescent="0.25">
      <c r="A439" s="17">
        <v>38</v>
      </c>
      <c r="B439" s="78"/>
      <c r="C439" s="50" t="s">
        <v>2181</v>
      </c>
      <c r="D439" s="137" t="s">
        <v>2182</v>
      </c>
      <c r="E439" s="21" t="s">
        <v>56</v>
      </c>
      <c r="F439" s="22" t="s">
        <v>41</v>
      </c>
      <c r="G439" s="23" t="s">
        <v>102</v>
      </c>
      <c r="H439" s="22" t="s">
        <v>103</v>
      </c>
      <c r="I439" s="22" t="s">
        <v>44</v>
      </c>
      <c r="J439" s="22" t="s">
        <v>1148</v>
      </c>
      <c r="K439" s="24">
        <v>45870</v>
      </c>
      <c r="L439" s="53" t="s">
        <v>2183</v>
      </c>
      <c r="M439" s="26">
        <v>42685</v>
      </c>
      <c r="N439" s="26">
        <v>44359</v>
      </c>
      <c r="O439" s="27" t="s">
        <v>148</v>
      </c>
      <c r="P439" s="53" t="s">
        <v>2184</v>
      </c>
      <c r="Q439" s="26">
        <v>43073</v>
      </c>
      <c r="R439" s="26">
        <v>44359</v>
      </c>
      <c r="S439" s="33" t="s">
        <v>84</v>
      </c>
      <c r="T439" s="33">
        <v>2021</v>
      </c>
      <c r="U439" s="33"/>
      <c r="V439" s="33"/>
      <c r="W439" s="95">
        <v>41244</v>
      </c>
      <c r="X439" s="30">
        <v>41334</v>
      </c>
      <c r="Y439" s="30">
        <v>41791</v>
      </c>
      <c r="Z439" s="31" t="str">
        <f ca="1">DATEDIF(W439,TODAY(),"y")&amp;" Tahun "&amp;DATEDIF(W439,TODAY(),"ym")&amp;" Bulan "&amp;DATEDIF(W439,TODAY(),"md")&amp;" Hari"</f>
        <v>12 Tahun 10 Bulan 30 Hari</v>
      </c>
      <c r="AA439" s="31" t="s">
        <v>76</v>
      </c>
      <c r="AB439" s="32">
        <v>29749</v>
      </c>
      <c r="AC439" s="31" t="s">
        <v>2185</v>
      </c>
      <c r="AD439" s="22" t="str">
        <f t="shared" ca="1" si="31"/>
        <v xml:space="preserve">44 Tahun 4 Bulan </v>
      </c>
      <c r="AE439" s="33" t="s">
        <v>1151</v>
      </c>
      <c r="AF439" s="12" t="s">
        <v>2186</v>
      </c>
      <c r="AG439" s="22" t="s">
        <v>2187</v>
      </c>
      <c r="AH439" s="22"/>
      <c r="AI439" s="22"/>
      <c r="AJ439" s="22"/>
      <c r="AK439" s="33" t="s">
        <v>2121</v>
      </c>
      <c r="AL439" s="36"/>
    </row>
    <row r="440" spans="1:39" ht="14.45" customHeight="1" x14ac:dyDescent="0.25">
      <c r="A440" s="17">
        <v>39</v>
      </c>
      <c r="B440" s="132"/>
      <c r="C440" s="50" t="s">
        <v>2188</v>
      </c>
      <c r="D440" s="20" t="s">
        <v>2189</v>
      </c>
      <c r="E440" s="21" t="s">
        <v>40</v>
      </c>
      <c r="F440" s="22" t="s">
        <v>41</v>
      </c>
      <c r="G440" s="23" t="s">
        <v>42</v>
      </c>
      <c r="H440" s="22" t="s">
        <v>43</v>
      </c>
      <c r="I440" s="22" t="s">
        <v>44</v>
      </c>
      <c r="J440" s="22" t="s">
        <v>148</v>
      </c>
      <c r="K440" s="24">
        <v>44835</v>
      </c>
      <c r="L440" s="53" t="s">
        <v>2190</v>
      </c>
      <c r="M440" s="26">
        <v>43145</v>
      </c>
      <c r="N440" s="26">
        <v>45162</v>
      </c>
      <c r="O440" s="27" t="s">
        <v>148</v>
      </c>
      <c r="P440" s="53" t="s">
        <v>2191</v>
      </c>
      <c r="Q440" s="26">
        <v>43172</v>
      </c>
      <c r="R440" s="26">
        <v>44797</v>
      </c>
      <c r="S440" s="23" t="s">
        <v>84</v>
      </c>
      <c r="T440" s="23"/>
      <c r="U440" s="23"/>
      <c r="V440" s="23"/>
      <c r="W440" s="30">
        <v>31837</v>
      </c>
      <c r="X440" s="30">
        <v>31837</v>
      </c>
      <c r="Y440" s="30">
        <v>42339</v>
      </c>
      <c r="Z440" s="31" t="str">
        <f ca="1">DATEDIF(W440,TODAY(),"y")&amp;" Tahun "&amp;DATEDIF(W440,TODAY(),"ym")&amp;" Bulan "&amp;DATEDIF(W440,TODAY(),"md")&amp;" Hari"</f>
        <v>38 Tahun 7 Bulan 30 Hari</v>
      </c>
      <c r="AA440" s="31" t="s">
        <v>76</v>
      </c>
      <c r="AB440" s="32">
        <v>24343</v>
      </c>
      <c r="AC440" s="31" t="s">
        <v>2192</v>
      </c>
      <c r="AD440" s="22" t="str">
        <f t="shared" ca="1" si="31"/>
        <v xml:space="preserve">59 Tahun 2 Bulan </v>
      </c>
      <c r="AE440" s="33" t="s">
        <v>1158</v>
      </c>
      <c r="AF440" s="34"/>
      <c r="AG440" s="22" t="s">
        <v>2187</v>
      </c>
      <c r="AH440" s="22"/>
      <c r="AI440" s="22"/>
      <c r="AJ440" s="22"/>
      <c r="AK440" s="33" t="s">
        <v>2121</v>
      </c>
      <c r="AL440" s="36"/>
    </row>
    <row r="441" spans="1:39" ht="15" x14ac:dyDescent="0.25">
      <c r="A441" s="17">
        <v>1</v>
      </c>
      <c r="B441" s="78"/>
      <c r="C441" s="50" t="s">
        <v>2193</v>
      </c>
      <c r="D441" s="20" t="s">
        <v>2194</v>
      </c>
      <c r="E441" s="21" t="s">
        <v>56</v>
      </c>
      <c r="F441" s="22" t="s">
        <v>41</v>
      </c>
      <c r="G441" s="23" t="s">
        <v>137</v>
      </c>
      <c r="H441" s="22" t="s">
        <v>138</v>
      </c>
      <c r="I441" s="22" t="s">
        <v>44</v>
      </c>
      <c r="J441" s="22" t="s">
        <v>1148</v>
      </c>
      <c r="K441" s="24">
        <v>45505</v>
      </c>
      <c r="L441" s="25" t="s">
        <v>2195</v>
      </c>
      <c r="M441" s="26">
        <v>42041</v>
      </c>
      <c r="N441" s="26">
        <v>43895</v>
      </c>
      <c r="O441" s="27" t="s">
        <v>148</v>
      </c>
      <c r="P441" s="28" t="s">
        <v>2196</v>
      </c>
      <c r="Q441" s="29">
        <v>42212</v>
      </c>
      <c r="R441" s="26">
        <v>43895</v>
      </c>
      <c r="S441" s="33" t="s">
        <v>84</v>
      </c>
      <c r="T441" s="33">
        <v>2021</v>
      </c>
      <c r="U441" s="33"/>
      <c r="V441" s="33"/>
      <c r="W441" s="30">
        <v>39783</v>
      </c>
      <c r="X441" s="30">
        <v>39845</v>
      </c>
      <c r="Y441" s="30">
        <v>41122</v>
      </c>
      <c r="Z441" s="31" t="str">
        <f ca="1">DATEDIF(W441,TODAY(),"y")&amp;" Tahun "&amp;DATEDIF(W441,TODAY(),"ym")&amp;" Bulan "&amp;DATEDIF(W441,TODAY(),"md")&amp;" Hari"</f>
        <v>16 Tahun 10 Bulan 30 Hari</v>
      </c>
      <c r="AA441" s="31" t="s">
        <v>76</v>
      </c>
      <c r="AB441" s="32">
        <v>28554</v>
      </c>
      <c r="AC441" s="31" t="s">
        <v>2197</v>
      </c>
      <c r="AD441" s="22" t="str">
        <f t="shared" ca="1" si="31"/>
        <v xml:space="preserve">47 Tahun 7 Bulan </v>
      </c>
      <c r="AE441" s="33" t="s">
        <v>1106</v>
      </c>
      <c r="AF441" s="34"/>
      <c r="AG441" s="22" t="s">
        <v>2187</v>
      </c>
      <c r="AH441" s="22"/>
      <c r="AI441" s="22"/>
      <c r="AJ441" s="22"/>
      <c r="AK441" s="34"/>
      <c r="AL441" s="36"/>
    </row>
    <row r="442" spans="1:39" ht="14.45" customHeight="1" x14ac:dyDescent="0.25">
      <c r="A442" s="17">
        <v>2</v>
      </c>
      <c r="B442" s="18"/>
      <c r="C442" s="50" t="s">
        <v>2198</v>
      </c>
      <c r="D442" s="20" t="s">
        <v>2199</v>
      </c>
      <c r="E442" s="21" t="s">
        <v>56</v>
      </c>
      <c r="F442" s="22" t="s">
        <v>41</v>
      </c>
      <c r="G442" s="23" t="s">
        <v>42</v>
      </c>
      <c r="H442" s="22" t="s">
        <v>43</v>
      </c>
      <c r="I442" s="22" t="s">
        <v>44</v>
      </c>
      <c r="J442" s="22" t="s">
        <v>148</v>
      </c>
      <c r="K442" s="24">
        <v>45870</v>
      </c>
      <c r="L442" s="53" t="s">
        <v>2200</v>
      </c>
      <c r="M442" s="26">
        <v>43117</v>
      </c>
      <c r="N442" s="26">
        <v>45139</v>
      </c>
      <c r="O442" s="27" t="s">
        <v>1238</v>
      </c>
      <c r="P442" s="53" t="s">
        <v>2201</v>
      </c>
      <c r="Q442" s="26">
        <v>43367</v>
      </c>
      <c r="R442" s="26">
        <v>45139</v>
      </c>
      <c r="S442" s="23" t="s">
        <v>84</v>
      </c>
      <c r="T442" s="23"/>
      <c r="U442" s="23"/>
      <c r="V442" s="23"/>
      <c r="W442" s="30">
        <v>37956</v>
      </c>
      <c r="X442" s="30">
        <v>37956</v>
      </c>
      <c r="Y442" s="30">
        <v>41426</v>
      </c>
      <c r="Z442" s="31" t="str">
        <f ca="1">DATEDIF(W442,TODAY(),"y")&amp;" Tahun "&amp;DATEDIF(W442,TODAY(),"ym")&amp;" Bulan "&amp;DATEDIF(W442,TODAY(),"md")&amp;" Hari"</f>
        <v>21 Tahun 10 Bulan 30 Hari</v>
      </c>
      <c r="AA442" s="31" t="s">
        <v>1540</v>
      </c>
      <c r="AB442" s="32">
        <v>29799</v>
      </c>
      <c r="AC442" s="32" t="s">
        <v>2202</v>
      </c>
      <c r="AD442" s="22" t="str">
        <f t="shared" ca="1" si="31"/>
        <v xml:space="preserve">44 Tahun 2 Bulan </v>
      </c>
      <c r="AE442" s="33" t="s">
        <v>1106</v>
      </c>
      <c r="AF442" s="34"/>
      <c r="AG442" s="22" t="s">
        <v>2187</v>
      </c>
      <c r="AH442" s="22"/>
      <c r="AI442" s="22"/>
      <c r="AJ442" s="22"/>
      <c r="AK442" s="33"/>
      <c r="AL442" s="22"/>
    </row>
    <row r="443" spans="1:39" ht="14.45" customHeight="1" x14ac:dyDescent="0.25">
      <c r="A443" s="17">
        <v>3</v>
      </c>
      <c r="B443" s="78"/>
      <c r="C443" s="50" t="s">
        <v>2203</v>
      </c>
      <c r="D443" s="20" t="s">
        <v>2204</v>
      </c>
      <c r="E443" s="21" t="s">
        <v>40</v>
      </c>
      <c r="F443" s="22" t="s">
        <v>41</v>
      </c>
      <c r="G443" s="23" t="s">
        <v>193</v>
      </c>
      <c r="H443" s="22" t="s">
        <v>194</v>
      </c>
      <c r="I443" s="22" t="s">
        <v>44</v>
      </c>
      <c r="J443" s="22" t="s">
        <v>1559</v>
      </c>
      <c r="K443" s="24">
        <v>42826</v>
      </c>
      <c r="L443" s="25" t="s">
        <v>2205</v>
      </c>
      <c r="M443" s="26">
        <v>41429</v>
      </c>
      <c r="N443" s="26">
        <v>43432</v>
      </c>
      <c r="O443" s="27" t="s">
        <v>148</v>
      </c>
      <c r="P443" s="53" t="s">
        <v>2206</v>
      </c>
      <c r="Q443" s="26">
        <v>42410</v>
      </c>
      <c r="R443" s="26">
        <v>43432</v>
      </c>
      <c r="S443" s="23" t="s">
        <v>1172</v>
      </c>
      <c r="T443" s="23"/>
      <c r="U443" s="23"/>
      <c r="V443" s="23"/>
      <c r="W443" s="30">
        <v>40513</v>
      </c>
      <c r="X443" s="30">
        <v>40664</v>
      </c>
      <c r="Y443" s="30">
        <v>40664</v>
      </c>
      <c r="Z443" s="55" t="str">
        <f ca="1">DATEDIF(W443,TODAY(),"y")&amp;" Tahun "&amp;DATEDIF(W443,TODAY(),"ym")&amp;" Bulan "&amp;DATEDIF(W443,TODAY(),"md")&amp;" Hari"</f>
        <v>14 Tahun 10 Bulan 30 Hari</v>
      </c>
      <c r="AA443" s="31" t="s">
        <v>2207</v>
      </c>
      <c r="AB443" s="32">
        <v>32840</v>
      </c>
      <c r="AC443" s="32" t="s">
        <v>2208</v>
      </c>
      <c r="AD443" s="57" t="str">
        <f t="shared" ca="1" si="31"/>
        <v xml:space="preserve">35 Tahun 11 Bulan </v>
      </c>
      <c r="AE443" s="33" t="s">
        <v>1106</v>
      </c>
      <c r="AF443" s="71"/>
      <c r="AG443" s="22" t="s">
        <v>2187</v>
      </c>
      <c r="AH443" s="22"/>
      <c r="AI443" s="22"/>
      <c r="AJ443" s="22"/>
      <c r="AK443" s="33"/>
      <c r="AL443" s="36"/>
    </row>
    <row r="444" spans="1:39" ht="14.45" customHeight="1" x14ac:dyDescent="0.25">
      <c r="A444" s="17">
        <v>4</v>
      </c>
      <c r="B444" s="52"/>
      <c r="C444" s="50" t="s">
        <v>2209</v>
      </c>
      <c r="D444" s="20" t="s">
        <v>2210</v>
      </c>
      <c r="E444" s="52" t="s">
        <v>56</v>
      </c>
      <c r="F444" s="58" t="s">
        <v>41</v>
      </c>
      <c r="G444" s="23" t="s">
        <v>227</v>
      </c>
      <c r="H444" s="22" t="s">
        <v>228</v>
      </c>
      <c r="I444" s="22" t="s">
        <v>44</v>
      </c>
      <c r="J444" s="22" t="s">
        <v>1104</v>
      </c>
      <c r="K444" s="77">
        <v>44621</v>
      </c>
      <c r="L444" s="25"/>
      <c r="M444" s="26"/>
      <c r="N444" s="26"/>
      <c r="O444" s="27"/>
      <c r="P444" s="28"/>
      <c r="Q444" s="29"/>
      <c r="R444" s="26"/>
      <c r="S444" s="23" t="s">
        <v>84</v>
      </c>
      <c r="T444" s="23">
        <v>2014</v>
      </c>
      <c r="U444" s="23"/>
      <c r="V444" s="23"/>
      <c r="W444" s="77">
        <v>44621</v>
      </c>
      <c r="X444" s="77">
        <v>44621</v>
      </c>
      <c r="Y444" s="77">
        <v>44621</v>
      </c>
      <c r="Z444" s="55" t="str">
        <f ca="1">DATEDIF(X444,TODAY(),"y")&amp;" Tahun "&amp;DATEDIF(X444,TODAY(),"ym")&amp;" Bulan "&amp;DATEDIF(X444,TODAY(),"md")&amp;" Hari"</f>
        <v>3 Tahun 7 Bulan 30 Hari</v>
      </c>
      <c r="AA444" s="55" t="s">
        <v>1540</v>
      </c>
      <c r="AB444" s="56">
        <v>33444</v>
      </c>
      <c r="AC444" s="32" t="s">
        <v>2211</v>
      </c>
      <c r="AD444" s="57" t="str">
        <f t="shared" ca="1" si="31"/>
        <v xml:space="preserve">34 Tahun 3 Bulan </v>
      </c>
      <c r="AE444" s="33" t="s">
        <v>1106</v>
      </c>
      <c r="AF444" s="71"/>
      <c r="AG444" s="22" t="s">
        <v>2187</v>
      </c>
      <c r="AH444" s="22"/>
      <c r="AI444" s="22"/>
      <c r="AJ444" s="22"/>
      <c r="AK444" s="33"/>
      <c r="AL444" s="36"/>
      <c r="AM444" s="14"/>
    </row>
    <row r="445" spans="1:39" ht="14.45" customHeight="1" x14ac:dyDescent="0.25">
      <c r="A445" s="17">
        <v>5</v>
      </c>
      <c r="B445" s="52"/>
      <c r="C445" s="50" t="s">
        <v>2212</v>
      </c>
      <c r="D445" s="20" t="s">
        <v>2213</v>
      </c>
      <c r="E445" s="52" t="s">
        <v>56</v>
      </c>
      <c r="F445" s="58" t="s">
        <v>41</v>
      </c>
      <c r="G445" s="23" t="s">
        <v>227</v>
      </c>
      <c r="H445" s="22" t="s">
        <v>228</v>
      </c>
      <c r="I445" s="22" t="s">
        <v>44</v>
      </c>
      <c r="J445" s="22" t="s">
        <v>1104</v>
      </c>
      <c r="K445" s="77">
        <v>44621</v>
      </c>
      <c r="L445" s="25"/>
      <c r="M445" s="26"/>
      <c r="N445" s="26"/>
      <c r="O445" s="27"/>
      <c r="P445" s="28"/>
      <c r="Q445" s="29"/>
      <c r="R445" s="26"/>
      <c r="S445" s="23" t="s">
        <v>84</v>
      </c>
      <c r="T445" s="23">
        <v>2018</v>
      </c>
      <c r="U445" s="23"/>
      <c r="V445" s="23"/>
      <c r="W445" s="77">
        <v>44621</v>
      </c>
      <c r="X445" s="77">
        <v>44621</v>
      </c>
      <c r="Y445" s="77">
        <v>44621</v>
      </c>
      <c r="Z445" s="55" t="str">
        <f ca="1">DATEDIF(X445,TODAY(),"y")&amp;" Tahun "&amp;DATEDIF(X445,TODAY(),"ym")&amp;" Bulan "&amp;DATEDIF(X445,TODAY(),"md")&amp;" Hari"</f>
        <v>3 Tahun 7 Bulan 30 Hari</v>
      </c>
      <c r="AA445" s="55" t="s">
        <v>297</v>
      </c>
      <c r="AB445" s="56">
        <v>34062</v>
      </c>
      <c r="AC445" s="32" t="s">
        <v>2214</v>
      </c>
      <c r="AD445" s="57" t="str">
        <f t="shared" ca="1" si="31"/>
        <v xml:space="preserve">32 Tahun 6 Bulan </v>
      </c>
      <c r="AE445" s="33" t="s">
        <v>1106</v>
      </c>
      <c r="AF445" s="71"/>
      <c r="AG445" s="22" t="s">
        <v>2187</v>
      </c>
      <c r="AH445" s="58"/>
      <c r="AI445" s="58"/>
      <c r="AJ445" s="58"/>
      <c r="AK445" s="33"/>
      <c r="AL445" s="36"/>
    </row>
    <row r="446" spans="1:39" ht="14.45" customHeight="1" x14ac:dyDescent="0.25">
      <c r="A446" s="17">
        <v>7</v>
      </c>
      <c r="B446" s="52"/>
      <c r="C446" s="50" t="s">
        <v>2215</v>
      </c>
      <c r="D446" s="20" t="s">
        <v>2216</v>
      </c>
      <c r="E446" s="52" t="s">
        <v>56</v>
      </c>
      <c r="F446" s="58" t="s">
        <v>41</v>
      </c>
      <c r="G446" s="23" t="s">
        <v>227</v>
      </c>
      <c r="H446" s="22" t="s">
        <v>228</v>
      </c>
      <c r="I446" s="22" t="s">
        <v>44</v>
      </c>
      <c r="J446" s="22" t="s">
        <v>1104</v>
      </c>
      <c r="K446" s="77">
        <v>44621</v>
      </c>
      <c r="L446" s="25"/>
      <c r="M446" s="26"/>
      <c r="N446" s="26"/>
      <c r="O446" s="27"/>
      <c r="P446" s="28"/>
      <c r="Q446" s="29"/>
      <c r="R446" s="26"/>
      <c r="S446" s="23" t="s">
        <v>84</v>
      </c>
      <c r="T446" s="23">
        <v>2020</v>
      </c>
      <c r="U446" s="23"/>
      <c r="V446" s="23"/>
      <c r="W446" s="77">
        <v>44621</v>
      </c>
      <c r="X446" s="77">
        <v>44621</v>
      </c>
      <c r="Y446" s="77">
        <v>44621</v>
      </c>
      <c r="Z446" s="55" t="str">
        <f ca="1">DATEDIF(X446,TODAY(),"y")&amp;" Tahun "&amp;DATEDIF(X446,TODAY(),"ym")&amp;" Bulan "&amp;DATEDIF(X446,TODAY(),"md")&amp;" Hari"</f>
        <v>3 Tahun 7 Bulan 30 Hari</v>
      </c>
      <c r="AA446" s="55" t="s">
        <v>697</v>
      </c>
      <c r="AB446" s="56">
        <v>35564</v>
      </c>
      <c r="AC446" s="32" t="s">
        <v>2217</v>
      </c>
      <c r="AD446" s="57" t="str">
        <f t="shared" ca="1" si="31"/>
        <v xml:space="preserve">28 Tahun 5 Bulan </v>
      </c>
      <c r="AE446" s="33" t="s">
        <v>1106</v>
      </c>
      <c r="AF446" s="71"/>
      <c r="AG446" s="22" t="s">
        <v>2187</v>
      </c>
      <c r="AH446" s="58"/>
      <c r="AI446" s="58"/>
      <c r="AJ446" s="58"/>
      <c r="AK446" s="33"/>
      <c r="AL446" s="36"/>
    </row>
    <row r="447" spans="1:39" ht="14.45" customHeight="1" x14ac:dyDescent="0.25">
      <c r="A447" s="17">
        <v>8</v>
      </c>
      <c r="B447" s="78"/>
      <c r="C447" s="50" t="s">
        <v>2218</v>
      </c>
      <c r="D447" s="20" t="s">
        <v>2219</v>
      </c>
      <c r="E447" s="52" t="s">
        <v>40</v>
      </c>
      <c r="F447" s="58" t="s">
        <v>41</v>
      </c>
      <c r="G447" s="23" t="s">
        <v>57</v>
      </c>
      <c r="H447" s="22" t="s">
        <v>58</v>
      </c>
      <c r="I447" s="22" t="s">
        <v>44</v>
      </c>
      <c r="J447" s="22" t="s">
        <v>148</v>
      </c>
      <c r="K447" s="24">
        <v>45323</v>
      </c>
      <c r="L447" s="53" t="s">
        <v>2220</v>
      </c>
      <c r="M447" s="26">
        <v>43007</v>
      </c>
      <c r="N447" s="26">
        <v>44822</v>
      </c>
      <c r="O447" s="27" t="s">
        <v>1155</v>
      </c>
      <c r="P447" s="53" t="s">
        <v>2221</v>
      </c>
      <c r="Q447" s="26">
        <v>43256</v>
      </c>
      <c r="R447" s="29">
        <v>44822</v>
      </c>
      <c r="S447" s="23" t="s">
        <v>84</v>
      </c>
      <c r="T447" s="23">
        <v>2021</v>
      </c>
      <c r="U447" s="23"/>
      <c r="V447" s="23"/>
      <c r="W447" s="30">
        <v>38353</v>
      </c>
      <c r="X447" s="30">
        <v>38353</v>
      </c>
      <c r="Y447" s="30">
        <v>39753</v>
      </c>
      <c r="Z447" s="55" t="str">
        <f ca="1">DATEDIF(W447,TODAY(),"y")&amp;" Tahun "&amp;DATEDIF(W447,TODAY(),"ym")&amp;" Bulan "&amp;DATEDIF(W447,TODAY(),"md")&amp;" Hari"</f>
        <v>20 Tahun 9 Bulan 30 Hari</v>
      </c>
      <c r="AA447" s="55" t="s">
        <v>1540</v>
      </c>
      <c r="AB447" s="56">
        <v>29482</v>
      </c>
      <c r="AC447" s="31" t="s">
        <v>2222</v>
      </c>
      <c r="AD447" s="57" t="str">
        <f t="shared" ca="1" si="31"/>
        <v xml:space="preserve">45 Tahun 1 Bulan </v>
      </c>
      <c r="AE447" s="33" t="s">
        <v>1106</v>
      </c>
      <c r="AF447" s="71"/>
      <c r="AG447" s="22" t="s">
        <v>2187</v>
      </c>
      <c r="AH447" s="58"/>
      <c r="AI447" s="58"/>
      <c r="AJ447" s="58"/>
      <c r="AK447" s="33"/>
      <c r="AL447" s="36"/>
    </row>
    <row r="448" spans="1:39" ht="14.45" customHeight="1" x14ac:dyDescent="0.25">
      <c r="A448" s="17">
        <v>9</v>
      </c>
      <c r="B448" s="78"/>
      <c r="C448" s="50" t="s">
        <v>2223</v>
      </c>
      <c r="D448" s="20" t="s">
        <v>2224</v>
      </c>
      <c r="E448" s="52" t="s">
        <v>40</v>
      </c>
      <c r="F448" s="58" t="s">
        <v>41</v>
      </c>
      <c r="G448" s="23" t="s">
        <v>42</v>
      </c>
      <c r="H448" s="22" t="s">
        <v>43</v>
      </c>
      <c r="I448" s="22" t="s">
        <v>44</v>
      </c>
      <c r="J448" s="22" t="s">
        <v>148</v>
      </c>
      <c r="K448" s="24">
        <v>45870</v>
      </c>
      <c r="L448" s="53" t="s">
        <v>2225</v>
      </c>
      <c r="M448" s="26">
        <v>43145</v>
      </c>
      <c r="N448" s="26">
        <v>45149</v>
      </c>
      <c r="O448" s="27" t="s">
        <v>148</v>
      </c>
      <c r="P448" s="53" t="s">
        <v>2226</v>
      </c>
      <c r="Q448" s="26">
        <v>43256</v>
      </c>
      <c r="R448" s="29">
        <v>45149</v>
      </c>
      <c r="S448" s="23" t="s">
        <v>84</v>
      </c>
      <c r="T448" s="23">
        <v>2021</v>
      </c>
      <c r="U448" s="23"/>
      <c r="V448" s="23"/>
      <c r="W448" s="30">
        <v>37956</v>
      </c>
      <c r="X448" s="30">
        <v>37956</v>
      </c>
      <c r="Y448" s="30">
        <v>40299</v>
      </c>
      <c r="Z448" s="55" t="str">
        <f ca="1">DATEDIF(W448,TODAY(),"y")&amp;" Tahun "&amp;DATEDIF(W448,TODAY(),"ym")&amp;" Bulan "&amp;DATEDIF(W448,TODAY(),"md")&amp;" Hari"</f>
        <v>21 Tahun 10 Bulan 30 Hari</v>
      </c>
      <c r="AA448" s="55" t="s">
        <v>76</v>
      </c>
      <c r="AB448" s="56">
        <v>28713</v>
      </c>
      <c r="AC448" s="32" t="s">
        <v>2227</v>
      </c>
      <c r="AD448" s="57" t="str">
        <f t="shared" ca="1" si="31"/>
        <v xml:space="preserve">47 Tahun 2 Bulan </v>
      </c>
      <c r="AE448" s="33" t="s">
        <v>1106</v>
      </c>
      <c r="AF448" s="71"/>
      <c r="AG448" s="22" t="s">
        <v>2187</v>
      </c>
      <c r="AH448" s="58"/>
      <c r="AI448" s="58"/>
      <c r="AJ448" s="58"/>
      <c r="AK448" s="33"/>
      <c r="AL448" s="36"/>
    </row>
    <row r="449" spans="1:39" ht="14.45" customHeight="1" x14ac:dyDescent="0.25">
      <c r="A449" s="17">
        <v>10</v>
      </c>
      <c r="B449" s="78"/>
      <c r="C449" s="50" t="s">
        <v>2228</v>
      </c>
      <c r="D449" s="20" t="s">
        <v>2229</v>
      </c>
      <c r="E449" s="52" t="s">
        <v>56</v>
      </c>
      <c r="F449" s="22" t="s">
        <v>41</v>
      </c>
      <c r="G449" s="23" t="s">
        <v>102</v>
      </c>
      <c r="H449" s="22" t="s">
        <v>103</v>
      </c>
      <c r="I449" s="22" t="s">
        <v>44</v>
      </c>
      <c r="J449" s="22" t="s">
        <v>1148</v>
      </c>
      <c r="K449" s="24">
        <v>45870</v>
      </c>
      <c r="L449" s="53" t="s">
        <v>2230</v>
      </c>
      <c r="M449" s="26">
        <v>43117</v>
      </c>
      <c r="N449" s="26">
        <v>45277</v>
      </c>
      <c r="O449" s="27" t="s">
        <v>148</v>
      </c>
      <c r="P449" s="28" t="s">
        <v>2231</v>
      </c>
      <c r="Q449" s="29">
        <v>43192</v>
      </c>
      <c r="R449" s="26">
        <v>45277</v>
      </c>
      <c r="S449" s="23" t="s">
        <v>84</v>
      </c>
      <c r="T449" s="23"/>
      <c r="U449" s="23"/>
      <c r="V449" s="23"/>
      <c r="W449" s="30">
        <v>41244</v>
      </c>
      <c r="X449" s="30">
        <v>39965</v>
      </c>
      <c r="Y449" s="30">
        <v>41395</v>
      </c>
      <c r="Z449" s="55" t="str">
        <f ca="1">DATEDIF(W449,TODAY(),"y")&amp;" Tahun "&amp;DATEDIF(W449,TODAY(),"ym")&amp;" Bulan "&amp;DATEDIF(W449,TODAY(),"md")&amp;" Hari"</f>
        <v>12 Tahun 10 Bulan 30 Hari</v>
      </c>
      <c r="AA449" s="55" t="s">
        <v>76</v>
      </c>
      <c r="AB449" s="56">
        <v>31398</v>
      </c>
      <c r="AC449" s="31" t="s">
        <v>2232</v>
      </c>
      <c r="AD449" s="57" t="str">
        <f t="shared" ca="1" si="31"/>
        <v xml:space="preserve">39 Tahun 10 Bulan </v>
      </c>
      <c r="AE449" s="33" t="s">
        <v>1106</v>
      </c>
      <c r="AF449" s="71"/>
      <c r="AG449" s="22" t="s">
        <v>2187</v>
      </c>
      <c r="AH449" s="58"/>
      <c r="AI449" s="58"/>
      <c r="AJ449" s="58"/>
      <c r="AK449" s="33"/>
      <c r="AL449" s="36"/>
    </row>
    <row r="450" spans="1:39" ht="14.45" customHeight="1" x14ac:dyDescent="0.25">
      <c r="A450" s="17">
        <v>11</v>
      </c>
      <c r="B450" s="134"/>
      <c r="C450" s="50" t="s">
        <v>2233</v>
      </c>
      <c r="D450" s="62" t="s">
        <v>2234</v>
      </c>
      <c r="E450" s="92" t="s">
        <v>56</v>
      </c>
      <c r="F450" s="35" t="s">
        <v>41</v>
      </c>
      <c r="G450" s="23" t="s">
        <v>227</v>
      </c>
      <c r="H450" s="22" t="s">
        <v>228</v>
      </c>
      <c r="I450" s="22" t="s">
        <v>44</v>
      </c>
      <c r="J450" s="22" t="s">
        <v>1148</v>
      </c>
      <c r="K450" s="24">
        <v>45505</v>
      </c>
      <c r="L450" s="25" t="s">
        <v>2235</v>
      </c>
      <c r="M450" s="26">
        <v>42047</v>
      </c>
      <c r="N450" s="26">
        <v>43905</v>
      </c>
      <c r="O450" s="27" t="s">
        <v>148</v>
      </c>
      <c r="P450" s="28" t="s">
        <v>2236</v>
      </c>
      <c r="Q450" s="29">
        <v>42774</v>
      </c>
      <c r="R450" s="26">
        <v>43905</v>
      </c>
      <c r="S450" s="38" t="s">
        <v>1172</v>
      </c>
      <c r="T450" s="38"/>
      <c r="U450" s="38"/>
      <c r="V450" s="38"/>
      <c r="W450" s="30">
        <v>44166</v>
      </c>
      <c r="X450" s="37">
        <v>42370</v>
      </c>
      <c r="Y450" s="37">
        <v>42401</v>
      </c>
      <c r="Z450" s="93" t="str">
        <f ca="1">DATEDIF(X450,TODAY(),"y")&amp;" Tahun "&amp;DATEDIF(X450,TODAY(),"ym")&amp;" Bulan "&amp;DATEDIF(X450,TODAY(),"md")&amp;" Hari"</f>
        <v>9 Tahun 9 Bulan 30 Hari</v>
      </c>
      <c r="AA450" s="93" t="s">
        <v>1363</v>
      </c>
      <c r="AB450" s="94">
        <v>33678</v>
      </c>
      <c r="AC450" s="31" t="s">
        <v>2237</v>
      </c>
      <c r="AD450" s="57" t="str">
        <f t="shared" ca="1" si="31"/>
        <v xml:space="preserve">33 Tahun 7 Bulan </v>
      </c>
      <c r="AE450" s="38" t="s">
        <v>1106</v>
      </c>
      <c r="AF450" s="64"/>
      <c r="AG450" s="22" t="s">
        <v>2187</v>
      </c>
      <c r="AH450" s="58"/>
      <c r="AI450" s="58"/>
      <c r="AJ450" s="58"/>
      <c r="AK450" s="33"/>
      <c r="AL450" s="36"/>
    </row>
    <row r="451" spans="1:39" ht="14.45" customHeight="1" x14ac:dyDescent="0.25">
      <c r="A451" s="17">
        <v>12</v>
      </c>
      <c r="B451" s="78"/>
      <c r="C451" s="139" t="s">
        <v>6161</v>
      </c>
      <c r="D451" s="137" t="s">
        <v>2238</v>
      </c>
      <c r="E451" s="52" t="s">
        <v>40</v>
      </c>
      <c r="F451" s="87" t="s">
        <v>41</v>
      </c>
      <c r="G451" s="23" t="s">
        <v>102</v>
      </c>
      <c r="H451" s="22" t="s">
        <v>103</v>
      </c>
      <c r="I451" s="60" t="s">
        <v>44</v>
      </c>
      <c r="J451" s="22" t="s">
        <v>1166</v>
      </c>
      <c r="K451" s="24">
        <v>45566</v>
      </c>
      <c r="L451" s="25" t="s">
        <v>2239</v>
      </c>
      <c r="M451" s="26">
        <v>42041</v>
      </c>
      <c r="N451" s="26">
        <v>44006</v>
      </c>
      <c r="O451" s="27" t="s">
        <v>2240</v>
      </c>
      <c r="P451" s="28" t="s">
        <v>2241</v>
      </c>
      <c r="Q451" s="29">
        <v>43151</v>
      </c>
      <c r="R451" s="26">
        <v>44006</v>
      </c>
      <c r="S451" s="33" t="s">
        <v>1172</v>
      </c>
      <c r="T451" s="33"/>
      <c r="U451" s="33"/>
      <c r="V451" s="33"/>
      <c r="W451" s="95">
        <v>41244</v>
      </c>
      <c r="X451" s="30">
        <v>41334</v>
      </c>
      <c r="Y451" s="22"/>
      <c r="Z451" s="31" t="str">
        <f ca="1">DATEDIF(W451,TODAY(),"y")&amp;" Tahun "&amp;DATEDIF(W451,TODAY(),"ym")&amp;" Bulan "&amp;DATEDIF(W451,TODAY(),"md")&amp;" Hari"</f>
        <v>12 Tahun 10 Bulan 30 Hari</v>
      </c>
      <c r="AA451" s="56">
        <v>33048</v>
      </c>
      <c r="AB451" s="56">
        <v>33048</v>
      </c>
      <c r="AC451" s="31" t="s">
        <v>2242</v>
      </c>
      <c r="AD451" s="57" t="str">
        <f t="shared" ca="1" si="31"/>
        <v xml:space="preserve">35 Tahun 4 Bulan </v>
      </c>
      <c r="AE451" s="33" t="s">
        <v>1106</v>
      </c>
      <c r="AF451" s="71"/>
      <c r="AG451" s="22" t="s">
        <v>2187</v>
      </c>
      <c r="AH451" s="58"/>
      <c r="AI451" s="58"/>
      <c r="AJ451" s="58"/>
      <c r="AK451" s="34"/>
      <c r="AL451" s="36"/>
      <c r="AM451" s="14"/>
    </row>
    <row r="452" spans="1:39" ht="14.45" customHeight="1" x14ac:dyDescent="0.25">
      <c r="A452" s="17">
        <v>13</v>
      </c>
      <c r="B452" s="78"/>
      <c r="C452" s="139" t="s">
        <v>2243</v>
      </c>
      <c r="D452" s="62" t="s">
        <v>2244</v>
      </c>
      <c r="E452" s="92" t="s">
        <v>56</v>
      </c>
      <c r="F452" s="35" t="s">
        <v>41</v>
      </c>
      <c r="G452" s="23" t="s">
        <v>227</v>
      </c>
      <c r="H452" s="22" t="s">
        <v>228</v>
      </c>
      <c r="I452" s="58" t="s">
        <v>44</v>
      </c>
      <c r="J452" s="60" t="s">
        <v>1148</v>
      </c>
      <c r="K452" s="24">
        <v>45505</v>
      </c>
      <c r="L452" s="25" t="s">
        <v>2245</v>
      </c>
      <c r="M452" s="26">
        <v>42542</v>
      </c>
      <c r="N452" s="26">
        <v>44549</v>
      </c>
      <c r="O452" s="27" t="s">
        <v>84</v>
      </c>
      <c r="P452" s="28" t="s">
        <v>2246</v>
      </c>
      <c r="Q452" s="29">
        <v>43124</v>
      </c>
      <c r="R452" s="26">
        <v>44549</v>
      </c>
      <c r="S452" s="38" t="s">
        <v>84</v>
      </c>
      <c r="T452" s="38"/>
      <c r="U452" s="38"/>
      <c r="V452" s="38"/>
      <c r="W452" s="30">
        <v>44166</v>
      </c>
      <c r="X452" s="37">
        <v>43070</v>
      </c>
      <c r="Y452" s="37">
        <v>43070</v>
      </c>
      <c r="Z452" s="93" t="str">
        <f t="shared" ref="Z452:Z462" ca="1" si="32">DATEDIF(X452,TODAY(),"y")&amp;" Tahun "&amp;DATEDIF(X452,TODAY(),"ym")&amp;" Bulan "&amp;DATEDIF(X452,TODAY(),"md")&amp;" Hari"</f>
        <v>7 Tahun 10 Bulan 30 Hari</v>
      </c>
      <c r="AA452" s="93" t="s">
        <v>1540</v>
      </c>
      <c r="AB452" s="94">
        <v>31400</v>
      </c>
      <c r="AC452" s="31" t="s">
        <v>2247</v>
      </c>
      <c r="AD452" s="57" t="str">
        <f t="shared" ca="1" si="31"/>
        <v xml:space="preserve">39 Tahun 10 Bulan </v>
      </c>
      <c r="AE452" s="38" t="s">
        <v>1106</v>
      </c>
      <c r="AF452" s="64"/>
      <c r="AG452" s="22" t="s">
        <v>2187</v>
      </c>
      <c r="AH452" s="65"/>
      <c r="AI452" s="65"/>
      <c r="AJ452" s="153"/>
      <c r="AK452" s="154" t="s">
        <v>112</v>
      </c>
      <c r="AL452" s="38"/>
      <c r="AM452" s="47"/>
    </row>
    <row r="453" spans="1:39" ht="14.45" customHeight="1" x14ac:dyDescent="0.25">
      <c r="A453" s="17">
        <v>14</v>
      </c>
      <c r="B453" s="78">
        <v>1388</v>
      </c>
      <c r="C453" s="50" t="s">
        <v>5795</v>
      </c>
      <c r="D453" s="20" t="s">
        <v>2248</v>
      </c>
      <c r="E453" s="58" t="s">
        <v>56</v>
      </c>
      <c r="F453" s="58" t="s">
        <v>41</v>
      </c>
      <c r="G453" s="23" t="s">
        <v>227</v>
      </c>
      <c r="H453" s="22" t="s">
        <v>228</v>
      </c>
      <c r="I453" s="22" t="s">
        <v>44</v>
      </c>
      <c r="J453" s="22" t="s">
        <v>1148</v>
      </c>
      <c r="K453" s="24">
        <v>45200</v>
      </c>
      <c r="L453" s="25"/>
      <c r="M453" s="26"/>
      <c r="N453" s="26"/>
      <c r="O453" s="27"/>
      <c r="P453" s="28"/>
      <c r="Q453" s="29"/>
      <c r="R453" s="26"/>
      <c r="S453" s="23" t="s">
        <v>84</v>
      </c>
      <c r="T453" s="23"/>
      <c r="U453" s="23"/>
      <c r="V453" s="23"/>
      <c r="W453" s="30">
        <v>44166</v>
      </c>
      <c r="X453" s="30">
        <v>44197</v>
      </c>
      <c r="Y453" s="30">
        <v>44197</v>
      </c>
      <c r="Z453" s="55" t="str">
        <f t="shared" ca="1" si="32"/>
        <v>4 Tahun 9 Bulan 30 Hari</v>
      </c>
      <c r="AA453" s="55" t="s">
        <v>1572</v>
      </c>
      <c r="AB453" s="56">
        <v>34601</v>
      </c>
      <c r="AC453" s="32" t="s">
        <v>2249</v>
      </c>
      <c r="AD453" s="57" t="str">
        <f t="shared" ca="1" si="31"/>
        <v xml:space="preserve">31 Tahun 1 Bulan </v>
      </c>
      <c r="AE453" s="33" t="s">
        <v>1106</v>
      </c>
      <c r="AF453" s="34"/>
      <c r="AG453" s="22" t="s">
        <v>2187</v>
      </c>
      <c r="AH453" s="58"/>
      <c r="AI453" s="58"/>
      <c r="AJ453" s="58"/>
      <c r="AK453" s="34"/>
      <c r="AL453" s="36"/>
      <c r="AM453" s="14"/>
    </row>
    <row r="454" spans="1:39" ht="14.45" customHeight="1" x14ac:dyDescent="0.25">
      <c r="A454" s="17">
        <v>15</v>
      </c>
      <c r="B454" s="52"/>
      <c r="C454" s="50" t="s">
        <v>2250</v>
      </c>
      <c r="D454" s="20" t="s">
        <v>2251</v>
      </c>
      <c r="E454" s="52" t="s">
        <v>56</v>
      </c>
      <c r="F454" s="22" t="s">
        <v>41</v>
      </c>
      <c r="G454" s="23" t="s">
        <v>227</v>
      </c>
      <c r="H454" s="22" t="s">
        <v>228</v>
      </c>
      <c r="I454" s="22" t="s">
        <v>44</v>
      </c>
      <c r="J454" s="22" t="s">
        <v>1104</v>
      </c>
      <c r="K454" s="77">
        <v>44621</v>
      </c>
      <c r="L454" s="25"/>
      <c r="M454" s="26"/>
      <c r="N454" s="26"/>
      <c r="O454" s="27"/>
      <c r="P454" s="28"/>
      <c r="Q454" s="29"/>
      <c r="R454" s="26"/>
      <c r="S454" s="23" t="s">
        <v>84</v>
      </c>
      <c r="T454" s="23">
        <v>2020</v>
      </c>
      <c r="U454" s="23"/>
      <c r="V454" s="23"/>
      <c r="W454" s="77">
        <v>44621</v>
      </c>
      <c r="X454" s="77">
        <v>44621</v>
      </c>
      <c r="Y454" s="77">
        <v>44621</v>
      </c>
      <c r="Z454" s="55" t="str">
        <f t="shared" ca="1" si="32"/>
        <v>3 Tahun 7 Bulan 30 Hari</v>
      </c>
      <c r="AA454" s="55" t="s">
        <v>2252</v>
      </c>
      <c r="AB454" s="56">
        <v>35021</v>
      </c>
      <c r="AC454" s="32" t="s">
        <v>2253</v>
      </c>
      <c r="AD454" s="57" t="str">
        <f t="shared" ca="1" si="31"/>
        <v xml:space="preserve">29 Tahun 11 Bulan </v>
      </c>
      <c r="AE454" s="33" t="s">
        <v>1106</v>
      </c>
      <c r="AF454" s="71"/>
      <c r="AG454" s="22" t="s">
        <v>2187</v>
      </c>
      <c r="AH454" s="65"/>
      <c r="AI454" s="65"/>
      <c r="AJ454" s="65"/>
      <c r="AK454" s="38" t="s">
        <v>112</v>
      </c>
      <c r="AL454" s="38"/>
      <c r="AM454" s="47"/>
    </row>
    <row r="455" spans="1:39" ht="14.45" customHeight="1" x14ac:dyDescent="0.25">
      <c r="A455" s="17">
        <v>16</v>
      </c>
      <c r="B455" s="78"/>
      <c r="C455" s="50" t="s">
        <v>2254</v>
      </c>
      <c r="D455" s="20" t="s">
        <v>2255</v>
      </c>
      <c r="E455" s="21" t="s">
        <v>40</v>
      </c>
      <c r="F455" s="22" t="s">
        <v>238</v>
      </c>
      <c r="G455" s="33" t="s">
        <v>3872</v>
      </c>
      <c r="H455" s="22" t="s">
        <v>1078</v>
      </c>
      <c r="I455" s="22" t="s">
        <v>44</v>
      </c>
      <c r="J455" s="22" t="s">
        <v>1293</v>
      </c>
      <c r="K455" s="22"/>
      <c r="L455" s="25" t="s">
        <v>2256</v>
      </c>
      <c r="M455" s="26">
        <v>42926</v>
      </c>
      <c r="N455" s="26">
        <v>44670</v>
      </c>
      <c r="O455" s="27" t="s">
        <v>1155</v>
      </c>
      <c r="P455" s="53" t="s">
        <v>2257</v>
      </c>
      <c r="Q455" s="26">
        <v>43039</v>
      </c>
      <c r="R455" s="26">
        <v>44670</v>
      </c>
      <c r="S455" s="23" t="s">
        <v>1172</v>
      </c>
      <c r="T455" s="23"/>
      <c r="U455" s="23"/>
      <c r="V455" s="23"/>
      <c r="W455" s="77">
        <v>45047</v>
      </c>
      <c r="X455" s="30">
        <v>39424</v>
      </c>
      <c r="Y455" s="30">
        <v>42339</v>
      </c>
      <c r="Z455" s="31" t="str">
        <f t="shared" ca="1" si="32"/>
        <v>17 Tahun 10 Bulan 23 Hari</v>
      </c>
      <c r="AA455" s="31" t="s">
        <v>76</v>
      </c>
      <c r="AB455" s="32">
        <v>30791</v>
      </c>
      <c r="AC455" s="31" t="s">
        <v>2258</v>
      </c>
      <c r="AD455" s="22" t="str">
        <f t="shared" ca="1" si="31"/>
        <v xml:space="preserve">41 Tahun 6 Bulan </v>
      </c>
      <c r="AE455" s="33" t="s">
        <v>1106</v>
      </c>
      <c r="AF455" s="34"/>
      <c r="AG455" s="22" t="s">
        <v>2187</v>
      </c>
      <c r="AH455" s="58"/>
      <c r="AI455" s="58"/>
      <c r="AJ455" s="58"/>
      <c r="AK455" s="33" t="s">
        <v>676</v>
      </c>
      <c r="AL455" s="36"/>
    </row>
    <row r="456" spans="1:39" ht="14.45" customHeight="1" x14ac:dyDescent="0.25">
      <c r="A456" s="17">
        <v>17</v>
      </c>
      <c r="B456" s="78"/>
      <c r="C456" s="50" t="s">
        <v>2259</v>
      </c>
      <c r="D456" s="20" t="s">
        <v>2260</v>
      </c>
      <c r="E456" s="52" t="s">
        <v>56</v>
      </c>
      <c r="F456" s="58" t="s">
        <v>238</v>
      </c>
      <c r="G456" s="23" t="s">
        <v>3872</v>
      </c>
      <c r="H456" s="22" t="s">
        <v>1078</v>
      </c>
      <c r="I456" s="22" t="s">
        <v>44</v>
      </c>
      <c r="J456" s="22" t="s">
        <v>1293</v>
      </c>
      <c r="K456" s="22"/>
      <c r="L456" s="53" t="s">
        <v>2261</v>
      </c>
      <c r="M456" s="26">
        <v>43145</v>
      </c>
      <c r="N456" s="26">
        <v>45274</v>
      </c>
      <c r="O456" s="27" t="s">
        <v>148</v>
      </c>
      <c r="P456" s="53" t="s">
        <v>2262</v>
      </c>
      <c r="Q456" s="26">
        <v>43256</v>
      </c>
      <c r="R456" s="29">
        <v>45274</v>
      </c>
      <c r="S456" s="23" t="s">
        <v>1167</v>
      </c>
      <c r="T456" s="23"/>
      <c r="U456" s="23"/>
      <c r="V456" s="23"/>
      <c r="W456" s="77">
        <v>45047</v>
      </c>
      <c r="X456" s="30">
        <v>39121</v>
      </c>
      <c r="Y456" s="30">
        <v>39121</v>
      </c>
      <c r="Z456" s="55" t="str">
        <f t="shared" ca="1" si="32"/>
        <v>18 Tahun 8 Bulan 23 Hari</v>
      </c>
      <c r="AA456" s="55" t="s">
        <v>76</v>
      </c>
      <c r="AB456" s="56">
        <v>31030</v>
      </c>
      <c r="AC456" s="31" t="s">
        <v>2263</v>
      </c>
      <c r="AD456" s="57" t="str">
        <f t="shared" ca="1" si="31"/>
        <v xml:space="preserve">40 Tahun 10 Bulan </v>
      </c>
      <c r="AE456" s="33" t="s">
        <v>1106</v>
      </c>
      <c r="AF456" s="71"/>
      <c r="AG456" s="22" t="s">
        <v>2187</v>
      </c>
      <c r="AH456" s="58"/>
      <c r="AI456" s="58"/>
      <c r="AJ456" s="58"/>
      <c r="AK456" s="33"/>
      <c r="AL456" s="36"/>
    </row>
    <row r="457" spans="1:39" ht="14.45" customHeight="1" x14ac:dyDescent="0.25">
      <c r="A457" s="17">
        <v>18</v>
      </c>
      <c r="B457" s="78"/>
      <c r="C457" s="50" t="s">
        <v>2264</v>
      </c>
      <c r="D457" s="20" t="s">
        <v>2265</v>
      </c>
      <c r="E457" s="52" t="s">
        <v>40</v>
      </c>
      <c r="F457" s="58" t="s">
        <v>238</v>
      </c>
      <c r="G457" s="23" t="s">
        <v>3872</v>
      </c>
      <c r="H457" s="22" t="s">
        <v>1078</v>
      </c>
      <c r="I457" s="22" t="s">
        <v>44</v>
      </c>
      <c r="J457" s="22" t="s">
        <v>1293</v>
      </c>
      <c r="K457" s="30"/>
      <c r="L457" s="25" t="s">
        <v>2266</v>
      </c>
      <c r="M457" s="26">
        <v>42926</v>
      </c>
      <c r="N457" s="26">
        <v>44779</v>
      </c>
      <c r="O457" s="27" t="s">
        <v>1155</v>
      </c>
      <c r="P457" s="53" t="s">
        <v>2267</v>
      </c>
      <c r="Q457" s="29">
        <v>43048</v>
      </c>
      <c r="R457" s="26">
        <v>44720</v>
      </c>
      <c r="S457" s="23" t="s">
        <v>1172</v>
      </c>
      <c r="T457" s="23"/>
      <c r="U457" s="23"/>
      <c r="V457" s="23"/>
      <c r="W457" s="77">
        <v>45047</v>
      </c>
      <c r="X457" s="30">
        <v>40330</v>
      </c>
      <c r="Y457" s="30">
        <v>40360</v>
      </c>
      <c r="Z457" s="55" t="str">
        <f t="shared" ca="1" si="32"/>
        <v>15 Tahun 4 Bulan 30 Hari</v>
      </c>
      <c r="AA457" s="55" t="s">
        <v>260</v>
      </c>
      <c r="AB457" s="56">
        <v>29745</v>
      </c>
      <c r="AC457" s="31" t="s">
        <v>2268</v>
      </c>
      <c r="AD457" s="57" t="str">
        <f t="shared" ca="1" si="31"/>
        <v xml:space="preserve">44 Tahun 4 Bulan </v>
      </c>
      <c r="AE457" s="33" t="s">
        <v>1106</v>
      </c>
      <c r="AF457" s="71"/>
      <c r="AG457" s="22" t="s">
        <v>2187</v>
      </c>
      <c r="AH457" s="22"/>
      <c r="AI457" s="22"/>
      <c r="AJ457" s="22"/>
      <c r="AK457" s="33" t="s">
        <v>314</v>
      </c>
      <c r="AL457" s="22"/>
    </row>
    <row r="458" spans="1:39" ht="14.45" customHeight="1" x14ac:dyDescent="0.25">
      <c r="A458" s="17">
        <v>19</v>
      </c>
      <c r="B458" s="78"/>
      <c r="C458" s="50" t="s">
        <v>2269</v>
      </c>
      <c r="D458" s="20" t="s">
        <v>2270</v>
      </c>
      <c r="E458" s="21" t="s">
        <v>56</v>
      </c>
      <c r="F458" s="22" t="s">
        <v>238</v>
      </c>
      <c r="G458" s="23" t="s">
        <v>3872</v>
      </c>
      <c r="H458" s="22" t="s">
        <v>305</v>
      </c>
      <c r="I458" s="22" t="s">
        <v>44</v>
      </c>
      <c r="J458" s="22" t="s">
        <v>1104</v>
      </c>
      <c r="K458" s="22"/>
      <c r="L458" s="25" t="s">
        <v>2271</v>
      </c>
      <c r="M458" s="26">
        <v>42926</v>
      </c>
      <c r="N458" s="26">
        <v>44657</v>
      </c>
      <c r="O458" s="27" t="s">
        <v>84</v>
      </c>
      <c r="P458" s="53" t="s">
        <v>2272</v>
      </c>
      <c r="Q458" s="26">
        <v>43039</v>
      </c>
      <c r="R458" s="26">
        <v>44657</v>
      </c>
      <c r="S458" s="23" t="s">
        <v>84</v>
      </c>
      <c r="T458" s="23"/>
      <c r="U458" s="23"/>
      <c r="V458" s="23"/>
      <c r="W458" s="77">
        <v>45047</v>
      </c>
      <c r="X458" s="30">
        <v>40330</v>
      </c>
      <c r="Y458" s="30">
        <v>42339</v>
      </c>
      <c r="Z458" s="31" t="str">
        <f t="shared" ca="1" si="32"/>
        <v>15 Tahun 4 Bulan 30 Hari</v>
      </c>
      <c r="AA458" s="31" t="s">
        <v>76</v>
      </c>
      <c r="AB458" s="32">
        <v>30471</v>
      </c>
      <c r="AC458" s="31" t="s">
        <v>2273</v>
      </c>
      <c r="AD458" s="22" t="str">
        <f t="shared" ca="1" si="31"/>
        <v xml:space="preserve">42 Tahun 4 Bulan </v>
      </c>
      <c r="AE458" s="33" t="s">
        <v>1106</v>
      </c>
      <c r="AF458" s="34"/>
      <c r="AG458" s="22" t="s">
        <v>2187</v>
      </c>
      <c r="AH458" s="58"/>
      <c r="AI458" s="58"/>
      <c r="AJ458" s="58"/>
      <c r="AK458" s="33" t="s">
        <v>314</v>
      </c>
      <c r="AL458" s="36"/>
    </row>
    <row r="459" spans="1:39" ht="14.45" customHeight="1" x14ac:dyDescent="0.25">
      <c r="A459" s="17">
        <v>20</v>
      </c>
      <c r="B459" s="78"/>
      <c r="C459" s="50" t="s">
        <v>2275</v>
      </c>
      <c r="D459" s="20" t="s">
        <v>2276</v>
      </c>
      <c r="E459" s="52" t="s">
        <v>56</v>
      </c>
      <c r="F459" s="22" t="s">
        <v>238</v>
      </c>
      <c r="G459" s="23" t="s">
        <v>3872</v>
      </c>
      <c r="H459" s="22" t="s">
        <v>1078</v>
      </c>
      <c r="I459" s="22" t="s">
        <v>44</v>
      </c>
      <c r="J459" s="22" t="s">
        <v>1293</v>
      </c>
      <c r="K459" s="30"/>
      <c r="L459" s="25" t="s">
        <v>2277</v>
      </c>
      <c r="M459" s="26">
        <v>42926</v>
      </c>
      <c r="N459" s="26">
        <v>44839</v>
      </c>
      <c r="O459" s="27" t="s">
        <v>1155</v>
      </c>
      <c r="P459" s="53" t="s">
        <v>2278</v>
      </c>
      <c r="Q459" s="26">
        <v>43039</v>
      </c>
      <c r="R459" s="26">
        <v>44839</v>
      </c>
      <c r="S459" s="23" t="s">
        <v>1172</v>
      </c>
      <c r="T459" s="23"/>
      <c r="U459" s="23"/>
      <c r="V459" s="23"/>
      <c r="W459" s="30">
        <v>45047</v>
      </c>
      <c r="X459" s="30">
        <v>40330</v>
      </c>
      <c r="Y459" s="30">
        <v>42339</v>
      </c>
      <c r="Z459" s="55" t="str">
        <f t="shared" ca="1" si="32"/>
        <v>15 Tahun 4 Bulan 30 Hari</v>
      </c>
      <c r="AA459" s="66" t="s">
        <v>76</v>
      </c>
      <c r="AB459" s="56">
        <v>31542</v>
      </c>
      <c r="AC459" s="31" t="s">
        <v>2279</v>
      </c>
      <c r="AD459" s="57" t="str">
        <f t="shared" ca="1" si="31"/>
        <v xml:space="preserve">39 Tahun 5 Bulan </v>
      </c>
      <c r="AE459" s="33" t="s">
        <v>1106</v>
      </c>
      <c r="AF459" s="71"/>
      <c r="AG459" s="22" t="s">
        <v>2187</v>
      </c>
      <c r="AH459" s="58"/>
      <c r="AI459" s="58"/>
      <c r="AJ459" s="58"/>
      <c r="AK459" s="33" t="s">
        <v>314</v>
      </c>
      <c r="AL459" s="36"/>
    </row>
    <row r="460" spans="1:39" ht="14.45" customHeight="1" x14ac:dyDescent="0.25">
      <c r="A460" s="17">
        <v>21</v>
      </c>
      <c r="B460" s="78"/>
      <c r="C460" s="50" t="s">
        <v>2280</v>
      </c>
      <c r="D460" s="20" t="s">
        <v>2281</v>
      </c>
      <c r="E460" s="58" t="s">
        <v>40</v>
      </c>
      <c r="F460" s="22" t="s">
        <v>238</v>
      </c>
      <c r="G460" s="33" t="s">
        <v>3872</v>
      </c>
      <c r="H460" s="22" t="s">
        <v>1078</v>
      </c>
      <c r="I460" s="22" t="s">
        <v>44</v>
      </c>
      <c r="J460" s="22" t="s">
        <v>1293</v>
      </c>
      <c r="K460" s="30"/>
      <c r="L460" s="53" t="s">
        <v>2282</v>
      </c>
      <c r="M460" s="26">
        <v>43117</v>
      </c>
      <c r="N460" s="26">
        <v>45053</v>
      </c>
      <c r="O460" s="27" t="s">
        <v>148</v>
      </c>
      <c r="P460" s="28" t="s">
        <v>2283</v>
      </c>
      <c r="Q460" s="29">
        <v>43192</v>
      </c>
      <c r="R460" s="26">
        <v>45053</v>
      </c>
      <c r="S460" s="33" t="s">
        <v>1172</v>
      </c>
      <c r="T460" s="33"/>
      <c r="U460" s="33"/>
      <c r="V460" s="33"/>
      <c r="W460" s="30">
        <v>45047</v>
      </c>
      <c r="X460" s="30">
        <v>42370</v>
      </c>
      <c r="Y460" s="30">
        <v>42401</v>
      </c>
      <c r="Z460" s="55" t="str">
        <f t="shared" ca="1" si="32"/>
        <v>9 Tahun 9 Bulan 30 Hari</v>
      </c>
      <c r="AA460" s="55" t="s">
        <v>260</v>
      </c>
      <c r="AB460" s="56">
        <v>30443</v>
      </c>
      <c r="AC460" s="31" t="s">
        <v>2284</v>
      </c>
      <c r="AD460" s="57" t="str">
        <f t="shared" ca="1" si="31"/>
        <v xml:space="preserve">42 Tahun 5 Bulan </v>
      </c>
      <c r="AE460" s="61" t="s">
        <v>1106</v>
      </c>
      <c r="AF460" s="79"/>
      <c r="AG460" s="22" t="s">
        <v>2187</v>
      </c>
      <c r="AH460" s="22"/>
      <c r="AI460" s="22"/>
      <c r="AJ460" s="22"/>
      <c r="AK460" s="33" t="s">
        <v>2274</v>
      </c>
      <c r="AL460" s="22"/>
    </row>
    <row r="461" spans="1:39" ht="14.45" customHeight="1" x14ac:dyDescent="0.25">
      <c r="A461" s="17">
        <v>22</v>
      </c>
      <c r="B461" s="78"/>
      <c r="C461" s="50" t="s">
        <v>2285</v>
      </c>
      <c r="D461" s="20" t="s">
        <v>2286</v>
      </c>
      <c r="E461" s="21" t="s">
        <v>56</v>
      </c>
      <c r="F461" s="22" t="s">
        <v>238</v>
      </c>
      <c r="G461" s="33" t="s">
        <v>3872</v>
      </c>
      <c r="H461" s="22" t="s">
        <v>1078</v>
      </c>
      <c r="I461" s="22" t="s">
        <v>44</v>
      </c>
      <c r="J461" s="22" t="s">
        <v>1293</v>
      </c>
      <c r="K461" s="22"/>
      <c r="L461" s="53" t="s">
        <v>2287</v>
      </c>
      <c r="M461" s="26">
        <v>42641</v>
      </c>
      <c r="N461" s="26">
        <v>44360</v>
      </c>
      <c r="O461" s="40" t="s">
        <v>148</v>
      </c>
      <c r="P461" s="53" t="s">
        <v>2288</v>
      </c>
      <c r="Q461" s="26">
        <v>43073</v>
      </c>
      <c r="R461" s="26">
        <v>44360</v>
      </c>
      <c r="S461" s="23" t="s">
        <v>1172</v>
      </c>
      <c r="T461" s="23"/>
      <c r="U461" s="23"/>
      <c r="V461" s="23"/>
      <c r="W461" s="77">
        <v>45383</v>
      </c>
      <c r="X461" s="30">
        <v>41030</v>
      </c>
      <c r="Y461" s="30">
        <v>41061</v>
      </c>
      <c r="Z461" s="31" t="str">
        <f t="shared" ca="1" si="32"/>
        <v>13 Tahun 5 Bulan 30 Hari</v>
      </c>
      <c r="AA461" s="31" t="s">
        <v>697</v>
      </c>
      <c r="AB461" s="32">
        <v>32672</v>
      </c>
      <c r="AC461" s="32" t="s">
        <v>2289</v>
      </c>
      <c r="AD461" s="22" t="str">
        <f t="shared" ca="1" si="31"/>
        <v xml:space="preserve">36 Tahun 4 Bulan </v>
      </c>
      <c r="AE461" s="33" t="s">
        <v>1106</v>
      </c>
      <c r="AF461" s="34"/>
      <c r="AG461" s="22" t="s">
        <v>2187</v>
      </c>
      <c r="AH461" s="22"/>
      <c r="AI461" s="22"/>
      <c r="AJ461" s="22"/>
      <c r="AK461" s="33" t="s">
        <v>314</v>
      </c>
      <c r="AL461" s="22"/>
    </row>
    <row r="462" spans="1:39" ht="14.45" customHeight="1" x14ac:dyDescent="0.25">
      <c r="A462" s="17">
        <v>23</v>
      </c>
      <c r="B462" s="78"/>
      <c r="C462" s="50" t="s">
        <v>2290</v>
      </c>
      <c r="D462" s="20" t="s">
        <v>2291</v>
      </c>
      <c r="E462" s="21" t="s">
        <v>56</v>
      </c>
      <c r="F462" s="22" t="s">
        <v>238</v>
      </c>
      <c r="G462" s="33" t="s">
        <v>3872</v>
      </c>
      <c r="H462" s="22" t="s">
        <v>1078</v>
      </c>
      <c r="I462" s="22" t="s">
        <v>44</v>
      </c>
      <c r="J462" s="22" t="s">
        <v>1293</v>
      </c>
      <c r="K462" s="22"/>
      <c r="L462" s="25" t="s">
        <v>2292</v>
      </c>
      <c r="M462" s="26">
        <v>41429</v>
      </c>
      <c r="N462" s="26">
        <v>43402</v>
      </c>
      <c r="O462" s="27" t="s">
        <v>148</v>
      </c>
      <c r="P462" s="28" t="s">
        <v>2293</v>
      </c>
      <c r="Q462" s="29">
        <v>41991</v>
      </c>
      <c r="R462" s="26">
        <v>43402</v>
      </c>
      <c r="S462" s="23" t="s">
        <v>1172</v>
      </c>
      <c r="T462" s="23"/>
      <c r="U462" s="23"/>
      <c r="V462" s="23"/>
      <c r="W462" s="77">
        <v>45047</v>
      </c>
      <c r="X462" s="30">
        <v>41030</v>
      </c>
      <c r="Y462" s="30">
        <v>41122</v>
      </c>
      <c r="Z462" s="31" t="str">
        <f t="shared" ca="1" si="32"/>
        <v>13 Tahun 5 Bulan 30 Hari</v>
      </c>
      <c r="AA462" s="31" t="s">
        <v>76</v>
      </c>
      <c r="AB462" s="32">
        <v>33175</v>
      </c>
      <c r="AC462" s="32" t="s">
        <v>2294</v>
      </c>
      <c r="AD462" s="22" t="str">
        <f t="shared" ca="1" si="31"/>
        <v xml:space="preserve">35 Tahun 0 Bulan </v>
      </c>
      <c r="AE462" s="33" t="s">
        <v>1106</v>
      </c>
      <c r="AF462" s="34"/>
      <c r="AG462" s="22" t="s">
        <v>2187</v>
      </c>
      <c r="AH462" s="22"/>
      <c r="AI462" s="22"/>
      <c r="AJ462" s="60"/>
      <c r="AK462" s="61" t="s">
        <v>314</v>
      </c>
      <c r="AL462" s="36"/>
      <c r="AM462" s="14"/>
    </row>
    <row r="463" spans="1:39" ht="14.45" customHeight="1" x14ac:dyDescent="0.25">
      <c r="A463" s="17">
        <v>24</v>
      </c>
      <c r="B463" s="18"/>
      <c r="C463" s="50" t="s">
        <v>2295</v>
      </c>
      <c r="D463" s="20" t="s">
        <v>2296</v>
      </c>
      <c r="E463" s="21" t="s">
        <v>40</v>
      </c>
      <c r="F463" s="22" t="s">
        <v>41</v>
      </c>
      <c r="G463" s="23" t="s">
        <v>42</v>
      </c>
      <c r="H463" s="22" t="s">
        <v>43</v>
      </c>
      <c r="I463" s="22" t="s">
        <v>44</v>
      </c>
      <c r="J463" s="6" t="s">
        <v>148</v>
      </c>
      <c r="K463" s="24">
        <v>45200</v>
      </c>
      <c r="L463" s="53" t="s">
        <v>2297</v>
      </c>
      <c r="M463" s="26">
        <v>43145</v>
      </c>
      <c r="N463" s="26">
        <v>45254</v>
      </c>
      <c r="O463" s="27" t="s">
        <v>148</v>
      </c>
      <c r="P463" s="53" t="s">
        <v>2298</v>
      </c>
      <c r="Q463" s="26">
        <v>43305</v>
      </c>
      <c r="R463" s="29">
        <v>45254</v>
      </c>
      <c r="S463" s="23" t="s">
        <v>84</v>
      </c>
      <c r="T463" s="23"/>
      <c r="U463" s="23"/>
      <c r="V463" s="23"/>
      <c r="W463" s="30">
        <v>35490</v>
      </c>
      <c r="X463" s="30">
        <v>35490</v>
      </c>
      <c r="Y463" s="30">
        <v>42339</v>
      </c>
      <c r="Z463" s="31" t="str">
        <f ca="1">DATEDIF(W463,TODAY(),"y")&amp;" Tahun "&amp;DATEDIF(W463,TODAY(),"ym")&amp;" Bulan "&amp;DATEDIF(W463,TODAY(),"md")&amp;" Hari"</f>
        <v>28 Tahun 7 Bulan 30 Hari</v>
      </c>
      <c r="AA463" s="31" t="s">
        <v>76</v>
      </c>
      <c r="AB463" s="32">
        <v>28088</v>
      </c>
      <c r="AC463" s="31" t="s">
        <v>2299</v>
      </c>
      <c r="AD463" s="22" t="str">
        <f t="shared" ca="1" si="31"/>
        <v xml:space="preserve">48 Tahun 11 Bulan </v>
      </c>
      <c r="AE463" s="33" t="s">
        <v>1106</v>
      </c>
      <c r="AF463" s="34"/>
      <c r="AG463" s="22" t="s">
        <v>2187</v>
      </c>
      <c r="AH463" s="22"/>
      <c r="AI463" s="22"/>
      <c r="AJ463" s="22"/>
      <c r="AK463" s="33" t="s">
        <v>485</v>
      </c>
      <c r="AL463" s="36"/>
    </row>
    <row r="464" spans="1:39" ht="14.45" customHeight="1" x14ac:dyDescent="0.25">
      <c r="A464" s="17">
        <v>25</v>
      </c>
      <c r="B464" s="78"/>
      <c r="C464" s="50" t="s">
        <v>2300</v>
      </c>
      <c r="D464" s="62" t="s">
        <v>2301</v>
      </c>
      <c r="E464" s="21" t="s">
        <v>56</v>
      </c>
      <c r="F464" s="22" t="s">
        <v>238</v>
      </c>
      <c r="G464" s="23" t="s">
        <v>3872</v>
      </c>
      <c r="H464" s="22" t="s">
        <v>305</v>
      </c>
      <c r="I464" s="22" t="s">
        <v>44</v>
      </c>
      <c r="J464" s="22" t="s">
        <v>1104</v>
      </c>
      <c r="K464" s="30"/>
      <c r="L464" s="25"/>
      <c r="M464" s="29"/>
      <c r="N464" s="26"/>
      <c r="O464" s="27"/>
      <c r="P464" s="28"/>
      <c r="Q464" s="29"/>
      <c r="R464" s="26"/>
      <c r="S464" s="23" t="s">
        <v>84</v>
      </c>
      <c r="T464" s="23"/>
      <c r="U464" s="23"/>
      <c r="V464" s="23"/>
      <c r="W464" s="30">
        <v>45383</v>
      </c>
      <c r="X464" s="30">
        <v>45383</v>
      </c>
      <c r="Y464" s="30">
        <v>45383</v>
      </c>
      <c r="Z464" s="31" t="str">
        <f t="shared" ref="Z464:Z478" ca="1" si="33">DATEDIF(X464,TODAY(),"y")&amp;" Tahun "&amp;DATEDIF(X464,TODAY(),"ym")&amp;" Bulan "&amp;DATEDIF(X464,TODAY(),"md")&amp;" Hari"</f>
        <v>1 Tahun 6 Bulan 30 Hari</v>
      </c>
      <c r="AA464" s="31" t="s">
        <v>1516</v>
      </c>
      <c r="AB464" s="32">
        <v>34245</v>
      </c>
      <c r="AC464" s="31" t="s">
        <v>2302</v>
      </c>
      <c r="AD464" s="22" t="str">
        <f t="shared" ca="1" si="31"/>
        <v xml:space="preserve">32 Tahun 0 Bulan </v>
      </c>
      <c r="AE464" s="33" t="s">
        <v>1106</v>
      </c>
      <c r="AF464" s="34"/>
      <c r="AG464" s="22" t="s">
        <v>2187</v>
      </c>
      <c r="AH464" s="22"/>
      <c r="AI464" s="22"/>
      <c r="AJ464" s="22"/>
      <c r="AK464" s="33" t="s">
        <v>314</v>
      </c>
      <c r="AL464" s="36"/>
      <c r="AM464" s="14"/>
    </row>
    <row r="465" spans="1:39" ht="14.45" customHeight="1" x14ac:dyDescent="0.25">
      <c r="A465" s="17">
        <v>26</v>
      </c>
      <c r="B465" s="78"/>
      <c r="C465" s="50" t="s">
        <v>2303</v>
      </c>
      <c r="D465" s="62" t="s">
        <v>2304</v>
      </c>
      <c r="E465" s="21" t="s">
        <v>40</v>
      </c>
      <c r="F465" s="22" t="s">
        <v>238</v>
      </c>
      <c r="G465" s="23" t="s">
        <v>3872</v>
      </c>
      <c r="H465" s="22" t="s">
        <v>305</v>
      </c>
      <c r="I465" s="22" t="s">
        <v>44</v>
      </c>
      <c r="J465" s="22" t="s">
        <v>1104</v>
      </c>
      <c r="K465" s="30"/>
      <c r="L465" s="25"/>
      <c r="M465" s="29"/>
      <c r="N465" s="26"/>
      <c r="O465" s="27"/>
      <c r="P465" s="28"/>
      <c r="Q465" s="29"/>
      <c r="R465" s="26"/>
      <c r="S465" s="23" t="s">
        <v>84</v>
      </c>
      <c r="T465" s="23"/>
      <c r="U465" s="23"/>
      <c r="V465" s="23"/>
      <c r="W465" s="30">
        <v>45383</v>
      </c>
      <c r="X465" s="30">
        <v>45383</v>
      </c>
      <c r="Y465" s="30">
        <v>45383</v>
      </c>
      <c r="Z465" s="31" t="str">
        <f t="shared" ca="1" si="33"/>
        <v>1 Tahun 6 Bulan 30 Hari</v>
      </c>
      <c r="AA465" s="31" t="s">
        <v>2305</v>
      </c>
      <c r="AB465" s="32">
        <v>32760</v>
      </c>
      <c r="AC465" s="31" t="s">
        <v>2306</v>
      </c>
      <c r="AD465" s="22" t="str">
        <f t="shared" ca="1" si="31"/>
        <v xml:space="preserve">36 Tahun 1 Bulan </v>
      </c>
      <c r="AE465" s="33" t="s">
        <v>1106</v>
      </c>
      <c r="AF465" s="34"/>
      <c r="AG465" s="22" t="s">
        <v>2187</v>
      </c>
      <c r="AH465" s="22"/>
      <c r="AI465" s="22"/>
      <c r="AJ465" s="22"/>
      <c r="AK465" s="33"/>
      <c r="AL465" s="22"/>
    </row>
    <row r="466" spans="1:39" ht="14.45" customHeight="1" x14ac:dyDescent="0.25">
      <c r="A466" s="17">
        <v>27</v>
      </c>
      <c r="B466" s="52"/>
      <c r="C466" s="50" t="s">
        <v>2307</v>
      </c>
      <c r="D466" s="20" t="s">
        <v>2308</v>
      </c>
      <c r="E466" s="52" t="s">
        <v>40</v>
      </c>
      <c r="F466" s="22" t="s">
        <v>41</v>
      </c>
      <c r="G466" s="23" t="s">
        <v>227</v>
      </c>
      <c r="H466" s="22" t="s">
        <v>228</v>
      </c>
      <c r="I466" s="22" t="s">
        <v>44</v>
      </c>
      <c r="J466" s="22" t="s">
        <v>1104</v>
      </c>
      <c r="K466" s="77">
        <v>44621</v>
      </c>
      <c r="L466" s="25"/>
      <c r="M466" s="26"/>
      <c r="N466" s="26"/>
      <c r="O466" s="27"/>
      <c r="P466" s="28"/>
      <c r="Q466" s="29"/>
      <c r="R466" s="26"/>
      <c r="S466" s="23" t="s">
        <v>84</v>
      </c>
      <c r="T466" s="23">
        <v>2016</v>
      </c>
      <c r="U466" s="23"/>
      <c r="V466" s="23"/>
      <c r="W466" s="77">
        <v>44621</v>
      </c>
      <c r="X466" s="77">
        <v>44621</v>
      </c>
      <c r="Y466" s="77">
        <v>44621</v>
      </c>
      <c r="Z466" s="55" t="str">
        <f t="shared" ca="1" si="33"/>
        <v>3 Tahun 7 Bulan 30 Hari</v>
      </c>
      <c r="AA466" s="55" t="s">
        <v>171</v>
      </c>
      <c r="AB466" s="56">
        <v>33589</v>
      </c>
      <c r="AC466" s="32" t="s">
        <v>2309</v>
      </c>
      <c r="AD466" s="57" t="str">
        <f t="shared" ca="1" si="31"/>
        <v xml:space="preserve">33 Tahun 10 Bulan </v>
      </c>
      <c r="AE466" s="33" t="s">
        <v>1106</v>
      </c>
      <c r="AF466" s="71"/>
      <c r="AG466" s="22" t="s">
        <v>2187</v>
      </c>
      <c r="AH466" s="22"/>
      <c r="AI466" s="22"/>
      <c r="AJ466" s="22"/>
      <c r="AK466" s="33" t="s">
        <v>485</v>
      </c>
      <c r="AL466" s="36"/>
    </row>
    <row r="467" spans="1:39" ht="14.45" customHeight="1" x14ac:dyDescent="0.25">
      <c r="A467" s="17">
        <v>28</v>
      </c>
      <c r="B467" s="78"/>
      <c r="C467" s="50" t="s">
        <v>2310</v>
      </c>
      <c r="D467" s="62">
        <v>2023110685</v>
      </c>
      <c r="E467" s="21" t="s">
        <v>40</v>
      </c>
      <c r="F467" s="22" t="s">
        <v>1063</v>
      </c>
      <c r="G467" s="23" t="s">
        <v>3872</v>
      </c>
      <c r="H467" s="22" t="s">
        <v>3872</v>
      </c>
      <c r="I467" s="22"/>
      <c r="J467" s="22"/>
      <c r="K467" s="30"/>
      <c r="L467" s="25"/>
      <c r="M467" s="29"/>
      <c r="N467" s="26"/>
      <c r="O467" s="27"/>
      <c r="P467" s="28"/>
      <c r="Q467" s="29"/>
      <c r="R467" s="26"/>
      <c r="S467" s="23" t="s">
        <v>84</v>
      </c>
      <c r="T467" s="23">
        <v>2021</v>
      </c>
      <c r="U467" s="23"/>
      <c r="V467" s="23"/>
      <c r="W467" s="30"/>
      <c r="X467" s="30">
        <v>45231</v>
      </c>
      <c r="Y467" s="30">
        <v>45231</v>
      </c>
      <c r="Z467" s="31" t="str">
        <f t="shared" ca="1" si="33"/>
        <v>1 Tahun 11 Bulan 30 Hari</v>
      </c>
      <c r="AA467" s="31" t="s">
        <v>2311</v>
      </c>
      <c r="AB467" s="32">
        <v>36152</v>
      </c>
      <c r="AC467" s="31" t="s">
        <v>2312</v>
      </c>
      <c r="AD467" s="22" t="str">
        <f t="shared" ca="1" si="31"/>
        <v xml:space="preserve">26 Tahun 10 Bulan </v>
      </c>
      <c r="AE467" s="33" t="s">
        <v>1106</v>
      </c>
      <c r="AF467" s="34"/>
      <c r="AG467" s="22" t="s">
        <v>2187</v>
      </c>
      <c r="AH467" s="22"/>
      <c r="AI467" s="22"/>
      <c r="AJ467" s="22"/>
      <c r="AK467" s="33" t="s">
        <v>485</v>
      </c>
      <c r="AL467" s="36"/>
    </row>
    <row r="468" spans="1:39" ht="14.45" customHeight="1" x14ac:dyDescent="0.25">
      <c r="A468" s="17">
        <v>29</v>
      </c>
      <c r="B468" s="78"/>
      <c r="C468" s="50" t="s">
        <v>2313</v>
      </c>
      <c r="D468" s="62">
        <v>2023110666</v>
      </c>
      <c r="E468" s="21" t="s">
        <v>56</v>
      </c>
      <c r="F468" s="22" t="s">
        <v>1063</v>
      </c>
      <c r="G468" s="23" t="s">
        <v>3872</v>
      </c>
      <c r="H468" s="22" t="s">
        <v>3872</v>
      </c>
      <c r="I468" s="22"/>
      <c r="J468" s="22"/>
      <c r="K468" s="30"/>
      <c r="L468" s="25"/>
      <c r="M468" s="29"/>
      <c r="N468" s="26"/>
      <c r="O468" s="27"/>
      <c r="P468" s="28"/>
      <c r="Q468" s="29"/>
      <c r="R468" s="26"/>
      <c r="S468" s="23" t="s">
        <v>84</v>
      </c>
      <c r="T468" s="23">
        <v>2021</v>
      </c>
      <c r="U468" s="23"/>
      <c r="V468" s="23"/>
      <c r="W468" s="30"/>
      <c r="X468" s="30">
        <v>45231</v>
      </c>
      <c r="Y468" s="30">
        <v>45231</v>
      </c>
      <c r="Z468" s="31" t="str">
        <f t="shared" ca="1" si="33"/>
        <v>1 Tahun 11 Bulan 30 Hari</v>
      </c>
      <c r="AA468" s="31" t="s">
        <v>128</v>
      </c>
      <c r="AB468" s="32">
        <v>35920</v>
      </c>
      <c r="AC468" s="31" t="s">
        <v>2314</v>
      </c>
      <c r="AD468" s="22" t="str">
        <f t="shared" ca="1" si="31"/>
        <v xml:space="preserve">27 Tahun 5 Bulan </v>
      </c>
      <c r="AE468" s="33" t="s">
        <v>1106</v>
      </c>
      <c r="AF468" s="34"/>
      <c r="AG468" s="22" t="s">
        <v>2187</v>
      </c>
      <c r="AH468" s="58"/>
      <c r="AI468" s="58"/>
      <c r="AJ468" s="58"/>
      <c r="AK468" s="33"/>
      <c r="AL468" s="36"/>
    </row>
    <row r="469" spans="1:39" ht="14.45" customHeight="1" x14ac:dyDescent="0.25">
      <c r="A469" s="17">
        <v>30</v>
      </c>
      <c r="B469" s="78"/>
      <c r="C469" s="50" t="s">
        <v>2315</v>
      </c>
      <c r="D469" s="62">
        <v>2023110696</v>
      </c>
      <c r="E469" s="21" t="s">
        <v>40</v>
      </c>
      <c r="F469" s="22" t="s">
        <v>1063</v>
      </c>
      <c r="G469" s="23" t="s">
        <v>3872</v>
      </c>
      <c r="H469" s="22" t="s">
        <v>3872</v>
      </c>
      <c r="I469" s="22"/>
      <c r="J469" s="22"/>
      <c r="K469" s="30"/>
      <c r="L469" s="25"/>
      <c r="M469" s="29"/>
      <c r="N469" s="26"/>
      <c r="O469" s="27"/>
      <c r="P469" s="28"/>
      <c r="Q469" s="29"/>
      <c r="R469" s="26"/>
      <c r="S469" s="23" t="s">
        <v>1172</v>
      </c>
      <c r="T469" s="23">
        <v>2016</v>
      </c>
      <c r="U469" s="23"/>
      <c r="V469" s="23"/>
      <c r="W469" s="30"/>
      <c r="X469" s="30">
        <v>45231</v>
      </c>
      <c r="Y469" s="30">
        <v>45231</v>
      </c>
      <c r="Z469" s="31" t="str">
        <f t="shared" ca="1" si="33"/>
        <v>1 Tahun 11 Bulan 30 Hari</v>
      </c>
      <c r="AA469" s="31" t="s">
        <v>1540</v>
      </c>
      <c r="AB469" s="32">
        <v>34698</v>
      </c>
      <c r="AC469" s="31" t="s">
        <v>2316</v>
      </c>
      <c r="AD469" s="22" t="str">
        <f t="shared" ca="1" si="31"/>
        <v xml:space="preserve">30 Tahun 10 Bulan </v>
      </c>
      <c r="AE469" s="33" t="s">
        <v>1106</v>
      </c>
      <c r="AF469" s="34"/>
      <c r="AG469" s="22" t="s">
        <v>2187</v>
      </c>
      <c r="AH469" s="22"/>
      <c r="AI469" s="22"/>
      <c r="AJ469" s="22"/>
      <c r="AK469" s="33"/>
      <c r="AL469" s="36"/>
    </row>
    <row r="470" spans="1:39" ht="14.45" customHeight="1" x14ac:dyDescent="0.25">
      <c r="A470" s="17">
        <v>31</v>
      </c>
      <c r="B470" s="78"/>
      <c r="C470" s="50" t="s">
        <v>2317</v>
      </c>
      <c r="D470" s="20" t="s">
        <v>2318</v>
      </c>
      <c r="E470" s="58" t="s">
        <v>56</v>
      </c>
      <c r="F470" s="58" t="s">
        <v>238</v>
      </c>
      <c r="G470" s="33" t="s">
        <v>3872</v>
      </c>
      <c r="H470" s="60" t="s">
        <v>1078</v>
      </c>
      <c r="I470" s="60" t="s">
        <v>44</v>
      </c>
      <c r="J470" s="58" t="s">
        <v>1293</v>
      </c>
      <c r="K470" s="30"/>
      <c r="L470" s="25" t="s">
        <v>2319</v>
      </c>
      <c r="M470" s="26">
        <v>41698</v>
      </c>
      <c r="N470" s="26">
        <v>43643</v>
      </c>
      <c r="O470" s="27" t="s">
        <v>148</v>
      </c>
      <c r="P470" s="28"/>
      <c r="Q470" s="29"/>
      <c r="R470" s="26"/>
      <c r="S470" s="33" t="s">
        <v>1172</v>
      </c>
      <c r="T470" s="33"/>
      <c r="U470" s="33"/>
      <c r="V470" s="33"/>
      <c r="W470" s="30">
        <v>45047</v>
      </c>
      <c r="X470" s="30">
        <v>42095</v>
      </c>
      <c r="Y470" s="30">
        <v>42114</v>
      </c>
      <c r="Z470" s="55" t="str">
        <f t="shared" ca="1" si="33"/>
        <v>10 Tahun 6 Bulan 30 Hari</v>
      </c>
      <c r="AA470" s="55" t="s">
        <v>76</v>
      </c>
      <c r="AB470" s="56">
        <v>34147</v>
      </c>
      <c r="AC470" s="31" t="s">
        <v>2320</v>
      </c>
      <c r="AD470" s="57" t="str">
        <f t="shared" ca="1" si="31"/>
        <v xml:space="preserve">32 Tahun 4 Bulan </v>
      </c>
      <c r="AE470" s="33" t="s">
        <v>1106</v>
      </c>
      <c r="AF470" s="71"/>
      <c r="AG470" s="22" t="s">
        <v>2187</v>
      </c>
      <c r="AH470" s="22"/>
      <c r="AI470" s="22"/>
      <c r="AJ470" s="22"/>
      <c r="AK470" s="33"/>
      <c r="AL470" s="36"/>
    </row>
    <row r="471" spans="1:39" ht="14.45" customHeight="1" x14ac:dyDescent="0.25">
      <c r="A471" s="17">
        <v>32</v>
      </c>
      <c r="B471" s="78"/>
      <c r="C471" s="50" t="s">
        <v>2321</v>
      </c>
      <c r="D471" s="62">
        <v>2023110678</v>
      </c>
      <c r="E471" s="21" t="s">
        <v>56</v>
      </c>
      <c r="F471" s="22" t="s">
        <v>1063</v>
      </c>
      <c r="G471" s="23" t="s">
        <v>3872</v>
      </c>
      <c r="H471" s="22" t="s">
        <v>3872</v>
      </c>
      <c r="I471" s="22"/>
      <c r="J471" s="22"/>
      <c r="K471" s="30"/>
      <c r="L471" s="25"/>
      <c r="M471" s="29"/>
      <c r="N471" s="26"/>
      <c r="O471" s="27"/>
      <c r="P471" s="28"/>
      <c r="Q471" s="29"/>
      <c r="R471" s="26"/>
      <c r="S471" s="23" t="s">
        <v>84</v>
      </c>
      <c r="T471" s="23">
        <v>2022</v>
      </c>
      <c r="U471" s="23"/>
      <c r="V471" s="23"/>
      <c r="W471" s="30"/>
      <c r="X471" s="30">
        <v>45231</v>
      </c>
      <c r="Y471" s="30">
        <v>45231</v>
      </c>
      <c r="Z471" s="31" t="str">
        <f t="shared" ca="1" si="33"/>
        <v>1 Tahun 11 Bulan 30 Hari</v>
      </c>
      <c r="AA471" s="31" t="s">
        <v>570</v>
      </c>
      <c r="AB471" s="32">
        <v>36142</v>
      </c>
      <c r="AC471" s="31" t="s">
        <v>2322</v>
      </c>
      <c r="AD471" s="22" t="str">
        <f t="shared" ca="1" si="31"/>
        <v xml:space="preserve">26 Tahun 10 Bulan </v>
      </c>
      <c r="AE471" s="33" t="s">
        <v>1106</v>
      </c>
      <c r="AF471" s="34"/>
      <c r="AG471" s="22" t="s">
        <v>2187</v>
      </c>
      <c r="AH471" s="22"/>
      <c r="AI471" s="22"/>
      <c r="AJ471" s="22"/>
      <c r="AK471" s="33"/>
      <c r="AL471" s="36"/>
    </row>
    <row r="472" spans="1:39" ht="14.45" customHeight="1" x14ac:dyDescent="0.25">
      <c r="A472" s="17">
        <v>33</v>
      </c>
      <c r="B472" s="78"/>
      <c r="C472" s="50" t="s">
        <v>2323</v>
      </c>
      <c r="D472" s="62">
        <v>2023110669</v>
      </c>
      <c r="E472" s="21" t="s">
        <v>56</v>
      </c>
      <c r="F472" s="22" t="s">
        <v>1063</v>
      </c>
      <c r="G472" s="23" t="s">
        <v>3872</v>
      </c>
      <c r="H472" s="22" t="s">
        <v>3872</v>
      </c>
      <c r="I472" s="22"/>
      <c r="J472" s="22"/>
      <c r="K472" s="30"/>
      <c r="L472" s="25"/>
      <c r="M472" s="29"/>
      <c r="N472" s="26"/>
      <c r="O472" s="27"/>
      <c r="P472" s="28"/>
      <c r="Q472" s="29"/>
      <c r="R472" s="26"/>
      <c r="S472" s="23" t="s">
        <v>84</v>
      </c>
      <c r="T472" s="23">
        <v>2023</v>
      </c>
      <c r="U472" s="23"/>
      <c r="V472" s="23"/>
      <c r="W472" s="30"/>
      <c r="X472" s="30">
        <v>45231</v>
      </c>
      <c r="Y472" s="30">
        <v>45231</v>
      </c>
      <c r="Z472" s="31" t="str">
        <f t="shared" ca="1" si="33"/>
        <v>1 Tahun 11 Bulan 30 Hari</v>
      </c>
      <c r="AA472" s="31" t="s">
        <v>76</v>
      </c>
      <c r="AB472" s="32">
        <v>36439</v>
      </c>
      <c r="AC472" s="31" t="s">
        <v>2324</v>
      </c>
      <c r="AD472" s="22" t="str">
        <f t="shared" ca="1" si="31"/>
        <v xml:space="preserve">26 Tahun 0 Bulan </v>
      </c>
      <c r="AE472" s="33" t="s">
        <v>1106</v>
      </c>
      <c r="AF472" s="34"/>
      <c r="AG472" s="22" t="s">
        <v>2187</v>
      </c>
      <c r="AH472" s="58"/>
      <c r="AI472" s="58"/>
      <c r="AJ472" s="58"/>
      <c r="AK472" s="33" t="s">
        <v>314</v>
      </c>
      <c r="AL472" s="36"/>
      <c r="AM472" s="14"/>
    </row>
    <row r="473" spans="1:39" ht="14.45" customHeight="1" x14ac:dyDescent="0.25">
      <c r="A473" s="17">
        <v>34</v>
      </c>
      <c r="B473" s="78"/>
      <c r="C473" s="50" t="s">
        <v>2325</v>
      </c>
      <c r="D473" s="62">
        <v>2023110692</v>
      </c>
      <c r="E473" s="21" t="s">
        <v>40</v>
      </c>
      <c r="F473" s="22" t="s">
        <v>1063</v>
      </c>
      <c r="G473" s="23" t="s">
        <v>3872</v>
      </c>
      <c r="H473" s="22" t="s">
        <v>3872</v>
      </c>
      <c r="I473" s="22"/>
      <c r="J473" s="22"/>
      <c r="K473" s="30"/>
      <c r="L473" s="25"/>
      <c r="M473" s="29"/>
      <c r="N473" s="26"/>
      <c r="O473" s="27"/>
      <c r="P473" s="28"/>
      <c r="Q473" s="29"/>
      <c r="R473" s="26"/>
      <c r="S473" s="23" t="s">
        <v>1172</v>
      </c>
      <c r="T473" s="23">
        <v>2021</v>
      </c>
      <c r="U473" s="23"/>
      <c r="V473" s="23"/>
      <c r="W473" s="30"/>
      <c r="X473" s="30">
        <v>45231</v>
      </c>
      <c r="Y473" s="30">
        <v>45231</v>
      </c>
      <c r="Z473" s="31" t="str">
        <f t="shared" ca="1" si="33"/>
        <v>1 Tahun 11 Bulan 30 Hari</v>
      </c>
      <c r="AA473" s="31" t="s">
        <v>76</v>
      </c>
      <c r="AB473" s="32">
        <v>36265</v>
      </c>
      <c r="AC473" s="31" t="s">
        <v>2326</v>
      </c>
      <c r="AD473" s="22" t="str">
        <f t="shared" ca="1" si="31"/>
        <v xml:space="preserve">26 Tahun 6 Bulan </v>
      </c>
      <c r="AE473" s="33" t="s">
        <v>1106</v>
      </c>
      <c r="AF473" s="34"/>
      <c r="AG473" s="22" t="s">
        <v>2187</v>
      </c>
      <c r="AH473" s="22"/>
      <c r="AI473" s="22"/>
      <c r="AJ473" s="22"/>
      <c r="AK473" s="33"/>
      <c r="AL473" s="36"/>
    </row>
    <row r="474" spans="1:39" ht="14.45" customHeight="1" x14ac:dyDescent="0.25">
      <c r="A474" s="17">
        <v>35</v>
      </c>
      <c r="B474" s="78"/>
      <c r="C474" s="50" t="s">
        <v>2327</v>
      </c>
      <c r="D474" s="62">
        <v>2023110679</v>
      </c>
      <c r="E474" s="21" t="s">
        <v>56</v>
      </c>
      <c r="F474" s="22" t="s">
        <v>1063</v>
      </c>
      <c r="G474" s="23" t="s">
        <v>3872</v>
      </c>
      <c r="H474" s="22" t="s">
        <v>3872</v>
      </c>
      <c r="I474" s="22"/>
      <c r="J474" s="22"/>
      <c r="K474" s="30"/>
      <c r="L474" s="25"/>
      <c r="M474" s="29"/>
      <c r="N474" s="26"/>
      <c r="O474" s="27"/>
      <c r="P474" s="28"/>
      <c r="Q474" s="29"/>
      <c r="R474" s="26"/>
      <c r="S474" s="23" t="s">
        <v>84</v>
      </c>
      <c r="T474" s="23">
        <v>2023</v>
      </c>
      <c r="U474" s="23"/>
      <c r="V474" s="23"/>
      <c r="W474" s="30"/>
      <c r="X474" s="30">
        <v>45231</v>
      </c>
      <c r="Y474" s="30">
        <v>45231</v>
      </c>
      <c r="Z474" s="31" t="str">
        <f t="shared" ca="1" si="33"/>
        <v>1 Tahun 11 Bulan 30 Hari</v>
      </c>
      <c r="AA474" s="31" t="s">
        <v>297</v>
      </c>
      <c r="AB474" s="32">
        <v>36608</v>
      </c>
      <c r="AC474" s="31" t="s">
        <v>2328</v>
      </c>
      <c r="AD474" s="22" t="str">
        <f t="shared" ca="1" si="31"/>
        <v xml:space="preserve">25 Tahun 7 Bulan </v>
      </c>
      <c r="AE474" s="33" t="s">
        <v>1106</v>
      </c>
      <c r="AF474" s="34"/>
      <c r="AG474" s="22" t="s">
        <v>2187</v>
      </c>
      <c r="AH474" s="22"/>
      <c r="AI474" s="22"/>
      <c r="AJ474" s="22"/>
      <c r="AK474" s="33"/>
      <c r="AL474" s="36"/>
    </row>
    <row r="475" spans="1:39" ht="14.45" customHeight="1" x14ac:dyDescent="0.25">
      <c r="A475" s="17">
        <v>36</v>
      </c>
      <c r="B475" s="18"/>
      <c r="C475" s="50" t="s">
        <v>2329</v>
      </c>
      <c r="D475" s="20" t="s">
        <v>2330</v>
      </c>
      <c r="E475" s="21" t="s">
        <v>40</v>
      </c>
      <c r="F475" s="22" t="s">
        <v>238</v>
      </c>
      <c r="G475" s="23" t="s">
        <v>3872</v>
      </c>
      <c r="H475" s="22" t="s">
        <v>1078</v>
      </c>
      <c r="I475" s="22" t="s">
        <v>44</v>
      </c>
      <c r="J475" s="22" t="s">
        <v>1293</v>
      </c>
      <c r="K475" s="22"/>
      <c r="L475" s="53" t="s">
        <v>2331</v>
      </c>
      <c r="M475" s="26">
        <v>43117</v>
      </c>
      <c r="N475" s="26">
        <v>45166</v>
      </c>
      <c r="O475" s="27" t="s">
        <v>148</v>
      </c>
      <c r="P475" s="28" t="s">
        <v>2332</v>
      </c>
      <c r="Q475" s="29">
        <v>41991</v>
      </c>
      <c r="R475" s="26">
        <v>42975</v>
      </c>
      <c r="S475" s="23" t="s">
        <v>1172</v>
      </c>
      <c r="T475" s="23"/>
      <c r="U475" s="23"/>
      <c r="V475" s="23"/>
      <c r="W475" s="77">
        <v>45047</v>
      </c>
      <c r="X475" s="30">
        <v>40330</v>
      </c>
      <c r="Y475" s="30">
        <v>40360</v>
      </c>
      <c r="Z475" s="31" t="str">
        <f t="shared" ca="1" si="33"/>
        <v>15 Tahun 4 Bulan 30 Hari</v>
      </c>
      <c r="AA475" s="31" t="s">
        <v>76</v>
      </c>
      <c r="AB475" s="32">
        <v>30556</v>
      </c>
      <c r="AC475" s="31" t="s">
        <v>2333</v>
      </c>
      <c r="AD475" s="22" t="str">
        <f t="shared" ca="1" si="31"/>
        <v xml:space="preserve">42 Tahun 2 Bulan </v>
      </c>
      <c r="AE475" s="33" t="s">
        <v>1106</v>
      </c>
      <c r="AF475" s="34"/>
      <c r="AG475" s="22" t="s">
        <v>2187</v>
      </c>
      <c r="AH475" s="22"/>
      <c r="AI475" s="22"/>
      <c r="AJ475" s="22"/>
      <c r="AK475" s="33"/>
      <c r="AL475" s="36"/>
    </row>
    <row r="476" spans="1:39" ht="14.45" customHeight="1" x14ac:dyDescent="0.25">
      <c r="A476" s="17">
        <v>37</v>
      </c>
      <c r="B476" s="52"/>
      <c r="C476" s="50" t="s">
        <v>2334</v>
      </c>
      <c r="D476" s="20" t="s">
        <v>2335</v>
      </c>
      <c r="E476" s="52" t="s">
        <v>56</v>
      </c>
      <c r="F476" s="22" t="s">
        <v>41</v>
      </c>
      <c r="G476" s="23" t="s">
        <v>227</v>
      </c>
      <c r="H476" s="22" t="s">
        <v>228</v>
      </c>
      <c r="I476" s="22" t="s">
        <v>44</v>
      </c>
      <c r="J476" s="22" t="s">
        <v>1104</v>
      </c>
      <c r="K476" s="77">
        <v>44621</v>
      </c>
      <c r="L476" s="25"/>
      <c r="M476" s="26"/>
      <c r="N476" s="26"/>
      <c r="O476" s="27"/>
      <c r="P476" s="28"/>
      <c r="Q476" s="29"/>
      <c r="R476" s="26"/>
      <c r="S476" s="23" t="s">
        <v>84</v>
      </c>
      <c r="T476" s="23">
        <v>2019</v>
      </c>
      <c r="U476" s="23"/>
      <c r="V476" s="23"/>
      <c r="W476" s="77">
        <v>44621</v>
      </c>
      <c r="X476" s="77">
        <v>44621</v>
      </c>
      <c r="Y476" s="77">
        <v>44621</v>
      </c>
      <c r="Z476" s="55" t="str">
        <f t="shared" ca="1" si="33"/>
        <v>3 Tahun 7 Bulan 30 Hari</v>
      </c>
      <c r="AA476" s="55" t="s">
        <v>1737</v>
      </c>
      <c r="AB476" s="56">
        <v>35414</v>
      </c>
      <c r="AC476" s="32" t="s">
        <v>2336</v>
      </c>
      <c r="AD476" s="57" t="str">
        <f t="shared" ca="1" si="31"/>
        <v xml:space="preserve">28 Tahun 10 Bulan </v>
      </c>
      <c r="AE476" s="33" t="s">
        <v>1106</v>
      </c>
      <c r="AF476" s="71"/>
      <c r="AG476" s="22" t="s">
        <v>2187</v>
      </c>
      <c r="AH476" s="22"/>
      <c r="AI476" s="22"/>
      <c r="AJ476" s="22"/>
      <c r="AK476" s="33"/>
      <c r="AL476" s="36"/>
    </row>
    <row r="477" spans="1:39" ht="14.45" customHeight="1" x14ac:dyDescent="0.25">
      <c r="A477" s="17">
        <v>38</v>
      </c>
      <c r="B477" s="18"/>
      <c r="C477" s="50" t="s">
        <v>5796</v>
      </c>
      <c r="D477" s="20" t="s">
        <v>2338</v>
      </c>
      <c r="E477" s="21" t="s">
        <v>56</v>
      </c>
      <c r="F477" s="22" t="s">
        <v>192</v>
      </c>
      <c r="G477" s="23" t="s">
        <v>227</v>
      </c>
      <c r="H477" s="22" t="s">
        <v>228</v>
      </c>
      <c r="I477" s="22" t="s">
        <v>155</v>
      </c>
      <c r="J477" s="22" t="s">
        <v>1104</v>
      </c>
      <c r="K477" s="24" t="s">
        <v>195</v>
      </c>
      <c r="L477" s="22"/>
      <c r="M477" s="22"/>
      <c r="N477" s="22"/>
      <c r="O477" s="22"/>
      <c r="P477" s="22"/>
      <c r="Q477" s="22"/>
      <c r="R477" s="22"/>
      <c r="S477" s="23" t="s">
        <v>84</v>
      </c>
      <c r="T477" s="23"/>
      <c r="U477" s="23"/>
      <c r="V477" s="23"/>
      <c r="W477" s="69">
        <v>45809</v>
      </c>
      <c r="X477" s="69">
        <v>45810</v>
      </c>
      <c r="Y477" s="69">
        <v>45810</v>
      </c>
      <c r="Z477" s="31" t="str">
        <f t="shared" ca="1" si="33"/>
        <v>0 Tahun 4 Bulan 29 Hari</v>
      </c>
      <c r="AA477" s="23" t="s">
        <v>934</v>
      </c>
      <c r="AB477" s="32">
        <v>34937</v>
      </c>
      <c r="AC477" s="32" t="s">
        <v>2339</v>
      </c>
      <c r="AD477" s="22" t="str">
        <f t="shared" ca="1" si="31"/>
        <v xml:space="preserve">30 Tahun 2 Bulan </v>
      </c>
      <c r="AE477" s="33" t="s">
        <v>1106</v>
      </c>
      <c r="AF477" s="34"/>
      <c r="AG477" s="22" t="s">
        <v>2187</v>
      </c>
      <c r="AH477" s="22"/>
      <c r="AI477" s="22"/>
      <c r="AJ477" s="22"/>
      <c r="AK477" s="34" t="s">
        <v>314</v>
      </c>
      <c r="AL477" s="36"/>
      <c r="AM477" s="14"/>
    </row>
    <row r="478" spans="1:39" ht="14.45" customHeight="1" x14ac:dyDescent="0.25">
      <c r="A478" s="17">
        <v>39</v>
      </c>
      <c r="B478" s="18"/>
      <c r="C478" s="50" t="s">
        <v>5797</v>
      </c>
      <c r="D478" s="20" t="s">
        <v>2340</v>
      </c>
      <c r="E478" s="21" t="s">
        <v>56</v>
      </c>
      <c r="F478" s="22" t="s">
        <v>192</v>
      </c>
      <c r="G478" s="23" t="s">
        <v>227</v>
      </c>
      <c r="H478" s="22" t="s">
        <v>228</v>
      </c>
      <c r="I478" s="22" t="s">
        <v>155</v>
      </c>
      <c r="J478" s="22" t="s">
        <v>1104</v>
      </c>
      <c r="K478" s="24" t="s">
        <v>195</v>
      </c>
      <c r="L478" s="22"/>
      <c r="M478" s="22"/>
      <c r="N478" s="22"/>
      <c r="O478" s="22"/>
      <c r="P478" s="22"/>
      <c r="Q478" s="22"/>
      <c r="R478" s="22"/>
      <c r="S478" s="23" t="s">
        <v>84</v>
      </c>
      <c r="T478" s="23"/>
      <c r="U478" s="23"/>
      <c r="V478" s="23"/>
      <c r="W478" s="69">
        <v>45809</v>
      </c>
      <c r="X478" s="69">
        <v>45810</v>
      </c>
      <c r="Y478" s="69">
        <v>45810</v>
      </c>
      <c r="Z478" s="31" t="str">
        <f t="shared" ca="1" si="33"/>
        <v>0 Tahun 4 Bulan 29 Hari</v>
      </c>
      <c r="AA478" s="23" t="s">
        <v>203</v>
      </c>
      <c r="AB478" s="32">
        <v>35740</v>
      </c>
      <c r="AC478" s="32" t="s">
        <v>2341</v>
      </c>
      <c r="AD478" s="22" t="str">
        <f t="shared" ca="1" si="31"/>
        <v xml:space="preserve">27 Tahun 11 Bulan </v>
      </c>
      <c r="AE478" s="33" t="s">
        <v>1106</v>
      </c>
      <c r="AF478" s="34"/>
      <c r="AG478" s="22" t="s">
        <v>2187</v>
      </c>
      <c r="AH478" s="22" t="s">
        <v>2337</v>
      </c>
      <c r="AI478" s="58"/>
      <c r="AJ478" s="58"/>
      <c r="AK478" s="33"/>
      <c r="AL478" s="36"/>
    </row>
    <row r="479" spans="1:39" ht="14.45" customHeight="1" x14ac:dyDescent="0.25">
      <c r="A479" s="17">
        <v>40</v>
      </c>
      <c r="B479" s="78"/>
      <c r="C479" s="50" t="s">
        <v>2343</v>
      </c>
      <c r="D479" s="62" t="s">
        <v>2344</v>
      </c>
      <c r="E479" s="21" t="s">
        <v>40</v>
      </c>
      <c r="F479" s="22" t="s">
        <v>238</v>
      </c>
      <c r="G479" s="23" t="s">
        <v>3872</v>
      </c>
      <c r="H479" s="22" t="s">
        <v>305</v>
      </c>
      <c r="I479" s="22" t="s">
        <v>44</v>
      </c>
      <c r="J479" s="22" t="s">
        <v>1104</v>
      </c>
      <c r="K479" s="30"/>
      <c r="L479" s="25"/>
      <c r="M479" s="29"/>
      <c r="N479" s="26"/>
      <c r="O479" s="27"/>
      <c r="P479" s="28"/>
      <c r="Q479" s="29"/>
      <c r="R479" s="26"/>
      <c r="S479" s="23" t="s">
        <v>84</v>
      </c>
      <c r="T479" s="23"/>
      <c r="U479" s="23"/>
      <c r="V479" s="23"/>
      <c r="W479" s="30">
        <v>45383</v>
      </c>
      <c r="X479" s="30">
        <v>45383</v>
      </c>
      <c r="Y479" s="30">
        <v>45383</v>
      </c>
      <c r="Z479" s="31" t="str">
        <f ca="1">DATEDIF(X479,TODAY(),"y")&amp;" Tahun "&amp;DATEDIF(X479,TODAY(),"ym")&amp;" Bulan "&amp;DATEDIF(X479,TODAY(),"md")&amp;" Hari"</f>
        <v>1 Tahun 6 Bulan 30 Hari</v>
      </c>
      <c r="AA479" s="31" t="s">
        <v>934</v>
      </c>
      <c r="AB479" s="32">
        <v>33741</v>
      </c>
      <c r="AC479" s="31" t="s">
        <v>2345</v>
      </c>
      <c r="AD479" s="22" t="str">
        <f t="shared" ca="1" si="31"/>
        <v xml:space="preserve">33 Tahun 5 Bulan </v>
      </c>
      <c r="AE479" s="33" t="s">
        <v>1106</v>
      </c>
      <c r="AF479" s="34"/>
      <c r="AG479" s="58" t="s">
        <v>2342</v>
      </c>
      <c r="AH479" s="22" t="s">
        <v>2337</v>
      </c>
      <c r="AI479" s="22"/>
      <c r="AJ479" s="22"/>
      <c r="AK479" s="33" t="s">
        <v>200</v>
      </c>
      <c r="AL479" s="36"/>
    </row>
    <row r="480" spans="1:39" ht="14.45" customHeight="1" x14ac:dyDescent="0.25">
      <c r="A480" s="17">
        <v>41</v>
      </c>
      <c r="B480" s="78"/>
      <c r="C480" s="50" t="s">
        <v>2346</v>
      </c>
      <c r="D480" s="62" t="s">
        <v>2347</v>
      </c>
      <c r="E480" s="21" t="s">
        <v>40</v>
      </c>
      <c r="F480" s="22" t="s">
        <v>238</v>
      </c>
      <c r="G480" s="23" t="s">
        <v>3872</v>
      </c>
      <c r="H480" s="22" t="s">
        <v>305</v>
      </c>
      <c r="I480" s="22" t="s">
        <v>44</v>
      </c>
      <c r="J480" s="22" t="s">
        <v>1104</v>
      </c>
      <c r="K480" s="30"/>
      <c r="L480" s="25"/>
      <c r="M480" s="29"/>
      <c r="N480" s="26"/>
      <c r="O480" s="27"/>
      <c r="P480" s="28"/>
      <c r="Q480" s="29"/>
      <c r="R480" s="26"/>
      <c r="S480" s="23" t="s">
        <v>84</v>
      </c>
      <c r="T480" s="23"/>
      <c r="U480" s="23"/>
      <c r="V480" s="23"/>
      <c r="W480" s="30">
        <v>45383</v>
      </c>
      <c r="X480" s="30">
        <v>45383</v>
      </c>
      <c r="Y480" s="30">
        <v>45383</v>
      </c>
      <c r="Z480" s="31" t="str">
        <f ca="1">DATEDIF(X480,TODAY(),"y")&amp;" Tahun "&amp;DATEDIF(X480,TODAY(),"ym")&amp;" Bulan "&amp;DATEDIF(X480,TODAY(),"md")&amp;" Hari"</f>
        <v>1 Tahun 6 Bulan 30 Hari</v>
      </c>
      <c r="AA480" s="31" t="s">
        <v>700</v>
      </c>
      <c r="AB480" s="32">
        <v>34483</v>
      </c>
      <c r="AC480" s="31" t="s">
        <v>2348</v>
      </c>
      <c r="AD480" s="22" t="str">
        <f t="shared" ca="1" si="31"/>
        <v xml:space="preserve">31 Tahun 5 Bulan </v>
      </c>
      <c r="AE480" s="33" t="s">
        <v>1106</v>
      </c>
      <c r="AF480" s="34"/>
      <c r="AG480" s="58" t="s">
        <v>2342</v>
      </c>
      <c r="AH480" s="22" t="s">
        <v>2337</v>
      </c>
      <c r="AI480" s="22"/>
      <c r="AJ480" s="22"/>
      <c r="AK480" s="33" t="s">
        <v>200</v>
      </c>
      <c r="AL480" s="36"/>
    </row>
    <row r="481" spans="1:38" ht="14.45" customHeight="1" x14ac:dyDescent="0.25">
      <c r="A481" s="115">
        <v>1</v>
      </c>
      <c r="B481" s="78"/>
      <c r="C481" s="50" t="s">
        <v>2349</v>
      </c>
      <c r="D481" s="62" t="s">
        <v>2350</v>
      </c>
      <c r="E481" s="21" t="s">
        <v>40</v>
      </c>
      <c r="F481" s="22" t="s">
        <v>238</v>
      </c>
      <c r="G481" s="23" t="s">
        <v>3872</v>
      </c>
      <c r="H481" s="22" t="s">
        <v>305</v>
      </c>
      <c r="I481" s="22" t="s">
        <v>44</v>
      </c>
      <c r="J481" s="22" t="s">
        <v>1104</v>
      </c>
      <c r="K481" s="30"/>
      <c r="L481" s="25"/>
      <c r="M481" s="29"/>
      <c r="N481" s="26"/>
      <c r="O481" s="27"/>
      <c r="P481" s="28"/>
      <c r="Q481" s="29"/>
      <c r="R481" s="26"/>
      <c r="S481" s="23" t="s">
        <v>84</v>
      </c>
      <c r="T481" s="23"/>
      <c r="U481" s="23"/>
      <c r="V481" s="23"/>
      <c r="W481" s="30">
        <v>45383</v>
      </c>
      <c r="X481" s="30">
        <v>45383</v>
      </c>
      <c r="Y481" s="30">
        <v>45383</v>
      </c>
      <c r="Z481" s="31" t="str">
        <f ca="1">DATEDIF(X481,TODAY(),"y")&amp;" Tahun "&amp;DATEDIF(X481,TODAY(),"ym")&amp;" Bulan "&amp;DATEDIF(X481,TODAY(),"md")&amp;" Hari"</f>
        <v>1 Tahun 6 Bulan 30 Hari</v>
      </c>
      <c r="AA481" s="31" t="s">
        <v>2351</v>
      </c>
      <c r="AB481" s="32">
        <v>33055</v>
      </c>
      <c r="AC481" s="31" t="s">
        <v>2352</v>
      </c>
      <c r="AD481" s="22" t="str">
        <f t="shared" ca="1" si="31"/>
        <v xml:space="preserve">35 Tahun 3 Bulan </v>
      </c>
      <c r="AE481" s="33" t="s">
        <v>1106</v>
      </c>
      <c r="AF481" s="34"/>
      <c r="AG481" s="58" t="s">
        <v>2342</v>
      </c>
      <c r="AH481" s="22"/>
      <c r="AI481" s="22"/>
      <c r="AJ481" s="22"/>
      <c r="AK481" s="33" t="s">
        <v>485</v>
      </c>
      <c r="AL481" s="36"/>
    </row>
    <row r="482" spans="1:38" ht="14.45" customHeight="1" x14ac:dyDescent="0.25">
      <c r="A482" s="17">
        <v>2</v>
      </c>
      <c r="B482" s="78"/>
      <c r="C482" s="50" t="s">
        <v>2353</v>
      </c>
      <c r="D482" s="20" t="s">
        <v>2354</v>
      </c>
      <c r="E482" s="52" t="s">
        <v>56</v>
      </c>
      <c r="F482" s="22" t="s">
        <v>238</v>
      </c>
      <c r="G482" s="33" t="s">
        <v>3872</v>
      </c>
      <c r="H482" s="22" t="s">
        <v>1078</v>
      </c>
      <c r="I482" s="22" t="s">
        <v>44</v>
      </c>
      <c r="J482" s="22" t="s">
        <v>1293</v>
      </c>
      <c r="K482" s="22"/>
      <c r="L482" s="25" t="s">
        <v>2355</v>
      </c>
      <c r="M482" s="26">
        <v>42290</v>
      </c>
      <c r="N482" s="26">
        <v>44185</v>
      </c>
      <c r="O482" s="27" t="s">
        <v>148</v>
      </c>
      <c r="P482" s="53" t="s">
        <v>2356</v>
      </c>
      <c r="Q482" s="29">
        <v>43048</v>
      </c>
      <c r="R482" s="26">
        <v>44915</v>
      </c>
      <c r="S482" s="23" t="s">
        <v>1172</v>
      </c>
      <c r="T482" s="23"/>
      <c r="U482" s="23"/>
      <c r="V482" s="23"/>
      <c r="W482" s="77">
        <v>45383</v>
      </c>
      <c r="X482" s="30">
        <v>41030</v>
      </c>
      <c r="Y482" s="30">
        <v>43887</v>
      </c>
      <c r="Z482" s="55" t="str">
        <f ca="1">DATEDIF(X482,TODAY(),"y")&amp;" Tahun "&amp;DATEDIF(X482,TODAY(),"ym")&amp;" Bulan "&amp;DATEDIF(X482,TODAY(),"md")&amp;" Hari"</f>
        <v>13 Tahun 5 Bulan 30 Hari</v>
      </c>
      <c r="AA482" s="55" t="s">
        <v>2357</v>
      </c>
      <c r="AB482" s="56">
        <v>32862</v>
      </c>
      <c r="AC482" s="32" t="s">
        <v>2358</v>
      </c>
      <c r="AD482" s="57" t="str">
        <f t="shared" ca="1" si="31"/>
        <v xml:space="preserve">35 Tahun 10 Bulan </v>
      </c>
      <c r="AE482" s="33" t="s">
        <v>1106</v>
      </c>
      <c r="AF482" s="34" t="s">
        <v>2359</v>
      </c>
      <c r="AG482" s="58" t="s">
        <v>2342</v>
      </c>
      <c r="AH482" s="22"/>
      <c r="AI482" s="22"/>
      <c r="AJ482" s="22"/>
      <c r="AK482" s="33" t="s">
        <v>485</v>
      </c>
      <c r="AL482" s="36"/>
    </row>
    <row r="483" spans="1:38" ht="14.45" customHeight="1" x14ac:dyDescent="0.25">
      <c r="A483" s="115">
        <v>3</v>
      </c>
      <c r="B483" s="78">
        <v>1416</v>
      </c>
      <c r="C483" s="50" t="s">
        <v>2360</v>
      </c>
      <c r="D483" s="62" t="s">
        <v>2361</v>
      </c>
      <c r="E483" s="52" t="s">
        <v>56</v>
      </c>
      <c r="F483" s="22" t="s">
        <v>41</v>
      </c>
      <c r="G483" s="23" t="s">
        <v>42</v>
      </c>
      <c r="H483" s="22" t="s">
        <v>43</v>
      </c>
      <c r="I483" s="60" t="s">
        <v>44</v>
      </c>
      <c r="J483" s="22" t="s">
        <v>148</v>
      </c>
      <c r="K483" s="24">
        <v>45870</v>
      </c>
      <c r="L483" s="25"/>
      <c r="M483" s="29"/>
      <c r="N483" s="26"/>
      <c r="O483" s="27"/>
      <c r="P483" s="28"/>
      <c r="Q483" s="29"/>
      <c r="R483" s="26"/>
      <c r="S483" s="23" t="s">
        <v>84</v>
      </c>
      <c r="T483" s="23"/>
      <c r="U483" s="23"/>
      <c r="V483" s="23"/>
      <c r="W483" s="30">
        <v>40179</v>
      </c>
      <c r="X483" s="30">
        <v>44348</v>
      </c>
      <c r="Y483" s="30">
        <v>44348</v>
      </c>
      <c r="Z483" s="55" t="str">
        <f ca="1">DATEDIF(W483,TODAY(),"y")&amp;" Tahun "&amp;DATEDIF(W483,TODAY(),"ym")&amp;" Bulan "&amp;DATEDIF(W483,TODAY(),"md")&amp;" Hari"</f>
        <v>15 Tahun 9 Bulan 30 Hari</v>
      </c>
      <c r="AA483" s="55" t="s">
        <v>563</v>
      </c>
      <c r="AB483" s="56">
        <v>30860</v>
      </c>
      <c r="AC483" s="31" t="s">
        <v>2362</v>
      </c>
      <c r="AD483" s="57" t="str">
        <f t="shared" ca="1" si="31"/>
        <v xml:space="preserve">41 Tahun 4 Bulan </v>
      </c>
      <c r="AE483" s="33" t="s">
        <v>1158</v>
      </c>
      <c r="AF483" s="34"/>
      <c r="AG483" s="58" t="s">
        <v>2342</v>
      </c>
      <c r="AH483" s="22"/>
      <c r="AI483" s="22"/>
      <c r="AJ483" s="22"/>
      <c r="AK483" s="33" t="s">
        <v>485</v>
      </c>
      <c r="AL483" s="36"/>
    </row>
    <row r="484" spans="1:38" ht="14.45" customHeight="1" x14ac:dyDescent="0.25">
      <c r="A484" s="17">
        <v>4</v>
      </c>
      <c r="B484" s="78"/>
      <c r="C484" s="50" t="s">
        <v>2363</v>
      </c>
      <c r="D484" s="20" t="s">
        <v>2364</v>
      </c>
      <c r="E484" s="52" t="s">
        <v>40</v>
      </c>
      <c r="F484" s="58" t="s">
        <v>41</v>
      </c>
      <c r="G484" s="23" t="s">
        <v>42</v>
      </c>
      <c r="H484" s="22" t="s">
        <v>43</v>
      </c>
      <c r="I484" s="22" t="s">
        <v>44</v>
      </c>
      <c r="J484" s="6" t="s">
        <v>148</v>
      </c>
      <c r="K484" s="24">
        <v>45505</v>
      </c>
      <c r="L484" s="25" t="s">
        <v>2365</v>
      </c>
      <c r="M484" s="26">
        <v>41168</v>
      </c>
      <c r="N484" s="26">
        <v>42929</v>
      </c>
      <c r="O484" s="27" t="s">
        <v>148</v>
      </c>
      <c r="P484" s="53" t="s">
        <v>2366</v>
      </c>
      <c r="Q484" s="26">
        <v>43341</v>
      </c>
      <c r="R484" s="29">
        <v>45120</v>
      </c>
      <c r="S484" s="23" t="s">
        <v>84</v>
      </c>
      <c r="T484" s="23">
        <v>2020</v>
      </c>
      <c r="U484" s="23"/>
      <c r="V484" s="23"/>
      <c r="W484" s="30">
        <v>34394</v>
      </c>
      <c r="X484" s="30">
        <v>34394</v>
      </c>
      <c r="Y484" s="22"/>
      <c r="Z484" s="55" t="str">
        <f ca="1">DATEDIF(W484,TODAY(),"y")&amp;" Tahun "&amp;DATEDIF(W484,TODAY(),"ym")&amp;" Bulan "&amp;DATEDIF(W484,TODAY(),"md")&amp;" Hari"</f>
        <v>31 Tahun 7 Bulan 30 Hari</v>
      </c>
      <c r="AA484" s="55" t="s">
        <v>76</v>
      </c>
      <c r="AB484" s="56">
        <v>25762</v>
      </c>
      <c r="AC484" s="31" t="s">
        <v>2367</v>
      </c>
      <c r="AD484" s="57" t="str">
        <f t="shared" ca="1" si="31"/>
        <v xml:space="preserve">55 Tahun 3 Bulan </v>
      </c>
      <c r="AE484" s="33" t="s">
        <v>1106</v>
      </c>
      <c r="AF484" s="71"/>
      <c r="AG484" s="58" t="s">
        <v>2342</v>
      </c>
      <c r="AH484" s="22"/>
      <c r="AI484" s="22"/>
      <c r="AJ484" s="22"/>
      <c r="AK484" s="33" t="s">
        <v>485</v>
      </c>
      <c r="AL484" s="36"/>
    </row>
    <row r="485" spans="1:38" ht="14.45" customHeight="1" x14ac:dyDescent="0.25">
      <c r="A485" s="115">
        <v>5</v>
      </c>
      <c r="B485" s="78"/>
      <c r="C485" s="50" t="s">
        <v>2368</v>
      </c>
      <c r="D485" s="20" t="s">
        <v>2369</v>
      </c>
      <c r="E485" s="52" t="s">
        <v>40</v>
      </c>
      <c r="F485" s="58" t="s">
        <v>41</v>
      </c>
      <c r="G485" s="23" t="s">
        <v>137</v>
      </c>
      <c r="H485" s="22" t="s">
        <v>138</v>
      </c>
      <c r="I485" s="22" t="s">
        <v>44</v>
      </c>
      <c r="J485" s="22" t="s">
        <v>1166</v>
      </c>
      <c r="K485" s="24">
        <v>43617</v>
      </c>
      <c r="L485" s="25" t="s">
        <v>2370</v>
      </c>
      <c r="M485" s="26">
        <v>43117</v>
      </c>
      <c r="N485" s="26">
        <v>44953</v>
      </c>
      <c r="O485" s="27" t="s">
        <v>148</v>
      </c>
      <c r="P485" s="53" t="s">
        <v>2371</v>
      </c>
      <c r="Q485" s="26">
        <v>43256</v>
      </c>
      <c r="R485" s="29">
        <v>44953</v>
      </c>
      <c r="S485" s="23" t="s">
        <v>1172</v>
      </c>
      <c r="T485" s="23"/>
      <c r="U485" s="23"/>
      <c r="V485" s="23"/>
      <c r="W485" s="30">
        <v>34759</v>
      </c>
      <c r="X485" s="30">
        <v>34759</v>
      </c>
      <c r="Y485" s="30">
        <v>42339</v>
      </c>
      <c r="Z485" s="55" t="str">
        <f ca="1">DATEDIF(W485,TODAY(),"y")&amp;" Tahun "&amp;DATEDIF(W485,TODAY(),"ym")&amp;" Bulan "&amp;DATEDIF(W485,TODAY(),"md")&amp;" Hari"</f>
        <v>30 Tahun 7 Bulan 30 Hari</v>
      </c>
      <c r="AA485" s="55" t="s">
        <v>76</v>
      </c>
      <c r="AB485" s="56">
        <v>27421</v>
      </c>
      <c r="AC485" s="31" t="s">
        <v>2372</v>
      </c>
      <c r="AD485" s="57" t="str">
        <f t="shared" ca="1" si="31"/>
        <v xml:space="preserve">50 Tahun 9 Bulan </v>
      </c>
      <c r="AE485" s="33" t="s">
        <v>1106</v>
      </c>
      <c r="AF485" s="71"/>
      <c r="AG485" s="58" t="s">
        <v>2342</v>
      </c>
      <c r="AH485" s="22"/>
      <c r="AI485" s="22"/>
      <c r="AJ485" s="22"/>
      <c r="AK485" s="33"/>
      <c r="AL485" s="36"/>
    </row>
    <row r="486" spans="1:38" ht="14.45" customHeight="1" x14ac:dyDescent="0.25">
      <c r="A486" s="17">
        <v>6</v>
      </c>
      <c r="B486" s="134"/>
      <c r="C486" s="50" t="s">
        <v>2373</v>
      </c>
      <c r="D486" s="62" t="s">
        <v>2374</v>
      </c>
      <c r="E486" s="52" t="s">
        <v>56</v>
      </c>
      <c r="F486" s="22" t="s">
        <v>41</v>
      </c>
      <c r="G486" s="23" t="s">
        <v>102</v>
      </c>
      <c r="H486" s="22" t="s">
        <v>103</v>
      </c>
      <c r="I486" s="22" t="s">
        <v>44</v>
      </c>
      <c r="J486" s="22" t="s">
        <v>1148</v>
      </c>
      <c r="K486" s="24">
        <v>45200</v>
      </c>
      <c r="L486" s="25" t="s">
        <v>2375</v>
      </c>
      <c r="M486" s="26">
        <v>42762</v>
      </c>
      <c r="N486" s="135">
        <v>44791</v>
      </c>
      <c r="O486" s="27" t="s">
        <v>84</v>
      </c>
      <c r="P486" s="28" t="s">
        <v>2376</v>
      </c>
      <c r="Q486" s="29">
        <v>43138</v>
      </c>
      <c r="R486" s="135">
        <v>44791</v>
      </c>
      <c r="S486" s="23" t="s">
        <v>84</v>
      </c>
      <c r="T486" s="23"/>
      <c r="U486" s="23"/>
      <c r="V486" s="23"/>
      <c r="W486" s="30">
        <v>43101</v>
      </c>
      <c r="X486" s="30">
        <v>43101</v>
      </c>
      <c r="Y486" s="30">
        <v>43136</v>
      </c>
      <c r="Z486" s="55" t="str">
        <f ca="1">DATEDIF(W486,TODAY(),"y")&amp;" Tahun "&amp;DATEDIF(W486,TODAY(),"ym")&amp;" Bulan "&amp;DATEDIF(W486,TODAY(),"md")&amp;" Hari"</f>
        <v>7 Tahun 9 Bulan 30 Hari</v>
      </c>
      <c r="AA486" s="55"/>
      <c r="AB486" s="56">
        <v>33834</v>
      </c>
      <c r="AC486" s="32" t="s">
        <v>2377</v>
      </c>
      <c r="AD486" s="57" t="str">
        <f t="shared" ca="1" si="31"/>
        <v xml:space="preserve">33 Tahun 2 Bulan </v>
      </c>
      <c r="AE486" s="33" t="s">
        <v>1106</v>
      </c>
      <c r="AF486" s="71"/>
      <c r="AG486" s="58" t="s">
        <v>2342</v>
      </c>
      <c r="AH486" s="58"/>
      <c r="AI486" s="58"/>
      <c r="AJ486" s="58"/>
      <c r="AK486" s="33"/>
      <c r="AL486" s="36"/>
    </row>
    <row r="487" spans="1:38" ht="14.45" customHeight="1" x14ac:dyDescent="0.25">
      <c r="A487" s="115">
        <v>7</v>
      </c>
      <c r="B487" s="78"/>
      <c r="C487" s="50" t="s">
        <v>2378</v>
      </c>
      <c r="D487" s="20" t="s">
        <v>2379</v>
      </c>
      <c r="E487" s="21" t="s">
        <v>56</v>
      </c>
      <c r="F487" s="22" t="s">
        <v>238</v>
      </c>
      <c r="G487" s="23" t="s">
        <v>3872</v>
      </c>
      <c r="H487" s="22" t="s">
        <v>1078</v>
      </c>
      <c r="I487" s="22" t="s">
        <v>44</v>
      </c>
      <c r="J487" s="22" t="s">
        <v>1293</v>
      </c>
      <c r="K487" s="22"/>
      <c r="L487" s="25" t="s">
        <v>2380</v>
      </c>
      <c r="M487" s="26">
        <v>41429</v>
      </c>
      <c r="N487" s="26">
        <v>43352</v>
      </c>
      <c r="O487" s="27" t="s">
        <v>148</v>
      </c>
      <c r="P487" s="28" t="s">
        <v>2381</v>
      </c>
      <c r="Q487" s="29">
        <v>42015</v>
      </c>
      <c r="R487" s="26">
        <v>43352</v>
      </c>
      <c r="S487" s="23" t="s">
        <v>1172</v>
      </c>
      <c r="T487" s="23"/>
      <c r="U487" s="23"/>
      <c r="V487" s="23"/>
      <c r="W487" s="77">
        <v>45047</v>
      </c>
      <c r="X487" s="30">
        <v>41030</v>
      </c>
      <c r="Y487" s="30">
        <v>43887</v>
      </c>
      <c r="Z487" s="31" t="str">
        <f ca="1">DATEDIF(X487,TODAY(),"y")&amp;" Tahun "&amp;DATEDIF(X487,TODAY(),"ym")&amp;" Bulan "&amp;DATEDIF(X487,TODAY(),"md")&amp;" Hari"</f>
        <v>13 Tahun 5 Bulan 30 Hari</v>
      </c>
      <c r="AA487" s="31" t="s">
        <v>76</v>
      </c>
      <c r="AB487" s="32">
        <v>32029</v>
      </c>
      <c r="AC487" s="31" t="s">
        <v>2382</v>
      </c>
      <c r="AD487" s="22" t="str">
        <f t="shared" ca="1" si="31"/>
        <v xml:space="preserve">38 Tahun 1 Bulan </v>
      </c>
      <c r="AE487" s="33" t="s">
        <v>1106</v>
      </c>
      <c r="AF487" s="34"/>
      <c r="AG487" s="58" t="s">
        <v>2342</v>
      </c>
      <c r="AH487" s="58"/>
      <c r="AI487" s="58"/>
      <c r="AJ487" s="58"/>
      <c r="AK487" s="33"/>
      <c r="AL487" s="22"/>
    </row>
    <row r="488" spans="1:38" ht="14.45" customHeight="1" x14ac:dyDescent="0.25">
      <c r="A488" s="17">
        <v>8</v>
      </c>
      <c r="B488" s="78"/>
      <c r="C488" s="50" t="s">
        <v>2383</v>
      </c>
      <c r="D488" s="20" t="s">
        <v>2384</v>
      </c>
      <c r="E488" s="52" t="s">
        <v>40</v>
      </c>
      <c r="F488" s="58" t="s">
        <v>41</v>
      </c>
      <c r="G488" s="15" t="s">
        <v>102</v>
      </c>
      <c r="H488" s="22" t="s">
        <v>103</v>
      </c>
      <c r="I488" s="22" t="s">
        <v>44</v>
      </c>
      <c r="J488" s="22" t="s">
        <v>1148</v>
      </c>
      <c r="K488" s="24">
        <v>45323</v>
      </c>
      <c r="L488" s="25" t="s">
        <v>2385</v>
      </c>
      <c r="M488" s="26">
        <v>42290</v>
      </c>
      <c r="N488" s="26">
        <v>44165</v>
      </c>
      <c r="O488" s="27" t="s">
        <v>148</v>
      </c>
      <c r="P488" s="53" t="s">
        <v>2386</v>
      </c>
      <c r="Q488" s="26">
        <v>42774</v>
      </c>
      <c r="R488" s="29">
        <v>44165</v>
      </c>
      <c r="S488" s="23" t="s">
        <v>84</v>
      </c>
      <c r="T488" s="23"/>
      <c r="U488" s="23"/>
      <c r="V488" s="23"/>
      <c r="W488" s="30">
        <v>40513</v>
      </c>
      <c r="X488" s="30">
        <v>40664</v>
      </c>
      <c r="Y488" s="30">
        <v>42005</v>
      </c>
      <c r="Z488" s="55" t="str">
        <f ca="1">DATEDIF(W488,TODAY(),"y")&amp;" Tahun "&amp;DATEDIF(W488,TODAY(),"ym")&amp;" Bulan "&amp;DATEDIF(W488,TODAY(),"md")&amp;" Hari"</f>
        <v>14 Tahun 10 Bulan 30 Hari</v>
      </c>
      <c r="AA488" s="55" t="s">
        <v>164</v>
      </c>
      <c r="AB488" s="56">
        <v>33207</v>
      </c>
      <c r="AC488" s="32" t="s">
        <v>2387</v>
      </c>
      <c r="AD488" s="57" t="str">
        <f t="shared" ref="AD488:AD551" ca="1" si="34">DATEDIF(AB488,TODAY(),"y")&amp;" Tahun "&amp;DATEDIF(AB488,TODAY(),"ym")&amp;" Bulan "</f>
        <v xml:space="preserve">34 Tahun 11 Bulan </v>
      </c>
      <c r="AE488" s="33" t="s">
        <v>1106</v>
      </c>
      <c r="AF488" s="34"/>
      <c r="AG488" s="58" t="s">
        <v>2342</v>
      </c>
      <c r="AH488" s="58"/>
      <c r="AI488" s="58"/>
      <c r="AJ488" s="58"/>
      <c r="AK488" s="33"/>
      <c r="AL488" s="36"/>
    </row>
    <row r="489" spans="1:38" ht="14.45" customHeight="1" x14ac:dyDescent="0.25">
      <c r="A489" s="115">
        <v>9</v>
      </c>
      <c r="B489" s="78"/>
      <c r="C489" s="50" t="s">
        <v>2388</v>
      </c>
      <c r="D489" s="20" t="s">
        <v>2389</v>
      </c>
      <c r="E489" s="21" t="s">
        <v>56</v>
      </c>
      <c r="F489" s="22" t="s">
        <v>41</v>
      </c>
      <c r="G489" s="23" t="s">
        <v>102</v>
      </c>
      <c r="H489" s="22" t="s">
        <v>103</v>
      </c>
      <c r="I489" s="22" t="s">
        <v>44</v>
      </c>
      <c r="J489" s="22" t="s">
        <v>1166</v>
      </c>
      <c r="K489" s="24">
        <v>45323</v>
      </c>
      <c r="L489" s="53" t="s">
        <v>2390</v>
      </c>
      <c r="M489" s="26">
        <v>43117</v>
      </c>
      <c r="N489" s="26">
        <v>45114</v>
      </c>
      <c r="O489" s="27" t="s">
        <v>148</v>
      </c>
      <c r="P489" s="53" t="s">
        <v>2391</v>
      </c>
      <c r="Q489" s="26">
        <v>43367</v>
      </c>
      <c r="R489" s="26">
        <v>45084</v>
      </c>
      <c r="S489" s="23" t="s">
        <v>1172</v>
      </c>
      <c r="T489" s="23"/>
      <c r="U489" s="23"/>
      <c r="V489" s="23"/>
      <c r="W489" s="30">
        <v>40513</v>
      </c>
      <c r="X489" s="30">
        <v>40664</v>
      </c>
      <c r="Y489" s="30">
        <v>42422</v>
      </c>
      <c r="Z489" s="31" t="str">
        <f ca="1">DATEDIF(W489,TODAY(),"y")&amp;" Tahun "&amp;DATEDIF(W489,TODAY(),"ym")&amp;" Bulan "&amp;DATEDIF(W489,TODAY(),"md")&amp;" Hari"</f>
        <v>14 Tahun 10 Bulan 30 Hari</v>
      </c>
      <c r="AA489" s="31" t="s">
        <v>1540</v>
      </c>
      <c r="AB489" s="32">
        <v>31205</v>
      </c>
      <c r="AC489" s="31" t="s">
        <v>2392</v>
      </c>
      <c r="AD489" s="22" t="str">
        <f t="shared" ca="1" si="34"/>
        <v xml:space="preserve">40 Tahun 4 Bulan </v>
      </c>
      <c r="AE489" s="33" t="s">
        <v>1106</v>
      </c>
      <c r="AF489" s="34"/>
      <c r="AG489" s="58" t="s">
        <v>2342</v>
      </c>
      <c r="AH489" s="22"/>
      <c r="AI489" s="22"/>
      <c r="AJ489" s="22"/>
      <c r="AK489" s="33" t="s">
        <v>314</v>
      </c>
      <c r="AL489" s="36"/>
    </row>
    <row r="490" spans="1:38" ht="14.45" customHeight="1" x14ac:dyDescent="0.25">
      <c r="A490" s="17">
        <v>10</v>
      </c>
      <c r="B490" s="78"/>
      <c r="C490" s="50" t="s">
        <v>2393</v>
      </c>
      <c r="D490" s="20" t="s">
        <v>2394</v>
      </c>
      <c r="E490" s="21" t="s">
        <v>56</v>
      </c>
      <c r="F490" s="22" t="s">
        <v>41</v>
      </c>
      <c r="G490" s="23" t="s">
        <v>137</v>
      </c>
      <c r="H490" s="22" t="s">
        <v>138</v>
      </c>
      <c r="I490" s="22" t="s">
        <v>44</v>
      </c>
      <c r="J490" s="22" t="s">
        <v>1166</v>
      </c>
      <c r="K490" s="24">
        <v>45017</v>
      </c>
      <c r="L490" s="53" t="s">
        <v>2395</v>
      </c>
      <c r="M490" s="26">
        <v>42926</v>
      </c>
      <c r="N490" s="26">
        <v>44652</v>
      </c>
      <c r="O490" s="27" t="s">
        <v>1155</v>
      </c>
      <c r="P490" s="53" t="s">
        <v>2396</v>
      </c>
      <c r="Q490" s="26">
        <v>43071</v>
      </c>
      <c r="R490" s="26">
        <v>44565</v>
      </c>
      <c r="S490" s="23" t="s">
        <v>1172</v>
      </c>
      <c r="T490" s="23"/>
      <c r="U490" s="23"/>
      <c r="V490" s="23"/>
      <c r="W490" s="30">
        <v>39448</v>
      </c>
      <c r="X490" s="30">
        <v>39448</v>
      </c>
      <c r="Y490" s="30">
        <v>39753</v>
      </c>
      <c r="Z490" s="31" t="str">
        <f ca="1">DATEDIF(W490,TODAY(),"y")&amp;" Tahun "&amp;DATEDIF(W490,TODAY(),"ym")&amp;" Bulan "&amp;DATEDIF(W490,TODAY(),"md")&amp;" Hari"</f>
        <v>17 Tahun 9 Bulan 30 Hari</v>
      </c>
      <c r="AA490" s="31" t="s">
        <v>1279</v>
      </c>
      <c r="AB490" s="32">
        <v>30685</v>
      </c>
      <c r="AC490" s="32" t="s">
        <v>2397</v>
      </c>
      <c r="AD490" s="22" t="str">
        <f t="shared" ca="1" si="34"/>
        <v xml:space="preserve">41 Tahun 9 Bulan </v>
      </c>
      <c r="AE490" s="33" t="s">
        <v>1106</v>
      </c>
      <c r="AF490" s="34"/>
      <c r="AG490" s="58" t="s">
        <v>2342</v>
      </c>
      <c r="AH490" s="58"/>
      <c r="AI490" s="58"/>
      <c r="AJ490" s="58"/>
      <c r="AK490" s="33"/>
      <c r="AL490" s="36"/>
    </row>
    <row r="491" spans="1:38" ht="14.45" customHeight="1" x14ac:dyDescent="0.25">
      <c r="A491" s="115">
        <v>11</v>
      </c>
      <c r="B491" s="78"/>
      <c r="C491" s="50" t="s">
        <v>2398</v>
      </c>
      <c r="D491" s="62" t="s">
        <v>2399</v>
      </c>
      <c r="E491" s="21" t="s">
        <v>56</v>
      </c>
      <c r="F491" s="22" t="s">
        <v>238</v>
      </c>
      <c r="G491" s="23" t="s">
        <v>3872</v>
      </c>
      <c r="H491" s="22" t="s">
        <v>305</v>
      </c>
      <c r="I491" s="22" t="s">
        <v>44</v>
      </c>
      <c r="J491" s="22" t="s">
        <v>1104</v>
      </c>
      <c r="K491" s="30"/>
      <c r="L491" s="25"/>
      <c r="M491" s="29"/>
      <c r="N491" s="26"/>
      <c r="O491" s="27"/>
      <c r="P491" s="28"/>
      <c r="Q491" s="29"/>
      <c r="R491" s="26"/>
      <c r="S491" s="23" t="s">
        <v>84</v>
      </c>
      <c r="T491" s="23"/>
      <c r="U491" s="23"/>
      <c r="V491" s="23"/>
      <c r="W491" s="30">
        <v>45383</v>
      </c>
      <c r="X491" s="30">
        <v>45383</v>
      </c>
      <c r="Y491" s="30">
        <v>45383</v>
      </c>
      <c r="Z491" s="31" t="str">
        <f ca="1">DATEDIF(X491,TODAY(),"y")&amp;" Tahun "&amp;DATEDIF(X491,TODAY(),"ym")&amp;" Bulan "&amp;DATEDIF(X491,TODAY(),"md")&amp;" Hari"</f>
        <v>1 Tahun 6 Bulan 30 Hari</v>
      </c>
      <c r="AA491" s="31" t="s">
        <v>206</v>
      </c>
      <c r="AB491" s="32">
        <v>36296</v>
      </c>
      <c r="AC491" s="31" t="s">
        <v>2400</v>
      </c>
      <c r="AD491" s="22" t="str">
        <f t="shared" ca="1" si="34"/>
        <v xml:space="preserve">26 Tahun 5 Bulan </v>
      </c>
      <c r="AE491" s="33" t="s">
        <v>1106</v>
      </c>
      <c r="AF491" s="34"/>
      <c r="AG491" s="58" t="s">
        <v>2342</v>
      </c>
      <c r="AH491" s="22"/>
      <c r="AI491" s="22"/>
      <c r="AJ491" s="22"/>
      <c r="AK491" s="33"/>
      <c r="AL491" s="36"/>
    </row>
    <row r="492" spans="1:38" ht="14.45" customHeight="1" x14ac:dyDescent="0.25">
      <c r="A492" s="17">
        <v>12</v>
      </c>
      <c r="B492" s="52"/>
      <c r="C492" s="50" t="s">
        <v>2401</v>
      </c>
      <c r="D492" s="20" t="s">
        <v>2402</v>
      </c>
      <c r="E492" s="52" t="s">
        <v>56</v>
      </c>
      <c r="F492" s="22" t="s">
        <v>41</v>
      </c>
      <c r="G492" s="23" t="s">
        <v>227</v>
      </c>
      <c r="H492" s="22" t="s">
        <v>228</v>
      </c>
      <c r="I492" s="22" t="s">
        <v>44</v>
      </c>
      <c r="J492" s="22" t="s">
        <v>1104</v>
      </c>
      <c r="K492" s="77">
        <v>44621</v>
      </c>
      <c r="L492" s="25"/>
      <c r="M492" s="26"/>
      <c r="N492" s="26"/>
      <c r="O492" s="27"/>
      <c r="P492" s="28"/>
      <c r="Q492" s="29"/>
      <c r="R492" s="26"/>
      <c r="S492" s="23" t="s">
        <v>84</v>
      </c>
      <c r="T492" s="23">
        <v>2020</v>
      </c>
      <c r="U492" s="23"/>
      <c r="V492" s="23"/>
      <c r="W492" s="77">
        <v>44621</v>
      </c>
      <c r="X492" s="77">
        <v>44621</v>
      </c>
      <c r="Y492" s="77">
        <v>44621</v>
      </c>
      <c r="Z492" s="55" t="str">
        <f ca="1">DATEDIF(X492,TODAY(),"y")&amp;" Tahun "&amp;DATEDIF(X492,TODAY(),"ym")&amp;" Bulan "&amp;DATEDIF(X492,TODAY(),"md")&amp;" Hari"</f>
        <v>3 Tahun 7 Bulan 30 Hari</v>
      </c>
      <c r="AA492" s="55" t="s">
        <v>76</v>
      </c>
      <c r="AB492" s="56">
        <v>35577</v>
      </c>
      <c r="AC492" s="32" t="s">
        <v>2403</v>
      </c>
      <c r="AD492" s="57" t="str">
        <f t="shared" ca="1" si="34"/>
        <v xml:space="preserve">28 Tahun 5 Bulan </v>
      </c>
      <c r="AE492" s="33" t="s">
        <v>1106</v>
      </c>
      <c r="AF492" s="71"/>
      <c r="AG492" s="58" t="s">
        <v>2342</v>
      </c>
      <c r="AH492" s="22"/>
      <c r="AI492" s="22"/>
      <c r="AJ492" s="22"/>
      <c r="AK492" s="33"/>
      <c r="AL492" s="36"/>
    </row>
    <row r="493" spans="1:38" ht="14.45" customHeight="1" x14ac:dyDescent="0.25">
      <c r="A493" s="115">
        <v>13</v>
      </c>
      <c r="B493" s="78"/>
      <c r="C493" s="50" t="s">
        <v>2404</v>
      </c>
      <c r="D493" s="137" t="s">
        <v>5798</v>
      </c>
      <c r="E493" s="21" t="s">
        <v>40</v>
      </c>
      <c r="F493" s="22" t="s">
        <v>5691</v>
      </c>
      <c r="G493" s="23" t="s">
        <v>3872</v>
      </c>
      <c r="H493" s="22" t="s">
        <v>5692</v>
      </c>
      <c r="I493" s="22" t="s">
        <v>155</v>
      </c>
      <c r="J493" s="22" t="s">
        <v>5693</v>
      </c>
      <c r="K493" s="24"/>
      <c r="L493" s="25"/>
      <c r="M493" s="26"/>
      <c r="N493" s="26"/>
      <c r="O493" s="27"/>
      <c r="P493" s="173"/>
      <c r="Q493" s="173"/>
      <c r="R493" s="26"/>
      <c r="S493" s="33" t="s">
        <v>1068</v>
      </c>
      <c r="T493" s="33"/>
      <c r="U493" s="33"/>
      <c r="V493" s="33"/>
      <c r="W493" s="95">
        <v>45931</v>
      </c>
      <c r="X493" s="22">
        <v>45261</v>
      </c>
      <c r="Y493" s="30">
        <v>45261</v>
      </c>
      <c r="Z493" s="31" t="str">
        <f ca="1">DATEDIF(X493,TODAY(),"y")&amp;" Tahun "&amp;DATEDIF(X493,TODAY(),"ym")&amp;" Bulan "&amp;DATEDIF(X493,TODAY(),"md")&amp;" Hari"</f>
        <v>1 Tahun 10 Bulan 30 Hari</v>
      </c>
      <c r="AA493" s="31" t="s">
        <v>76</v>
      </c>
      <c r="AB493" s="32">
        <v>31067</v>
      </c>
      <c r="AC493" s="31" t="s">
        <v>5799</v>
      </c>
      <c r="AD493" s="22" t="str">
        <f t="shared" ca="1" si="34"/>
        <v xml:space="preserve">40 Tahun 9 Bulan </v>
      </c>
      <c r="AE493" s="33" t="s">
        <v>1341</v>
      </c>
      <c r="AF493" s="34"/>
      <c r="AG493" s="58" t="s">
        <v>2342</v>
      </c>
      <c r="AH493" s="22"/>
      <c r="AI493" s="22"/>
      <c r="AJ493" s="22"/>
      <c r="AK493" s="33" t="s">
        <v>485</v>
      </c>
      <c r="AL493" s="36"/>
    </row>
    <row r="494" spans="1:38" ht="14.45" customHeight="1" x14ac:dyDescent="0.25">
      <c r="A494" s="17">
        <v>14</v>
      </c>
      <c r="B494" s="72"/>
      <c r="C494" s="143" t="s">
        <v>2405</v>
      </c>
      <c r="D494" s="45" t="s">
        <v>2406</v>
      </c>
      <c r="E494" s="46" t="s">
        <v>56</v>
      </c>
      <c r="F494" s="6" t="s">
        <v>41</v>
      </c>
      <c r="G494" s="15" t="s">
        <v>42</v>
      </c>
      <c r="H494" s="22" t="s">
        <v>43</v>
      </c>
      <c r="I494" s="22" t="s">
        <v>44</v>
      </c>
      <c r="J494" s="22" t="s">
        <v>148</v>
      </c>
      <c r="K494" s="24">
        <v>45200</v>
      </c>
      <c r="L494" s="144" t="s">
        <v>2407</v>
      </c>
      <c r="M494" s="145">
        <v>42703</v>
      </c>
      <c r="N494" s="145">
        <v>44368</v>
      </c>
      <c r="O494" s="174" t="s">
        <v>1162</v>
      </c>
      <c r="P494" s="144" t="s">
        <v>2408</v>
      </c>
      <c r="Q494" s="145">
        <v>43087</v>
      </c>
      <c r="R494" s="145">
        <v>44368</v>
      </c>
      <c r="S494" s="15" t="s">
        <v>84</v>
      </c>
      <c r="T494" s="15"/>
      <c r="U494" s="15"/>
      <c r="V494" s="15"/>
      <c r="W494" s="10">
        <v>36586</v>
      </c>
      <c r="X494" s="10">
        <v>36586</v>
      </c>
      <c r="Z494" s="11" t="str">
        <f t="shared" ref="Z494:Z506" ca="1" si="35">DATEDIF(W494,TODAY(),"y")&amp;" Tahun "&amp;DATEDIF(W494,TODAY(),"ym")&amp;" Bulan "&amp;DATEDIF(W494,TODAY(),"md")&amp;" Hari"</f>
        <v>25 Tahun 7 Bulan 30 Hari</v>
      </c>
      <c r="AA494" s="11" t="s">
        <v>128</v>
      </c>
      <c r="AB494" s="48">
        <v>26471</v>
      </c>
      <c r="AC494" s="11" t="s">
        <v>2409</v>
      </c>
      <c r="AD494" s="6" t="str">
        <f t="shared" ca="1" si="34"/>
        <v xml:space="preserve">53 Tahun 4 Bulan </v>
      </c>
      <c r="AE494" s="8" t="s">
        <v>1151</v>
      </c>
      <c r="AG494" s="6" t="s">
        <v>2410</v>
      </c>
      <c r="AH494" s="58"/>
      <c r="AI494" s="58"/>
      <c r="AJ494" s="58"/>
      <c r="AK494" s="33"/>
      <c r="AL494" s="36"/>
    </row>
    <row r="495" spans="1:38" ht="14.45" customHeight="1" x14ac:dyDescent="0.25">
      <c r="A495" s="115">
        <v>15</v>
      </c>
      <c r="B495" s="78"/>
      <c r="C495" s="50" t="s">
        <v>2411</v>
      </c>
      <c r="D495" s="20" t="s">
        <v>2412</v>
      </c>
      <c r="E495" s="21" t="s">
        <v>56</v>
      </c>
      <c r="F495" s="22" t="s">
        <v>41</v>
      </c>
      <c r="G495" s="23" t="s">
        <v>42</v>
      </c>
      <c r="H495" s="22" t="s">
        <v>43</v>
      </c>
      <c r="I495" s="22" t="s">
        <v>44</v>
      </c>
      <c r="J495" s="22" t="s">
        <v>148</v>
      </c>
      <c r="K495" s="24">
        <v>45505</v>
      </c>
      <c r="L495" s="53" t="s">
        <v>2413</v>
      </c>
      <c r="M495" s="26">
        <v>43117</v>
      </c>
      <c r="N495" s="26">
        <v>45215</v>
      </c>
      <c r="O495" s="27" t="s">
        <v>148</v>
      </c>
      <c r="P495" s="53" t="s">
        <v>2414</v>
      </c>
      <c r="Q495" s="26">
        <v>43305</v>
      </c>
      <c r="R495" s="29">
        <v>45215</v>
      </c>
      <c r="S495" s="23" t="s">
        <v>84</v>
      </c>
      <c r="T495" s="23">
        <v>2021</v>
      </c>
      <c r="U495" s="23"/>
      <c r="V495" s="23"/>
      <c r="W495" s="30">
        <v>36586</v>
      </c>
      <c r="X495" s="30">
        <v>36586</v>
      </c>
      <c r="Y495" s="22"/>
      <c r="Z495" s="31" t="str">
        <f t="shared" ca="1" si="35"/>
        <v>25 Tahun 7 Bulan 30 Hari</v>
      </c>
      <c r="AA495" s="31" t="s">
        <v>76</v>
      </c>
      <c r="AB495" s="32">
        <v>27683</v>
      </c>
      <c r="AC495" s="31" t="s">
        <v>2415</v>
      </c>
      <c r="AD495" s="22" t="str">
        <f t="shared" ca="1" si="34"/>
        <v xml:space="preserve">50 Tahun 0 Bulan </v>
      </c>
      <c r="AE495" s="33" t="s">
        <v>1158</v>
      </c>
      <c r="AF495" s="34"/>
      <c r="AG495" s="22" t="s">
        <v>2410</v>
      </c>
      <c r="AH495" s="22"/>
      <c r="AI495" s="22"/>
      <c r="AJ495" s="22"/>
      <c r="AK495" s="34"/>
      <c r="AL495" s="36"/>
    </row>
    <row r="496" spans="1:38" ht="14.45" customHeight="1" x14ac:dyDescent="0.25">
      <c r="A496" s="17">
        <v>1</v>
      </c>
      <c r="B496" s="78"/>
      <c r="C496" s="50" t="s">
        <v>2416</v>
      </c>
      <c r="D496" s="20" t="s">
        <v>2417</v>
      </c>
      <c r="E496" s="52" t="s">
        <v>56</v>
      </c>
      <c r="F496" s="58" t="s">
        <v>41</v>
      </c>
      <c r="G496" s="23" t="s">
        <v>137</v>
      </c>
      <c r="H496" s="22" t="s">
        <v>138</v>
      </c>
      <c r="I496" s="22" t="s">
        <v>44</v>
      </c>
      <c r="J496" s="22" t="s">
        <v>1166</v>
      </c>
      <c r="K496" s="24">
        <v>45505</v>
      </c>
      <c r="L496" s="53" t="s">
        <v>1225</v>
      </c>
      <c r="M496" s="26">
        <v>43117</v>
      </c>
      <c r="N496" s="26">
        <v>45275</v>
      </c>
      <c r="O496" s="27" t="s">
        <v>148</v>
      </c>
      <c r="P496" s="53" t="s">
        <v>2418</v>
      </c>
      <c r="Q496" s="26">
        <v>43305</v>
      </c>
      <c r="R496" s="29">
        <v>45275</v>
      </c>
      <c r="S496" s="23" t="s">
        <v>1172</v>
      </c>
      <c r="T496" s="23"/>
      <c r="U496" s="23"/>
      <c r="V496" s="23"/>
      <c r="W496" s="30">
        <v>37226</v>
      </c>
      <c r="X496" s="30">
        <v>37226</v>
      </c>
      <c r="Y496" s="22"/>
      <c r="Z496" s="55" t="str">
        <f t="shared" ca="1" si="35"/>
        <v>23 Tahun 10 Bulan 30 Hari</v>
      </c>
      <c r="AA496" s="55" t="s">
        <v>2419</v>
      </c>
      <c r="AB496" s="56">
        <v>28109</v>
      </c>
      <c r="AC496" s="31" t="s">
        <v>2420</v>
      </c>
      <c r="AD496" s="57" t="str">
        <f t="shared" ca="1" si="34"/>
        <v xml:space="preserve">48 Tahun 10 Bulan </v>
      </c>
      <c r="AE496" s="33" t="s">
        <v>1158</v>
      </c>
      <c r="AF496" s="71"/>
      <c r="AG496" s="6" t="s">
        <v>2410</v>
      </c>
    </row>
    <row r="497" spans="1:39" ht="14.45" customHeight="1" x14ac:dyDescent="0.25">
      <c r="A497" s="17">
        <v>2</v>
      </c>
      <c r="B497" s="78"/>
      <c r="C497" s="50" t="s">
        <v>2421</v>
      </c>
      <c r="D497" s="20" t="s">
        <v>2422</v>
      </c>
      <c r="E497" s="52" t="s">
        <v>56</v>
      </c>
      <c r="F497" s="58" t="s">
        <v>41</v>
      </c>
      <c r="G497" s="23" t="s">
        <v>42</v>
      </c>
      <c r="H497" s="22" t="s">
        <v>43</v>
      </c>
      <c r="I497" s="22" t="s">
        <v>44</v>
      </c>
      <c r="J497" s="22" t="s">
        <v>148</v>
      </c>
      <c r="K497" s="24">
        <v>45870</v>
      </c>
      <c r="L497" s="53" t="s">
        <v>2423</v>
      </c>
      <c r="M497" s="26">
        <v>43007</v>
      </c>
      <c r="N497" s="26">
        <v>44727</v>
      </c>
      <c r="O497" s="27" t="s">
        <v>1155</v>
      </c>
      <c r="P497" s="53" t="s">
        <v>2424</v>
      </c>
      <c r="Q497" s="26">
        <v>43242</v>
      </c>
      <c r="R497" s="26">
        <v>44757</v>
      </c>
      <c r="S497" s="23" t="s">
        <v>84</v>
      </c>
      <c r="T497" s="23">
        <v>2021</v>
      </c>
      <c r="U497" s="23"/>
      <c r="V497" s="23"/>
      <c r="W497" s="30">
        <v>37956</v>
      </c>
      <c r="X497" s="30">
        <v>37956</v>
      </c>
      <c r="Y497" s="30">
        <v>40634</v>
      </c>
      <c r="Z497" s="55" t="str">
        <f t="shared" ca="1" si="35"/>
        <v>21 Tahun 10 Bulan 30 Hari</v>
      </c>
      <c r="AA497" s="55" t="s">
        <v>697</v>
      </c>
      <c r="AB497" s="56">
        <v>29752</v>
      </c>
      <c r="AC497" s="31" t="s">
        <v>2425</v>
      </c>
      <c r="AD497" s="57" t="str">
        <f t="shared" ca="1" si="34"/>
        <v xml:space="preserve">44 Tahun 4 Bulan </v>
      </c>
      <c r="AE497" s="33" t="s">
        <v>1106</v>
      </c>
      <c r="AF497" s="71"/>
      <c r="AG497" s="6" t="s">
        <v>2410</v>
      </c>
      <c r="AH497" s="22"/>
      <c r="AI497" s="22"/>
      <c r="AJ497" s="22"/>
      <c r="AK497" s="33"/>
      <c r="AL497" s="36"/>
      <c r="AM497" s="14"/>
    </row>
    <row r="498" spans="1:39" ht="14.45" customHeight="1" x14ac:dyDescent="0.25">
      <c r="A498" s="17">
        <v>3</v>
      </c>
      <c r="B498" s="78"/>
      <c r="C498" s="50" t="s">
        <v>2426</v>
      </c>
      <c r="D498" s="20" t="s">
        <v>2427</v>
      </c>
      <c r="E498" s="21" t="s">
        <v>56</v>
      </c>
      <c r="F498" s="22" t="s">
        <v>41</v>
      </c>
      <c r="G498" s="23" t="s">
        <v>137</v>
      </c>
      <c r="H498" s="22" t="s">
        <v>138</v>
      </c>
      <c r="I498" s="22" t="s">
        <v>44</v>
      </c>
      <c r="J498" s="22" t="s">
        <v>1166</v>
      </c>
      <c r="K498" s="24">
        <v>44652</v>
      </c>
      <c r="L498" s="53" t="s">
        <v>2428</v>
      </c>
      <c r="M498" s="26">
        <v>43007</v>
      </c>
      <c r="N498" s="26">
        <v>44717</v>
      </c>
      <c r="O498" s="27" t="s">
        <v>1155</v>
      </c>
      <c r="P498" s="53" t="s">
        <v>2429</v>
      </c>
      <c r="Q498" s="26">
        <v>43256</v>
      </c>
      <c r="R498" s="29">
        <v>44717</v>
      </c>
      <c r="S498" s="23" t="s">
        <v>1167</v>
      </c>
      <c r="T498" s="23">
        <v>2004</v>
      </c>
      <c r="U498" s="23"/>
      <c r="V498" s="23"/>
      <c r="W498" s="30">
        <v>38808</v>
      </c>
      <c r="X498" s="30">
        <v>38808</v>
      </c>
      <c r="Y498" s="30">
        <v>38808</v>
      </c>
      <c r="Z498" s="31" t="str">
        <f t="shared" ca="1" si="35"/>
        <v>19 Tahun 6 Bulan 30 Hari</v>
      </c>
      <c r="AA498" s="31" t="s">
        <v>76</v>
      </c>
      <c r="AB498" s="32">
        <v>30472</v>
      </c>
      <c r="AC498" s="32" t="s">
        <v>2430</v>
      </c>
      <c r="AD498" s="22" t="str">
        <f t="shared" ca="1" si="34"/>
        <v xml:space="preserve">42 Tahun 4 Bulan </v>
      </c>
      <c r="AE498" s="33" t="s">
        <v>1106</v>
      </c>
      <c r="AF498" s="34"/>
      <c r="AG498" s="22" t="s">
        <v>2410</v>
      </c>
      <c r="AH498" s="58"/>
      <c r="AI498" s="58"/>
      <c r="AJ498" s="58"/>
      <c r="AK498" s="33"/>
      <c r="AL498" s="36"/>
    </row>
    <row r="499" spans="1:39" ht="14.45" customHeight="1" x14ac:dyDescent="0.25">
      <c r="A499" s="17">
        <v>4</v>
      </c>
      <c r="B499" s="18"/>
      <c r="C499" s="50" t="s">
        <v>5800</v>
      </c>
      <c r="D499" s="20" t="s">
        <v>2431</v>
      </c>
      <c r="E499" s="22" t="s">
        <v>56</v>
      </c>
      <c r="F499" s="22" t="s">
        <v>41</v>
      </c>
      <c r="G499" s="23" t="s">
        <v>57</v>
      </c>
      <c r="H499" s="22" t="s">
        <v>58</v>
      </c>
      <c r="I499" s="22" t="s">
        <v>44</v>
      </c>
      <c r="J499" s="22" t="s">
        <v>148</v>
      </c>
      <c r="K499" s="24">
        <v>45505</v>
      </c>
      <c r="L499" s="22"/>
      <c r="M499" s="26"/>
      <c r="N499" s="26"/>
      <c r="O499" s="22"/>
      <c r="P499" s="22"/>
      <c r="Q499" s="23"/>
      <c r="R499" s="91"/>
      <c r="S499" s="23" t="s">
        <v>84</v>
      </c>
      <c r="T499" s="23"/>
      <c r="U499" s="23"/>
      <c r="V499" s="91"/>
      <c r="W499" s="30">
        <v>39814</v>
      </c>
      <c r="X499" s="30">
        <v>44317</v>
      </c>
      <c r="Y499" s="30">
        <v>44406</v>
      </c>
      <c r="Z499" s="31" t="str">
        <f t="shared" ca="1" si="35"/>
        <v>16 Tahun 9 Bulan 30 Hari</v>
      </c>
      <c r="AA499" s="31" t="s">
        <v>1640</v>
      </c>
      <c r="AB499" s="32">
        <v>30511</v>
      </c>
      <c r="AC499" s="31" t="s">
        <v>2432</v>
      </c>
      <c r="AD499" s="22" t="str">
        <f t="shared" ca="1" si="34"/>
        <v xml:space="preserve">42 Tahun 3 Bulan </v>
      </c>
      <c r="AE499" s="33" t="s">
        <v>1106</v>
      </c>
      <c r="AF499" s="34"/>
      <c r="AG499" s="6" t="s">
        <v>2410</v>
      </c>
      <c r="AH499" s="58"/>
      <c r="AI499" s="58"/>
      <c r="AJ499" s="58"/>
      <c r="AK499" s="33"/>
      <c r="AL499" s="36"/>
    </row>
    <row r="500" spans="1:39" ht="14.45" customHeight="1" x14ac:dyDescent="0.25">
      <c r="A500" s="17">
        <v>5</v>
      </c>
      <c r="B500" s="78"/>
      <c r="C500" s="50" t="s">
        <v>2433</v>
      </c>
      <c r="D500" s="20" t="s">
        <v>2434</v>
      </c>
      <c r="E500" s="21" t="s">
        <v>56</v>
      </c>
      <c r="F500" s="22" t="s">
        <v>41</v>
      </c>
      <c r="G500" s="23" t="s">
        <v>57</v>
      </c>
      <c r="H500" s="22" t="s">
        <v>58</v>
      </c>
      <c r="I500" s="22" t="s">
        <v>44</v>
      </c>
      <c r="J500" s="22" t="s">
        <v>148</v>
      </c>
      <c r="K500" s="24">
        <v>45323</v>
      </c>
      <c r="L500" s="53" t="s">
        <v>2435</v>
      </c>
      <c r="M500" s="26">
        <v>43117</v>
      </c>
      <c r="N500" s="26">
        <v>44931</v>
      </c>
      <c r="O500" s="27" t="s">
        <v>148</v>
      </c>
      <c r="P500" s="53" t="s">
        <v>2436</v>
      </c>
      <c r="Q500" s="26">
        <v>43305</v>
      </c>
      <c r="R500" s="29">
        <v>44931</v>
      </c>
      <c r="S500" s="23" t="s">
        <v>84</v>
      </c>
      <c r="T500" s="23">
        <v>2021</v>
      </c>
      <c r="U500" s="23"/>
      <c r="V500" s="23"/>
      <c r="W500" s="30">
        <v>38353</v>
      </c>
      <c r="X500" s="30">
        <v>38384</v>
      </c>
      <c r="Y500" s="22"/>
      <c r="Z500" s="31" t="str">
        <f t="shared" ca="1" si="35"/>
        <v>20 Tahun 9 Bulan 30 Hari</v>
      </c>
      <c r="AA500" s="31" t="s">
        <v>76</v>
      </c>
      <c r="AB500" s="32">
        <v>30686</v>
      </c>
      <c r="AC500" s="31" t="s">
        <v>2437</v>
      </c>
      <c r="AD500" s="22" t="str">
        <f t="shared" ca="1" si="34"/>
        <v xml:space="preserve">41 Tahun 9 Bulan </v>
      </c>
      <c r="AE500" s="33" t="s">
        <v>1106</v>
      </c>
      <c r="AF500" s="34"/>
      <c r="AG500" s="22" t="s">
        <v>2410</v>
      </c>
      <c r="AH500" s="22"/>
      <c r="AI500" s="22"/>
      <c r="AJ500" s="22"/>
      <c r="AK500" s="33"/>
      <c r="AL500" s="36"/>
    </row>
    <row r="501" spans="1:39" ht="14.45" customHeight="1" x14ac:dyDescent="0.25">
      <c r="A501" s="17">
        <v>6</v>
      </c>
      <c r="B501" s="78"/>
      <c r="C501" s="50" t="s">
        <v>2438</v>
      </c>
      <c r="D501" s="20" t="s">
        <v>2439</v>
      </c>
      <c r="E501" s="21" t="s">
        <v>56</v>
      </c>
      <c r="F501" s="22" t="s">
        <v>41</v>
      </c>
      <c r="G501" s="23" t="s">
        <v>137</v>
      </c>
      <c r="H501" s="22" t="s">
        <v>138</v>
      </c>
      <c r="I501" s="22" t="s">
        <v>44</v>
      </c>
      <c r="J501" s="22" t="s">
        <v>1166</v>
      </c>
      <c r="K501" s="24">
        <v>45017</v>
      </c>
      <c r="L501" s="53" t="s">
        <v>2440</v>
      </c>
      <c r="M501" s="26">
        <v>43117</v>
      </c>
      <c r="N501" s="26">
        <v>45116</v>
      </c>
      <c r="O501" s="27" t="s">
        <v>148</v>
      </c>
      <c r="P501" s="53" t="s">
        <v>2441</v>
      </c>
      <c r="Q501" s="26">
        <v>43305</v>
      </c>
      <c r="R501" s="29">
        <v>45116</v>
      </c>
      <c r="S501" s="23" t="s">
        <v>1167</v>
      </c>
      <c r="T501" s="23"/>
      <c r="U501" s="23"/>
      <c r="V501" s="23"/>
      <c r="W501" s="30">
        <v>39448</v>
      </c>
      <c r="X501" s="30">
        <v>39448</v>
      </c>
      <c r="Y501" s="22"/>
      <c r="Z501" s="31" t="str">
        <f t="shared" ca="1" si="35"/>
        <v>17 Tahun 9 Bulan 30 Hari</v>
      </c>
      <c r="AA501" s="31" t="s">
        <v>164</v>
      </c>
      <c r="AB501" s="32">
        <v>31237</v>
      </c>
      <c r="AC501" s="32" t="s">
        <v>2442</v>
      </c>
      <c r="AD501" s="22" t="str">
        <f t="shared" ca="1" si="34"/>
        <v xml:space="preserve">40 Tahun 3 Bulan </v>
      </c>
      <c r="AE501" s="33" t="s">
        <v>1106</v>
      </c>
      <c r="AF501" s="34"/>
      <c r="AG501" s="6" t="s">
        <v>2410</v>
      </c>
      <c r="AH501" s="22"/>
      <c r="AI501" s="22"/>
      <c r="AJ501" s="22"/>
      <c r="AK501" s="33"/>
      <c r="AL501" s="22"/>
    </row>
    <row r="502" spans="1:39" ht="14.45" customHeight="1" x14ac:dyDescent="0.25">
      <c r="A502" s="17">
        <v>7</v>
      </c>
      <c r="B502" s="78"/>
      <c r="C502" s="50" t="s">
        <v>2443</v>
      </c>
      <c r="D502" s="20" t="s">
        <v>2444</v>
      </c>
      <c r="E502" s="21" t="s">
        <v>56</v>
      </c>
      <c r="F502" s="22" t="s">
        <v>41</v>
      </c>
      <c r="G502" s="23" t="s">
        <v>137</v>
      </c>
      <c r="H502" s="22" t="s">
        <v>138</v>
      </c>
      <c r="I502" s="22" t="s">
        <v>44</v>
      </c>
      <c r="J502" s="22" t="s">
        <v>1148</v>
      </c>
      <c r="K502" s="24">
        <v>44835</v>
      </c>
      <c r="L502" s="25" t="s">
        <v>2445</v>
      </c>
      <c r="M502" s="26">
        <v>43202</v>
      </c>
      <c r="N502" s="26">
        <v>45221</v>
      </c>
      <c r="O502" s="27" t="s">
        <v>1155</v>
      </c>
      <c r="P502" s="53" t="s">
        <v>2446</v>
      </c>
      <c r="Q502" s="26">
        <v>43242</v>
      </c>
      <c r="R502" s="26">
        <v>45221</v>
      </c>
      <c r="S502" s="23" t="s">
        <v>84</v>
      </c>
      <c r="T502" s="23">
        <v>2021</v>
      </c>
      <c r="U502" s="23"/>
      <c r="V502" s="23"/>
      <c r="W502" s="30">
        <v>39448</v>
      </c>
      <c r="X502" s="30">
        <v>39448</v>
      </c>
      <c r="Y502" s="30">
        <v>39722</v>
      </c>
      <c r="Z502" s="31" t="str">
        <f t="shared" ca="1" si="35"/>
        <v>17 Tahun 9 Bulan 30 Hari</v>
      </c>
      <c r="AA502" s="31" t="s">
        <v>128</v>
      </c>
      <c r="AB502" s="32">
        <v>31707</v>
      </c>
      <c r="AC502" s="32" t="s">
        <v>2447</v>
      </c>
      <c r="AD502" s="22" t="str">
        <f t="shared" ca="1" si="34"/>
        <v xml:space="preserve">39 Tahun 0 Bulan </v>
      </c>
      <c r="AE502" s="33" t="s">
        <v>1106</v>
      </c>
      <c r="AF502" s="34"/>
      <c r="AG502" s="22" t="s">
        <v>2410</v>
      </c>
      <c r="AH502" s="22"/>
      <c r="AI502" s="22"/>
      <c r="AJ502" s="22"/>
      <c r="AK502" s="33"/>
      <c r="AL502" s="36"/>
      <c r="AM502" s="14"/>
    </row>
    <row r="503" spans="1:39" ht="14.45" customHeight="1" x14ac:dyDescent="0.25">
      <c r="A503" s="17">
        <v>8</v>
      </c>
      <c r="B503" s="78"/>
      <c r="C503" s="139" t="s">
        <v>2448</v>
      </c>
      <c r="D503" s="137" t="s">
        <v>2449</v>
      </c>
      <c r="E503" s="21" t="s">
        <v>56</v>
      </c>
      <c r="F503" s="22" t="s">
        <v>41</v>
      </c>
      <c r="G503" s="89" t="s">
        <v>102</v>
      </c>
      <c r="H503" s="22" t="s">
        <v>103</v>
      </c>
      <c r="I503" s="58" t="s">
        <v>44</v>
      </c>
      <c r="J503" s="22" t="s">
        <v>1166</v>
      </c>
      <c r="K503" s="24">
        <v>45566</v>
      </c>
      <c r="L503" s="25" t="s">
        <v>2450</v>
      </c>
      <c r="M503" s="26">
        <v>41429</v>
      </c>
      <c r="N503" s="26">
        <v>43366</v>
      </c>
      <c r="O503" s="27" t="s">
        <v>2240</v>
      </c>
      <c r="P503" s="28" t="s">
        <v>2451</v>
      </c>
      <c r="Q503" s="29">
        <v>42229</v>
      </c>
      <c r="R503" s="26">
        <v>43366</v>
      </c>
      <c r="S503" s="33" t="s">
        <v>1172</v>
      </c>
      <c r="T503" s="33"/>
      <c r="U503" s="33"/>
      <c r="V503" s="33"/>
      <c r="W503" s="95">
        <v>41244</v>
      </c>
      <c r="X503" s="30">
        <v>41334</v>
      </c>
      <c r="Y503" s="30">
        <v>42339</v>
      </c>
      <c r="Z503" s="31" t="str">
        <f t="shared" ca="1" si="35"/>
        <v>12 Tahun 10 Bulan 30 Hari</v>
      </c>
      <c r="AA503" s="31" t="s">
        <v>128</v>
      </c>
      <c r="AB503" s="32">
        <v>32043</v>
      </c>
      <c r="AC503" s="31" t="s">
        <v>2452</v>
      </c>
      <c r="AD503" s="22" t="str">
        <f t="shared" ca="1" si="34"/>
        <v xml:space="preserve">38 Tahun 1 Bulan </v>
      </c>
      <c r="AE503" s="33" t="s">
        <v>1106</v>
      </c>
      <c r="AF503" s="34"/>
      <c r="AG503" s="6" t="s">
        <v>2410</v>
      </c>
      <c r="AH503" s="22"/>
      <c r="AI503" s="22"/>
      <c r="AJ503" s="22"/>
      <c r="AK503" s="33"/>
      <c r="AL503" s="36"/>
    </row>
    <row r="504" spans="1:39" ht="14.45" customHeight="1" x14ac:dyDescent="0.25">
      <c r="A504" s="17">
        <v>9</v>
      </c>
      <c r="B504" s="78"/>
      <c r="C504" s="50" t="s">
        <v>2453</v>
      </c>
      <c r="D504" s="137" t="s">
        <v>2454</v>
      </c>
      <c r="E504" s="21" t="s">
        <v>56</v>
      </c>
      <c r="F504" s="22" t="s">
        <v>41</v>
      </c>
      <c r="G504" s="23" t="s">
        <v>102</v>
      </c>
      <c r="H504" s="22" t="s">
        <v>103</v>
      </c>
      <c r="I504" s="22" t="s">
        <v>44</v>
      </c>
      <c r="J504" s="22" t="s">
        <v>1166</v>
      </c>
      <c r="K504" s="24">
        <v>45566</v>
      </c>
      <c r="L504" s="25" t="s">
        <v>2455</v>
      </c>
      <c r="M504" s="26">
        <v>41429</v>
      </c>
      <c r="N504" s="26">
        <v>43366</v>
      </c>
      <c r="O504" s="27" t="s">
        <v>2240</v>
      </c>
      <c r="P504" s="28" t="s">
        <v>2456</v>
      </c>
      <c r="Q504" s="29">
        <v>42229</v>
      </c>
      <c r="R504" s="26">
        <v>43366</v>
      </c>
      <c r="S504" s="33" t="s">
        <v>1172</v>
      </c>
      <c r="T504" s="33"/>
      <c r="U504" s="33"/>
      <c r="V504" s="33"/>
      <c r="W504" s="95">
        <v>41244</v>
      </c>
      <c r="X504" s="30">
        <v>41334</v>
      </c>
      <c r="Y504" s="22"/>
      <c r="Z504" s="31" t="str">
        <f t="shared" ca="1" si="35"/>
        <v>12 Tahun 10 Bulan 30 Hari</v>
      </c>
      <c r="AA504" s="31" t="s">
        <v>2050</v>
      </c>
      <c r="AB504" s="32">
        <v>32343</v>
      </c>
      <c r="AC504" s="31" t="s">
        <v>2457</v>
      </c>
      <c r="AD504" s="22" t="str">
        <f t="shared" ca="1" si="34"/>
        <v xml:space="preserve">37 Tahun 3 Bulan </v>
      </c>
      <c r="AE504" s="33" t="s">
        <v>1106</v>
      </c>
      <c r="AF504" s="34"/>
      <c r="AG504" s="22" t="s">
        <v>2410</v>
      </c>
      <c r="AH504" s="22"/>
      <c r="AI504" s="22"/>
      <c r="AJ504" s="22"/>
      <c r="AK504" s="33"/>
      <c r="AL504" s="36"/>
    </row>
    <row r="505" spans="1:39" ht="14.45" customHeight="1" x14ac:dyDescent="0.25">
      <c r="A505" s="17">
        <v>10</v>
      </c>
      <c r="B505" s="78"/>
      <c r="C505" s="19" t="s">
        <v>2458</v>
      </c>
      <c r="D505" s="20" t="s">
        <v>2459</v>
      </c>
      <c r="E505" s="21" t="s">
        <v>56</v>
      </c>
      <c r="F505" s="22" t="s">
        <v>41</v>
      </c>
      <c r="G505" s="23" t="s">
        <v>137</v>
      </c>
      <c r="H505" s="22" t="s">
        <v>138</v>
      </c>
      <c r="I505" s="22" t="s">
        <v>44</v>
      </c>
      <c r="J505" s="22" t="s">
        <v>1148</v>
      </c>
      <c r="K505" s="24">
        <v>45931</v>
      </c>
      <c r="L505" s="53" t="s">
        <v>2460</v>
      </c>
      <c r="M505" s="26">
        <v>43117</v>
      </c>
      <c r="N505" s="26">
        <v>45146</v>
      </c>
      <c r="O505" s="27" t="s">
        <v>148</v>
      </c>
      <c r="P505" s="53" t="s">
        <v>2461</v>
      </c>
      <c r="Q505" s="26">
        <v>43242</v>
      </c>
      <c r="R505" s="26">
        <v>45146</v>
      </c>
      <c r="S505" s="33" t="s">
        <v>84</v>
      </c>
      <c r="T505" s="23">
        <v>2021</v>
      </c>
      <c r="U505" s="23"/>
      <c r="V505" s="23"/>
      <c r="W505" s="30">
        <v>40513</v>
      </c>
      <c r="X505" s="30">
        <v>40664</v>
      </c>
      <c r="Y505" s="30">
        <v>40664</v>
      </c>
      <c r="Z505" s="31" t="str">
        <f t="shared" ca="1" si="35"/>
        <v>14 Tahun 10 Bulan 30 Hari</v>
      </c>
      <c r="AA505" s="31" t="s">
        <v>164</v>
      </c>
      <c r="AB505" s="32">
        <v>32363</v>
      </c>
      <c r="AC505" s="31" t="s">
        <v>2462</v>
      </c>
      <c r="AD505" s="22" t="str">
        <f t="shared" ca="1" si="34"/>
        <v xml:space="preserve">37 Tahun 2 Bulan </v>
      </c>
      <c r="AE505" s="33" t="s">
        <v>1106</v>
      </c>
      <c r="AF505" s="34"/>
      <c r="AG505" s="6" t="s">
        <v>2410</v>
      </c>
      <c r="AH505" s="22"/>
      <c r="AI505" s="22"/>
      <c r="AJ505" s="22"/>
      <c r="AK505" s="34"/>
      <c r="AL505" s="36"/>
      <c r="AM505" s="14"/>
    </row>
    <row r="506" spans="1:39" ht="14.45" customHeight="1" x14ac:dyDescent="0.25">
      <c r="A506" s="17">
        <v>11</v>
      </c>
      <c r="B506" s="78"/>
      <c r="C506" s="50" t="s">
        <v>2463</v>
      </c>
      <c r="D506" s="20" t="s">
        <v>2464</v>
      </c>
      <c r="E506" s="22" t="s">
        <v>56</v>
      </c>
      <c r="F506" s="22" t="s">
        <v>41</v>
      </c>
      <c r="G506" s="23" t="s">
        <v>102</v>
      </c>
      <c r="H506" s="22" t="s">
        <v>103</v>
      </c>
      <c r="I506" s="22" t="s">
        <v>44</v>
      </c>
      <c r="J506" s="22" t="s">
        <v>1148</v>
      </c>
      <c r="K506" s="24">
        <v>45323</v>
      </c>
      <c r="L506" s="25" t="s">
        <v>2465</v>
      </c>
      <c r="M506" s="26">
        <v>42174</v>
      </c>
      <c r="N506" s="26">
        <v>43933</v>
      </c>
      <c r="O506" s="27" t="s">
        <v>84</v>
      </c>
      <c r="P506" s="53" t="s">
        <v>2466</v>
      </c>
      <c r="Q506" s="26">
        <v>42774</v>
      </c>
      <c r="R506" s="26">
        <v>43933</v>
      </c>
      <c r="S506" s="33" t="s">
        <v>84</v>
      </c>
      <c r="T506" s="33"/>
      <c r="U506" s="33"/>
      <c r="V506" s="33"/>
      <c r="W506" s="30">
        <v>43101</v>
      </c>
      <c r="X506" s="30">
        <v>43101</v>
      </c>
      <c r="Y506" s="30">
        <v>42339</v>
      </c>
      <c r="Z506" s="31" t="str">
        <f t="shared" ca="1" si="35"/>
        <v>7 Tahun 9 Bulan 30 Hari</v>
      </c>
      <c r="AA506" s="31" t="s">
        <v>570</v>
      </c>
      <c r="AB506" s="32">
        <v>32610</v>
      </c>
      <c r="AC506" s="31" t="s">
        <v>2467</v>
      </c>
      <c r="AD506" s="22" t="str">
        <f t="shared" ca="1" si="34"/>
        <v xml:space="preserve">36 Tahun 6 Bulan </v>
      </c>
      <c r="AE506" s="33" t="s">
        <v>1106</v>
      </c>
      <c r="AF506" s="34"/>
      <c r="AG506" s="22" t="s">
        <v>2410</v>
      </c>
      <c r="AH506" s="22"/>
      <c r="AI506" s="22"/>
      <c r="AJ506" s="22"/>
      <c r="AK506" s="34"/>
      <c r="AL506" s="36"/>
      <c r="AM506" s="14"/>
    </row>
    <row r="507" spans="1:39" ht="14.45" customHeight="1" x14ac:dyDescent="0.25">
      <c r="A507" s="17">
        <v>12</v>
      </c>
      <c r="B507" s="78"/>
      <c r="C507" s="50" t="s">
        <v>2468</v>
      </c>
      <c r="D507" s="62" t="s">
        <v>2469</v>
      </c>
      <c r="E507" s="21" t="s">
        <v>56</v>
      </c>
      <c r="F507" s="22" t="s">
        <v>41</v>
      </c>
      <c r="G507" s="23" t="s">
        <v>102</v>
      </c>
      <c r="H507" s="22" t="s">
        <v>103</v>
      </c>
      <c r="I507" s="22" t="s">
        <v>44</v>
      </c>
      <c r="J507" s="22" t="s">
        <v>1148</v>
      </c>
      <c r="K507" s="24">
        <v>45870</v>
      </c>
      <c r="L507" s="25" t="s">
        <v>2470</v>
      </c>
      <c r="M507" s="29">
        <v>42174</v>
      </c>
      <c r="N507" s="26">
        <v>43842</v>
      </c>
      <c r="O507" s="27" t="s">
        <v>84</v>
      </c>
      <c r="P507" s="28" t="s">
        <v>2471</v>
      </c>
      <c r="Q507" s="29">
        <v>43130</v>
      </c>
      <c r="R507" s="26">
        <v>43842</v>
      </c>
      <c r="S507" s="23" t="s">
        <v>84</v>
      </c>
      <c r="T507" s="23">
        <v>2015</v>
      </c>
      <c r="U507" s="23"/>
      <c r="V507" s="23"/>
      <c r="W507" s="175">
        <v>43497</v>
      </c>
      <c r="X507" s="30">
        <v>43070</v>
      </c>
      <c r="Y507" s="30">
        <v>43070</v>
      </c>
      <c r="Z507" s="31" t="str">
        <f ca="1">DATEDIF(X507,TODAY(),"y")&amp;" Tahun "&amp;DATEDIF(X507,TODAY(),"ym")&amp;" Bulan "&amp;DATEDIF(X507,TODAY(),"md")&amp;" Hari"</f>
        <v>7 Tahun 10 Bulan 30 Hari</v>
      </c>
      <c r="AA507" s="31" t="s">
        <v>2159</v>
      </c>
      <c r="AB507" s="32">
        <v>33250</v>
      </c>
      <c r="AC507" s="32" t="s">
        <v>2472</v>
      </c>
      <c r="AD507" s="22" t="str">
        <f t="shared" ca="1" si="34"/>
        <v xml:space="preserve">34 Tahun 9 Bulan </v>
      </c>
      <c r="AE507" s="33" t="s">
        <v>1106</v>
      </c>
      <c r="AF507" s="34"/>
      <c r="AG507" s="22" t="s">
        <v>2410</v>
      </c>
      <c r="AH507" s="22"/>
      <c r="AI507" s="22"/>
      <c r="AJ507" s="22"/>
      <c r="AK507" s="33"/>
      <c r="AL507" s="36"/>
    </row>
    <row r="508" spans="1:39" ht="14.45" customHeight="1" x14ac:dyDescent="0.25">
      <c r="A508" s="17">
        <v>13</v>
      </c>
      <c r="B508" s="78"/>
      <c r="C508" s="139" t="s">
        <v>2473</v>
      </c>
      <c r="D508" s="137" t="s">
        <v>2474</v>
      </c>
      <c r="E508" s="21" t="s">
        <v>56</v>
      </c>
      <c r="F508" s="22" t="s">
        <v>41</v>
      </c>
      <c r="G508" s="89" t="s">
        <v>102</v>
      </c>
      <c r="H508" s="22" t="s">
        <v>103</v>
      </c>
      <c r="I508" s="58" t="s">
        <v>44</v>
      </c>
      <c r="J508" s="22" t="s">
        <v>1166</v>
      </c>
      <c r="K508" s="24">
        <v>45566</v>
      </c>
      <c r="L508" s="53" t="s">
        <v>2475</v>
      </c>
      <c r="M508" s="26">
        <v>43117</v>
      </c>
      <c r="N508" s="26">
        <v>45025</v>
      </c>
      <c r="O508" s="27" t="s">
        <v>148</v>
      </c>
      <c r="P508" s="53" t="s">
        <v>2476</v>
      </c>
      <c r="Q508" s="26">
        <v>43322</v>
      </c>
      <c r="R508" s="29">
        <v>45025</v>
      </c>
      <c r="S508" s="33" t="s">
        <v>2477</v>
      </c>
      <c r="T508" s="33">
        <v>2011</v>
      </c>
      <c r="U508" s="33"/>
      <c r="V508" s="33"/>
      <c r="W508" s="95">
        <v>41244</v>
      </c>
      <c r="X508" s="30">
        <v>41334</v>
      </c>
      <c r="Y508" s="22"/>
      <c r="Z508" s="31" t="str">
        <f ca="1">DATEDIF(W508,TODAY(),"y")&amp;" Tahun "&amp;DATEDIF(W508,TODAY(),"ym")&amp;" Bulan "&amp;DATEDIF(W508,TODAY(),"md")&amp;" Hari"</f>
        <v>12 Tahun 10 Bulan 30 Hari</v>
      </c>
      <c r="AA508" s="31" t="s">
        <v>437</v>
      </c>
      <c r="AB508" s="32">
        <v>33337</v>
      </c>
      <c r="AC508" s="31" t="s">
        <v>2478</v>
      </c>
      <c r="AD508" s="22" t="str">
        <f t="shared" ca="1" si="34"/>
        <v xml:space="preserve">34 Tahun 6 Bulan </v>
      </c>
      <c r="AE508" s="33" t="s">
        <v>1106</v>
      </c>
      <c r="AF508" s="34"/>
      <c r="AG508" s="6" t="s">
        <v>2410</v>
      </c>
      <c r="AH508" s="22"/>
      <c r="AI508" s="22"/>
      <c r="AJ508" s="60"/>
      <c r="AK508" s="33"/>
      <c r="AL508" s="36"/>
    </row>
    <row r="509" spans="1:39" ht="14.45" customHeight="1" x14ac:dyDescent="0.25">
      <c r="A509" s="17">
        <v>14</v>
      </c>
      <c r="B509" s="78">
        <v>1393</v>
      </c>
      <c r="C509" s="50" t="s">
        <v>5801</v>
      </c>
      <c r="D509" s="20" t="s">
        <v>2479</v>
      </c>
      <c r="E509" s="22" t="s">
        <v>56</v>
      </c>
      <c r="F509" s="22" t="s">
        <v>41</v>
      </c>
      <c r="G509" s="23" t="s">
        <v>227</v>
      </c>
      <c r="H509" s="22" t="s">
        <v>228</v>
      </c>
      <c r="I509" s="22" t="s">
        <v>44</v>
      </c>
      <c r="J509" s="22" t="s">
        <v>1148</v>
      </c>
      <c r="K509" s="24">
        <v>45200</v>
      </c>
      <c r="L509" s="25"/>
      <c r="M509" s="26"/>
      <c r="N509" s="26"/>
      <c r="O509" s="27"/>
      <c r="P509" s="28"/>
      <c r="Q509" s="29"/>
      <c r="R509" s="26"/>
      <c r="S509" s="23" t="s">
        <v>84</v>
      </c>
      <c r="T509" s="23"/>
      <c r="U509" s="23"/>
      <c r="V509" s="23"/>
      <c r="W509" s="30">
        <v>44166</v>
      </c>
      <c r="X509" s="30">
        <v>44197</v>
      </c>
      <c r="Y509" s="30">
        <v>44197</v>
      </c>
      <c r="Z509" s="31" t="str">
        <f ca="1">DATEDIF(X509,TODAY(),"y")&amp;" Tahun "&amp;DATEDIF(X509,TODAY(),"ym")&amp;" Bulan "&amp;DATEDIF(X509,TODAY(),"md")&amp;" Hari"</f>
        <v>4 Tahun 9 Bulan 30 Hari</v>
      </c>
      <c r="AA509" s="31" t="s">
        <v>2480</v>
      </c>
      <c r="AB509" s="32">
        <v>33708</v>
      </c>
      <c r="AC509" s="32" t="s">
        <v>2481</v>
      </c>
      <c r="AD509" s="22" t="str">
        <f t="shared" ca="1" si="34"/>
        <v xml:space="preserve">33 Tahun 6 Bulan </v>
      </c>
      <c r="AE509" s="33" t="s">
        <v>1106</v>
      </c>
      <c r="AF509" s="34"/>
      <c r="AG509" s="22" t="s">
        <v>2410</v>
      </c>
      <c r="AH509" s="22"/>
      <c r="AI509" s="22"/>
      <c r="AJ509" s="22"/>
      <c r="AK509" s="33"/>
      <c r="AL509" s="36"/>
      <c r="AM509" s="14"/>
    </row>
    <row r="510" spans="1:39" ht="14.45" customHeight="1" x14ac:dyDescent="0.25">
      <c r="A510" s="17">
        <v>15</v>
      </c>
      <c r="B510" s="78">
        <v>1390</v>
      </c>
      <c r="C510" s="50" t="s">
        <v>5802</v>
      </c>
      <c r="D510" s="20" t="s">
        <v>2482</v>
      </c>
      <c r="E510" s="22" t="s">
        <v>56</v>
      </c>
      <c r="F510" s="22" t="s">
        <v>41</v>
      </c>
      <c r="G510" s="23" t="s">
        <v>227</v>
      </c>
      <c r="H510" s="22" t="s">
        <v>228</v>
      </c>
      <c r="I510" s="22" t="s">
        <v>44</v>
      </c>
      <c r="J510" s="22" t="s">
        <v>1148</v>
      </c>
      <c r="K510" s="24">
        <v>45505</v>
      </c>
      <c r="L510" s="25"/>
      <c r="M510" s="26"/>
      <c r="N510" s="26"/>
      <c r="O510" s="27"/>
      <c r="P510" s="28"/>
      <c r="Q510" s="29"/>
      <c r="R510" s="26"/>
      <c r="S510" s="23" t="s">
        <v>84</v>
      </c>
      <c r="T510" s="23"/>
      <c r="U510" s="23"/>
      <c r="V510" s="23"/>
      <c r="W510" s="30">
        <v>44166</v>
      </c>
      <c r="X510" s="30">
        <v>44197</v>
      </c>
      <c r="Y510" s="30">
        <v>44197</v>
      </c>
      <c r="Z510" s="31" t="str">
        <f ca="1">DATEDIF(X510,TODAY(),"y")&amp;" Tahun "&amp;DATEDIF(X510,TODAY(),"ym")&amp;" Bulan "&amp;DATEDIF(X510,TODAY(),"md")&amp;" Hari"</f>
        <v>4 Tahun 9 Bulan 30 Hari</v>
      </c>
      <c r="AA510" s="31" t="s">
        <v>697</v>
      </c>
      <c r="AB510" s="32">
        <v>33892</v>
      </c>
      <c r="AC510" s="32" t="s">
        <v>2483</v>
      </c>
      <c r="AD510" s="22" t="str">
        <f t="shared" ca="1" si="34"/>
        <v xml:space="preserve">33 Tahun 0 Bulan </v>
      </c>
      <c r="AE510" s="33" t="s">
        <v>1106</v>
      </c>
      <c r="AF510" s="34"/>
      <c r="AG510" s="6" t="s">
        <v>2410</v>
      </c>
      <c r="AH510" s="22"/>
      <c r="AI510" s="22"/>
      <c r="AJ510" s="22"/>
      <c r="AK510" s="34"/>
      <c r="AL510" s="36"/>
      <c r="AM510" s="14"/>
    </row>
    <row r="511" spans="1:39" ht="14.45" customHeight="1" x14ac:dyDescent="0.25">
      <c r="A511" s="17">
        <v>16</v>
      </c>
      <c r="B511" s="78">
        <v>1392</v>
      </c>
      <c r="C511" s="50" t="s">
        <v>5803</v>
      </c>
      <c r="D511" s="20" t="s">
        <v>2484</v>
      </c>
      <c r="E511" s="22" t="s">
        <v>56</v>
      </c>
      <c r="F511" s="22" t="s">
        <v>41</v>
      </c>
      <c r="G511" s="23" t="s">
        <v>227</v>
      </c>
      <c r="H511" s="22" t="s">
        <v>228</v>
      </c>
      <c r="I511" s="22" t="s">
        <v>44</v>
      </c>
      <c r="J511" s="22" t="s">
        <v>1148</v>
      </c>
      <c r="K511" s="24">
        <v>45505</v>
      </c>
      <c r="L511" s="25"/>
      <c r="M511" s="26"/>
      <c r="N511" s="26"/>
      <c r="O511" s="27"/>
      <c r="P511" s="28"/>
      <c r="Q511" s="29"/>
      <c r="R511" s="26"/>
      <c r="S511" s="23" t="s">
        <v>84</v>
      </c>
      <c r="T511" s="23"/>
      <c r="U511" s="23"/>
      <c r="V511" s="23"/>
      <c r="W511" s="30">
        <v>44166</v>
      </c>
      <c r="X511" s="30">
        <v>44197</v>
      </c>
      <c r="Y511" s="30">
        <v>44197</v>
      </c>
      <c r="Z511" s="31" t="str">
        <f ca="1">DATEDIF(X511,TODAY(),"y")&amp;" Tahun "&amp;DATEDIF(X511,TODAY(),"ym")&amp;" Bulan "&amp;DATEDIF(X511,TODAY(),"md")&amp;" Hari"</f>
        <v>4 Tahun 9 Bulan 30 Hari</v>
      </c>
      <c r="AA511" s="31" t="s">
        <v>1363</v>
      </c>
      <c r="AB511" s="32">
        <v>33924</v>
      </c>
      <c r="AC511" s="32" t="s">
        <v>2485</v>
      </c>
      <c r="AD511" s="22" t="str">
        <f t="shared" ca="1" si="34"/>
        <v xml:space="preserve">32 Tahun 11 Bulan </v>
      </c>
      <c r="AE511" s="33" t="s">
        <v>1106</v>
      </c>
      <c r="AF511" s="34"/>
      <c r="AG511" s="22" t="s">
        <v>2410</v>
      </c>
      <c r="AH511" s="22"/>
      <c r="AI511" s="22"/>
      <c r="AJ511" s="22"/>
      <c r="AK511" s="33" t="s">
        <v>676</v>
      </c>
      <c r="AL511" s="36"/>
    </row>
    <row r="512" spans="1:39" ht="14.45" customHeight="1" x14ac:dyDescent="0.25">
      <c r="A512" s="17">
        <v>17</v>
      </c>
      <c r="B512" s="78"/>
      <c r="C512" s="50" t="s">
        <v>2486</v>
      </c>
      <c r="D512" s="62" t="s">
        <v>2487</v>
      </c>
      <c r="E512" s="21" t="s">
        <v>56</v>
      </c>
      <c r="F512" s="22" t="s">
        <v>41</v>
      </c>
      <c r="G512" s="23" t="s">
        <v>102</v>
      </c>
      <c r="H512" s="22" t="s">
        <v>103</v>
      </c>
      <c r="I512" s="22" t="s">
        <v>44</v>
      </c>
      <c r="J512" s="22" t="s">
        <v>1148</v>
      </c>
      <c r="K512" s="24">
        <v>45200</v>
      </c>
      <c r="L512" s="152" t="s">
        <v>2488</v>
      </c>
      <c r="M512" s="135">
        <v>42923</v>
      </c>
      <c r="N512" s="135">
        <v>44903</v>
      </c>
      <c r="O512" s="27" t="s">
        <v>84</v>
      </c>
      <c r="P512" s="152" t="s">
        <v>2489</v>
      </c>
      <c r="Q512" s="135">
        <v>43138</v>
      </c>
      <c r="R512" s="135">
        <v>44903</v>
      </c>
      <c r="S512" s="23" t="s">
        <v>84</v>
      </c>
      <c r="T512" s="23"/>
      <c r="U512" s="23"/>
      <c r="V512" s="23"/>
      <c r="W512" s="30">
        <v>43101</v>
      </c>
      <c r="X512" s="30">
        <v>43101</v>
      </c>
      <c r="Y512" s="30">
        <v>43136</v>
      </c>
      <c r="Z512" s="31" t="str">
        <f ca="1">DATEDIF(W512,TODAY(),"y")&amp;" Tahun "&amp;DATEDIF(W512,TODAY(),"ym")&amp;" Bulan "&amp;DATEDIF(W512,TODAY(),"md")&amp;" Hari"</f>
        <v>7 Tahun 9 Bulan 30 Hari</v>
      </c>
      <c r="AA512" s="31"/>
      <c r="AB512" s="32">
        <v>33946</v>
      </c>
      <c r="AC512" s="31" t="s">
        <v>2490</v>
      </c>
      <c r="AD512" s="22" t="str">
        <f t="shared" ca="1" si="34"/>
        <v xml:space="preserve">32 Tahun 10 Bulan </v>
      </c>
      <c r="AE512" s="33" t="s">
        <v>1106</v>
      </c>
      <c r="AF512" s="34"/>
      <c r="AG512" s="6" t="s">
        <v>2410</v>
      </c>
      <c r="AH512" s="22"/>
      <c r="AI512" s="22"/>
      <c r="AJ512" s="22"/>
      <c r="AK512" s="33" t="s">
        <v>676</v>
      </c>
      <c r="AL512" s="36"/>
    </row>
    <row r="513" spans="1:39" ht="14.45" customHeight="1" x14ac:dyDescent="0.25">
      <c r="A513" s="17">
        <v>18</v>
      </c>
      <c r="B513" s="78"/>
      <c r="C513" s="50" t="s">
        <v>2491</v>
      </c>
      <c r="D513" s="20" t="s">
        <v>2492</v>
      </c>
      <c r="E513" s="21" t="s">
        <v>56</v>
      </c>
      <c r="F513" s="22" t="s">
        <v>41</v>
      </c>
      <c r="G513" s="23" t="s">
        <v>102</v>
      </c>
      <c r="H513" s="22" t="s">
        <v>103</v>
      </c>
      <c r="I513" s="22" t="s">
        <v>44</v>
      </c>
      <c r="J513" s="22" t="s">
        <v>1148</v>
      </c>
      <c r="K513" s="24">
        <v>45870</v>
      </c>
      <c r="L513" s="25" t="s">
        <v>2493</v>
      </c>
      <c r="M513" s="29">
        <v>42788</v>
      </c>
      <c r="N513" s="26">
        <v>44622</v>
      </c>
      <c r="O513" s="27" t="s">
        <v>84</v>
      </c>
      <c r="P513" s="28" t="s">
        <v>2494</v>
      </c>
      <c r="Q513" s="29">
        <v>43130</v>
      </c>
      <c r="R513" s="26">
        <v>44622</v>
      </c>
      <c r="S513" s="23" t="s">
        <v>84</v>
      </c>
      <c r="T513" s="23">
        <v>2016</v>
      </c>
      <c r="U513" s="23"/>
      <c r="V513" s="23"/>
      <c r="W513" s="30">
        <v>43497</v>
      </c>
      <c r="X513" s="30">
        <v>43070</v>
      </c>
      <c r="Y513" s="30">
        <v>43070</v>
      </c>
      <c r="Z513" s="31" t="str">
        <f t="shared" ref="Z513:Z520" ca="1" si="36">DATEDIF(X513,TODAY(),"y")&amp;" Tahun "&amp;DATEDIF(X513,TODAY(),"ym")&amp;" Bulan "&amp;DATEDIF(X513,TODAY(),"md")&amp;" Hari"</f>
        <v>7 Tahun 10 Bulan 30 Hari</v>
      </c>
      <c r="AA513" s="31" t="s">
        <v>563</v>
      </c>
      <c r="AB513" s="32">
        <v>34030</v>
      </c>
      <c r="AC513" s="31" t="s">
        <v>2495</v>
      </c>
      <c r="AD513" s="22" t="str">
        <f t="shared" ca="1" si="34"/>
        <v xml:space="preserve">32 Tahun 7 Bulan </v>
      </c>
      <c r="AE513" s="33" t="s">
        <v>1106</v>
      </c>
      <c r="AF513" s="34"/>
      <c r="AG513" s="22" t="s">
        <v>2410</v>
      </c>
      <c r="AH513" s="22"/>
      <c r="AI513" s="22"/>
      <c r="AJ513" s="22"/>
      <c r="AK513" s="33" t="s">
        <v>676</v>
      </c>
      <c r="AL513" s="36"/>
    </row>
    <row r="514" spans="1:39" ht="14.45" customHeight="1" x14ac:dyDescent="0.25">
      <c r="A514" s="17">
        <v>19</v>
      </c>
      <c r="B514" s="78"/>
      <c r="C514" s="50" t="s">
        <v>2496</v>
      </c>
      <c r="D514" s="62" t="s">
        <v>2497</v>
      </c>
      <c r="E514" s="35" t="s">
        <v>56</v>
      </c>
      <c r="F514" s="35" t="s">
        <v>41</v>
      </c>
      <c r="G514" s="23" t="s">
        <v>227</v>
      </c>
      <c r="H514" s="22" t="s">
        <v>228</v>
      </c>
      <c r="I514" s="22" t="s">
        <v>44</v>
      </c>
      <c r="J514" s="22" t="s">
        <v>1148</v>
      </c>
      <c r="K514" s="24">
        <v>45505</v>
      </c>
      <c r="L514" s="25" t="s">
        <v>2498</v>
      </c>
      <c r="M514" s="26">
        <v>42993</v>
      </c>
      <c r="N514" s="26">
        <v>44648</v>
      </c>
      <c r="O514" s="27" t="s">
        <v>84</v>
      </c>
      <c r="P514" s="28" t="s">
        <v>2499</v>
      </c>
      <c r="Q514" s="29">
        <v>43130</v>
      </c>
      <c r="R514" s="26">
        <v>44648</v>
      </c>
      <c r="S514" s="38" t="s">
        <v>84</v>
      </c>
      <c r="T514" s="38"/>
      <c r="U514" s="38"/>
      <c r="V514" s="38"/>
      <c r="W514" s="30">
        <v>44166</v>
      </c>
      <c r="X514" s="37">
        <v>43070</v>
      </c>
      <c r="Y514" s="37">
        <v>43070</v>
      </c>
      <c r="Z514" s="63" t="str">
        <f t="shared" ca="1" si="36"/>
        <v>7 Tahun 10 Bulan 30 Hari</v>
      </c>
      <c r="AA514" s="63" t="s">
        <v>882</v>
      </c>
      <c r="AB514" s="39">
        <v>34056</v>
      </c>
      <c r="AC514" s="31" t="s">
        <v>2500</v>
      </c>
      <c r="AD514" s="22" t="str">
        <f t="shared" ca="1" si="34"/>
        <v xml:space="preserve">32 Tahun 7 Bulan </v>
      </c>
      <c r="AE514" s="33" t="s">
        <v>1106</v>
      </c>
      <c r="AF514" s="96"/>
      <c r="AG514" s="6" t="s">
        <v>2410</v>
      </c>
      <c r="AH514" s="22"/>
      <c r="AI514" s="22"/>
      <c r="AJ514" s="22"/>
      <c r="AK514" s="33"/>
      <c r="AL514" s="36"/>
    </row>
    <row r="515" spans="1:39" ht="14.45" customHeight="1" x14ac:dyDescent="0.25">
      <c r="A515" s="17">
        <v>20</v>
      </c>
      <c r="B515" s="78">
        <v>1377</v>
      </c>
      <c r="C515" s="50" t="s">
        <v>5804</v>
      </c>
      <c r="D515" s="20" t="s">
        <v>2501</v>
      </c>
      <c r="E515" s="35" t="s">
        <v>56</v>
      </c>
      <c r="F515" s="22" t="s">
        <v>41</v>
      </c>
      <c r="G515" s="23" t="s">
        <v>227</v>
      </c>
      <c r="H515" s="22" t="s">
        <v>228</v>
      </c>
      <c r="I515" s="22" t="s">
        <v>44</v>
      </c>
      <c r="J515" s="22" t="s">
        <v>1148</v>
      </c>
      <c r="K515" s="24">
        <v>45505</v>
      </c>
      <c r="L515" s="25"/>
      <c r="M515" s="26"/>
      <c r="N515" s="26"/>
      <c r="O515" s="27"/>
      <c r="P515" s="28"/>
      <c r="Q515" s="29"/>
      <c r="R515" s="26"/>
      <c r="S515" s="23" t="s">
        <v>84</v>
      </c>
      <c r="T515" s="23"/>
      <c r="U515" s="23"/>
      <c r="V515" s="23"/>
      <c r="W515" s="30">
        <v>44166</v>
      </c>
      <c r="X515" s="30">
        <v>44197</v>
      </c>
      <c r="Y515" s="30">
        <v>44197</v>
      </c>
      <c r="Z515" s="31" t="str">
        <f t="shared" ca="1" si="36"/>
        <v>4 Tahun 9 Bulan 30 Hari</v>
      </c>
      <c r="AA515" s="31" t="s">
        <v>128</v>
      </c>
      <c r="AB515" s="32">
        <v>34099</v>
      </c>
      <c r="AC515" s="32" t="s">
        <v>2502</v>
      </c>
      <c r="AD515" s="22" t="str">
        <f t="shared" ca="1" si="34"/>
        <v xml:space="preserve">32 Tahun 5 Bulan </v>
      </c>
      <c r="AE515" s="33" t="s">
        <v>1106</v>
      </c>
      <c r="AF515" s="34"/>
      <c r="AG515" s="22" t="s">
        <v>2410</v>
      </c>
      <c r="AH515" s="22"/>
      <c r="AI515" s="22"/>
      <c r="AJ515" s="22"/>
      <c r="AK515" s="33"/>
      <c r="AL515" s="36"/>
    </row>
    <row r="516" spans="1:39" ht="14.45" customHeight="1" x14ac:dyDescent="0.25">
      <c r="A516" s="17">
        <v>21</v>
      </c>
      <c r="B516" s="78">
        <v>1385</v>
      </c>
      <c r="C516" s="50" t="s">
        <v>5805</v>
      </c>
      <c r="D516" s="20" t="s">
        <v>2503</v>
      </c>
      <c r="E516" s="22" t="s">
        <v>56</v>
      </c>
      <c r="F516" s="22" t="s">
        <v>41</v>
      </c>
      <c r="G516" s="23" t="s">
        <v>227</v>
      </c>
      <c r="H516" s="22" t="s">
        <v>228</v>
      </c>
      <c r="I516" s="22" t="s">
        <v>44</v>
      </c>
      <c r="J516" s="22" t="s">
        <v>1148</v>
      </c>
      <c r="K516" s="24">
        <v>45505</v>
      </c>
      <c r="L516" s="25"/>
      <c r="M516" s="26"/>
      <c r="N516" s="26"/>
      <c r="O516" s="27"/>
      <c r="P516" s="28"/>
      <c r="Q516" s="29"/>
      <c r="R516" s="26"/>
      <c r="S516" s="23" t="s">
        <v>84</v>
      </c>
      <c r="T516" s="23"/>
      <c r="U516" s="23"/>
      <c r="V516" s="23"/>
      <c r="W516" s="30">
        <v>44166</v>
      </c>
      <c r="X516" s="30">
        <v>44197</v>
      </c>
      <c r="Y516" s="30">
        <v>44197</v>
      </c>
      <c r="Z516" s="31" t="str">
        <f t="shared" ca="1" si="36"/>
        <v>4 Tahun 9 Bulan 30 Hari</v>
      </c>
      <c r="AA516" s="31" t="s">
        <v>2050</v>
      </c>
      <c r="AB516" s="32">
        <v>34414</v>
      </c>
      <c r="AC516" s="32" t="s">
        <v>2504</v>
      </c>
      <c r="AD516" s="22" t="str">
        <f t="shared" ca="1" si="34"/>
        <v xml:space="preserve">31 Tahun 7 Bulan </v>
      </c>
      <c r="AE516" s="33" t="s">
        <v>1106</v>
      </c>
      <c r="AF516" s="34"/>
      <c r="AG516" s="6" t="s">
        <v>2410</v>
      </c>
      <c r="AH516" s="38"/>
      <c r="AI516" s="38"/>
      <c r="AJ516" s="38"/>
      <c r="AK516" s="38" t="s">
        <v>112</v>
      </c>
      <c r="AL516" s="38"/>
      <c r="AM516" s="47"/>
    </row>
    <row r="517" spans="1:39" ht="14.45" customHeight="1" x14ac:dyDescent="0.25">
      <c r="A517" s="17">
        <v>22</v>
      </c>
      <c r="B517" s="78">
        <v>1395</v>
      </c>
      <c r="C517" s="50" t="s">
        <v>5806</v>
      </c>
      <c r="D517" s="20" t="s">
        <v>2505</v>
      </c>
      <c r="E517" s="22" t="s">
        <v>56</v>
      </c>
      <c r="F517" s="22" t="s">
        <v>41</v>
      </c>
      <c r="G517" s="23" t="s">
        <v>227</v>
      </c>
      <c r="H517" s="22" t="s">
        <v>228</v>
      </c>
      <c r="I517" s="22" t="s">
        <v>44</v>
      </c>
      <c r="J517" s="22" t="s">
        <v>1148</v>
      </c>
      <c r="K517" s="24">
        <v>45200</v>
      </c>
      <c r="L517" s="25"/>
      <c r="M517" s="26"/>
      <c r="N517" s="26"/>
      <c r="O517" s="27"/>
      <c r="P517" s="28"/>
      <c r="Q517" s="29"/>
      <c r="R517" s="26"/>
      <c r="S517" s="23" t="s">
        <v>84</v>
      </c>
      <c r="T517" s="23"/>
      <c r="U517" s="23"/>
      <c r="V517" s="23"/>
      <c r="W517" s="30">
        <v>44166</v>
      </c>
      <c r="X517" s="30">
        <v>44197</v>
      </c>
      <c r="Y517" s="30">
        <v>44197</v>
      </c>
      <c r="Z517" s="31" t="str">
        <f t="shared" ca="1" si="36"/>
        <v>4 Tahun 9 Bulan 30 Hari</v>
      </c>
      <c r="AA517" s="31" t="s">
        <v>97</v>
      </c>
      <c r="AB517" s="32">
        <v>34456</v>
      </c>
      <c r="AC517" s="32" t="s">
        <v>2506</v>
      </c>
      <c r="AD517" s="22" t="str">
        <f t="shared" ca="1" si="34"/>
        <v xml:space="preserve">31 Tahun 5 Bulan </v>
      </c>
      <c r="AE517" s="33" t="s">
        <v>1106</v>
      </c>
      <c r="AF517" s="34"/>
      <c r="AG517" s="22" t="s">
        <v>2410</v>
      </c>
      <c r="AH517" s="22"/>
      <c r="AI517" s="22"/>
      <c r="AJ517" s="22"/>
      <c r="AK517" s="33" t="s">
        <v>676</v>
      </c>
      <c r="AL517" s="36"/>
    </row>
    <row r="518" spans="1:39" ht="14.45" customHeight="1" x14ac:dyDescent="0.25">
      <c r="A518" s="17">
        <v>23</v>
      </c>
      <c r="B518" s="78">
        <v>1382</v>
      </c>
      <c r="C518" s="50" t="s">
        <v>5807</v>
      </c>
      <c r="D518" s="20" t="s">
        <v>2507</v>
      </c>
      <c r="E518" s="22" t="s">
        <v>56</v>
      </c>
      <c r="F518" s="22" t="s">
        <v>41</v>
      </c>
      <c r="G518" s="23" t="s">
        <v>227</v>
      </c>
      <c r="H518" s="22" t="s">
        <v>228</v>
      </c>
      <c r="I518" s="22" t="s">
        <v>44</v>
      </c>
      <c r="J518" s="22" t="s">
        <v>1148</v>
      </c>
      <c r="K518" s="24">
        <v>45200</v>
      </c>
      <c r="L518" s="25"/>
      <c r="M518" s="26"/>
      <c r="N518" s="26"/>
      <c r="O518" s="27"/>
      <c r="P518" s="28"/>
      <c r="Q518" s="29"/>
      <c r="R518" s="26"/>
      <c r="S518" s="23" t="s">
        <v>84</v>
      </c>
      <c r="T518" s="23"/>
      <c r="U518" s="23"/>
      <c r="V518" s="23"/>
      <c r="W518" s="30">
        <v>44166</v>
      </c>
      <c r="X518" s="30">
        <v>44197</v>
      </c>
      <c r="Y518" s="30">
        <v>44197</v>
      </c>
      <c r="Z518" s="31" t="str">
        <f t="shared" ca="1" si="36"/>
        <v>4 Tahun 9 Bulan 30 Hari</v>
      </c>
      <c r="AA518" s="31" t="s">
        <v>2508</v>
      </c>
      <c r="AB518" s="32">
        <v>34764</v>
      </c>
      <c r="AC518" s="32" t="s">
        <v>2509</v>
      </c>
      <c r="AD518" s="22" t="str">
        <f t="shared" ca="1" si="34"/>
        <v xml:space="preserve">30 Tahun 7 Bulan </v>
      </c>
      <c r="AE518" s="33" t="s">
        <v>1106</v>
      </c>
      <c r="AF518" s="34"/>
      <c r="AG518" s="6" t="s">
        <v>2410</v>
      </c>
      <c r="AH518" s="22"/>
      <c r="AI518" s="22"/>
      <c r="AJ518" s="22"/>
      <c r="AK518" s="33" t="s">
        <v>676</v>
      </c>
      <c r="AL518" s="36"/>
    </row>
    <row r="519" spans="1:39" ht="14.45" customHeight="1" x14ac:dyDescent="0.25">
      <c r="A519" s="17">
        <v>24</v>
      </c>
      <c r="B519" s="134"/>
      <c r="C519" s="50" t="s">
        <v>2510</v>
      </c>
      <c r="D519" s="20" t="s">
        <v>2511</v>
      </c>
      <c r="E519" s="58" t="s">
        <v>56</v>
      </c>
      <c r="F519" s="22" t="s">
        <v>41</v>
      </c>
      <c r="G519" s="23" t="s">
        <v>227</v>
      </c>
      <c r="H519" s="22" t="s">
        <v>228</v>
      </c>
      <c r="I519" s="22" t="s">
        <v>44</v>
      </c>
      <c r="J519" s="22" t="s">
        <v>1104</v>
      </c>
      <c r="K519" s="30">
        <v>44621</v>
      </c>
      <c r="L519" s="25" t="s">
        <v>2512</v>
      </c>
      <c r="M519" s="26">
        <v>42290</v>
      </c>
      <c r="N519" s="26">
        <v>43845</v>
      </c>
      <c r="O519" s="27" t="s">
        <v>84</v>
      </c>
      <c r="P519" s="28" t="s">
        <v>2513</v>
      </c>
      <c r="Q519" s="29">
        <v>42774</v>
      </c>
      <c r="R519" s="26">
        <v>43845</v>
      </c>
      <c r="S519" s="33" t="s">
        <v>84</v>
      </c>
      <c r="T519" s="33">
        <v>2014</v>
      </c>
      <c r="U519" s="33"/>
      <c r="V519" s="33"/>
      <c r="W519" s="30">
        <v>44621</v>
      </c>
      <c r="X519" s="30">
        <v>42095</v>
      </c>
      <c r="Y519" s="30">
        <v>42114</v>
      </c>
      <c r="Z519" s="55" t="str">
        <f t="shared" ca="1" si="36"/>
        <v>10 Tahun 6 Bulan 30 Hari</v>
      </c>
      <c r="AA519" s="66" t="s">
        <v>76</v>
      </c>
      <c r="AB519" s="56">
        <v>33253</v>
      </c>
      <c r="AC519" s="31" t="s">
        <v>2514</v>
      </c>
      <c r="AD519" s="57" t="str">
        <f t="shared" ca="1" si="34"/>
        <v xml:space="preserve">34 Tahun 9 Bulan </v>
      </c>
      <c r="AE519" s="33" t="s">
        <v>1106</v>
      </c>
      <c r="AF519" s="71"/>
      <c r="AG519" s="22" t="s">
        <v>2410</v>
      </c>
      <c r="AH519" s="22"/>
      <c r="AI519" s="22"/>
      <c r="AJ519" s="22"/>
      <c r="AK519" s="33" t="s">
        <v>676</v>
      </c>
      <c r="AL519" s="36"/>
    </row>
    <row r="520" spans="1:39" ht="14.45" customHeight="1" x14ac:dyDescent="0.25">
      <c r="A520" s="17">
        <v>25</v>
      </c>
      <c r="B520" s="78">
        <v>1391</v>
      </c>
      <c r="C520" s="50" t="s">
        <v>5808</v>
      </c>
      <c r="D520" s="20" t="s">
        <v>2515</v>
      </c>
      <c r="E520" s="22" t="s">
        <v>56</v>
      </c>
      <c r="F520" s="22" t="s">
        <v>41</v>
      </c>
      <c r="G520" s="23" t="s">
        <v>227</v>
      </c>
      <c r="H520" s="22" t="s">
        <v>228</v>
      </c>
      <c r="I520" s="22" t="s">
        <v>44</v>
      </c>
      <c r="J520" s="22" t="s">
        <v>1148</v>
      </c>
      <c r="K520" s="24">
        <v>45200</v>
      </c>
      <c r="L520" s="25"/>
      <c r="M520" s="26"/>
      <c r="N520" s="26"/>
      <c r="O520" s="27"/>
      <c r="P520" s="28"/>
      <c r="Q520" s="29"/>
      <c r="R520" s="26"/>
      <c r="S520" s="23" t="s">
        <v>84</v>
      </c>
      <c r="T520" s="23"/>
      <c r="U520" s="23"/>
      <c r="V520" s="23"/>
      <c r="W520" s="30">
        <v>44166</v>
      </c>
      <c r="X520" s="30">
        <v>44197</v>
      </c>
      <c r="Y520" s="30">
        <v>44197</v>
      </c>
      <c r="Z520" s="31" t="str">
        <f t="shared" ca="1" si="36"/>
        <v>4 Tahun 9 Bulan 30 Hari</v>
      </c>
      <c r="AA520" s="31" t="s">
        <v>76</v>
      </c>
      <c r="AB520" s="32">
        <v>34700</v>
      </c>
      <c r="AC520" s="32" t="s">
        <v>2516</v>
      </c>
      <c r="AD520" s="22" t="str">
        <f t="shared" ca="1" si="34"/>
        <v xml:space="preserve">30 Tahun 9 Bulan </v>
      </c>
      <c r="AE520" s="33" t="s">
        <v>1106</v>
      </c>
      <c r="AF520" s="34"/>
      <c r="AG520" s="22" t="s">
        <v>2410</v>
      </c>
      <c r="AH520" s="22"/>
      <c r="AI520" s="22"/>
      <c r="AJ520" s="22"/>
      <c r="AK520" s="33" t="s">
        <v>676</v>
      </c>
      <c r="AL520" s="36"/>
    </row>
    <row r="521" spans="1:39" ht="14.45" customHeight="1" x14ac:dyDescent="0.25">
      <c r="A521" s="17">
        <v>26</v>
      </c>
      <c r="B521" s="78"/>
      <c r="C521" s="50" t="s">
        <v>2517</v>
      </c>
      <c r="D521" s="20" t="s">
        <v>2518</v>
      </c>
      <c r="E521" s="21" t="s">
        <v>40</v>
      </c>
      <c r="F521" s="22" t="s">
        <v>41</v>
      </c>
      <c r="G521" s="23" t="s">
        <v>227</v>
      </c>
      <c r="H521" s="22" t="s">
        <v>228</v>
      </c>
      <c r="I521" s="22" t="s">
        <v>155</v>
      </c>
      <c r="J521" s="22" t="s">
        <v>1341</v>
      </c>
      <c r="K521" s="24">
        <v>43466</v>
      </c>
      <c r="L521" s="22"/>
      <c r="M521" s="22"/>
      <c r="N521" s="22"/>
      <c r="O521" s="22"/>
      <c r="P521" s="22"/>
      <c r="Q521" s="22"/>
      <c r="R521" s="22"/>
      <c r="S521" s="23" t="s">
        <v>1339</v>
      </c>
      <c r="T521" s="23"/>
      <c r="U521" s="23"/>
      <c r="V521" s="23"/>
      <c r="W521" s="30">
        <v>32933</v>
      </c>
      <c r="X521" s="30">
        <v>32933</v>
      </c>
      <c r="Y521" s="30">
        <v>44044</v>
      </c>
      <c r="Z521" s="31" t="str">
        <f ca="1">DATEDIF(W521,TODAY(),"y")&amp;" Tahun "&amp;DATEDIF(W521,TODAY(),"ym")&amp;" Bulan "&amp;DATEDIF(W521,TODAY(),"md")&amp;" Hari"</f>
        <v>35 Tahun 7 Bulan 30 Hari</v>
      </c>
      <c r="AA521" s="31" t="s">
        <v>76</v>
      </c>
      <c r="AB521" s="32">
        <v>25529</v>
      </c>
      <c r="AC521" s="31" t="s">
        <v>2519</v>
      </c>
      <c r="AD521" s="22" t="str">
        <f t="shared" ca="1" si="34"/>
        <v xml:space="preserve">55 Tahun 11 Bulan </v>
      </c>
      <c r="AE521" s="33" t="s">
        <v>2520</v>
      </c>
      <c r="AF521" s="34"/>
      <c r="AG521" s="6" t="s">
        <v>2410</v>
      </c>
      <c r="AH521" s="58"/>
      <c r="AI521" s="58"/>
      <c r="AJ521" s="58"/>
      <c r="AK521" s="38" t="s">
        <v>112</v>
      </c>
      <c r="AL521" s="36"/>
    </row>
    <row r="522" spans="1:39" ht="14.45" customHeight="1" x14ac:dyDescent="0.25">
      <c r="A522" s="17">
        <v>27</v>
      </c>
      <c r="B522" s="72"/>
      <c r="C522" s="143" t="s">
        <v>2521</v>
      </c>
      <c r="D522" s="45" t="s">
        <v>2522</v>
      </c>
      <c r="E522" s="46" t="s">
        <v>40</v>
      </c>
      <c r="F522" s="6" t="s">
        <v>41</v>
      </c>
      <c r="G522" s="15" t="s">
        <v>227</v>
      </c>
      <c r="H522" s="6" t="s">
        <v>228</v>
      </c>
      <c r="I522" s="6" t="s">
        <v>155</v>
      </c>
      <c r="J522" s="6" t="s">
        <v>1338</v>
      </c>
      <c r="K522" s="24">
        <v>43466</v>
      </c>
      <c r="L522" s="149"/>
      <c r="M522" s="145"/>
      <c r="N522" s="145"/>
      <c r="O522" s="146"/>
      <c r="P522" s="150"/>
      <c r="Q522" s="176"/>
      <c r="R522" s="176"/>
      <c r="S522" s="15" t="s">
        <v>1339</v>
      </c>
      <c r="T522" s="15"/>
      <c r="U522" s="15"/>
      <c r="V522" s="15"/>
      <c r="W522" s="10">
        <v>34394</v>
      </c>
      <c r="X522" s="10">
        <v>34394</v>
      </c>
      <c r="Y522" s="10">
        <v>43770</v>
      </c>
      <c r="Z522" s="11" t="str">
        <f ca="1">DATEDIF(W522,TODAY(),"y")&amp;" Tahun "&amp;DATEDIF(W522,TODAY(),"ym")&amp;" Bulan "&amp;DATEDIF(W522,TODAY(),"md")&amp;" Hari"</f>
        <v>31 Tahun 7 Bulan 30 Hari</v>
      </c>
      <c r="AA522" s="11" t="s">
        <v>76</v>
      </c>
      <c r="AB522" s="48">
        <v>24937</v>
      </c>
      <c r="AC522" s="48" t="s">
        <v>2523</v>
      </c>
      <c r="AD522" s="6" t="str">
        <f t="shared" ca="1" si="34"/>
        <v xml:space="preserve">57 Tahun 6 Bulan </v>
      </c>
      <c r="AE522" s="8" t="s">
        <v>2520</v>
      </c>
      <c r="AG522" s="22" t="s">
        <v>2410</v>
      </c>
      <c r="AH522" s="22"/>
      <c r="AI522" s="22"/>
      <c r="AJ522" s="22"/>
      <c r="AK522" s="33" t="s">
        <v>676</v>
      </c>
      <c r="AL522" s="36"/>
    </row>
    <row r="523" spans="1:39" ht="14.45" customHeight="1" x14ac:dyDescent="0.25">
      <c r="A523" s="17">
        <v>28</v>
      </c>
      <c r="B523" s="52"/>
      <c r="C523" s="50" t="s">
        <v>2524</v>
      </c>
      <c r="D523" s="20" t="s">
        <v>2525</v>
      </c>
      <c r="E523" s="52" t="s">
        <v>56</v>
      </c>
      <c r="F523" s="22" t="s">
        <v>41</v>
      </c>
      <c r="G523" s="23" t="s">
        <v>227</v>
      </c>
      <c r="H523" s="22" t="s">
        <v>228</v>
      </c>
      <c r="I523" s="22" t="s">
        <v>44</v>
      </c>
      <c r="J523" s="22" t="s">
        <v>1104</v>
      </c>
      <c r="K523" s="77">
        <v>44621</v>
      </c>
      <c r="L523" s="25"/>
      <c r="M523" s="26"/>
      <c r="N523" s="26"/>
      <c r="O523" s="27"/>
      <c r="P523" s="28"/>
      <c r="Q523" s="29"/>
      <c r="R523" s="26"/>
      <c r="S523" s="23" t="s">
        <v>84</v>
      </c>
      <c r="T523" s="23">
        <v>2018</v>
      </c>
      <c r="U523" s="23"/>
      <c r="V523" s="23"/>
      <c r="W523" s="77">
        <v>44621</v>
      </c>
      <c r="X523" s="77">
        <v>44621</v>
      </c>
      <c r="Y523" s="77">
        <v>44621</v>
      </c>
      <c r="Z523" s="55" t="str">
        <f t="shared" ref="Z523:Z546" ca="1" si="37">DATEDIF(X523,TODAY(),"y")&amp;" Tahun "&amp;DATEDIF(X523,TODAY(),"ym")&amp;" Bulan "&amp;DATEDIF(X523,TODAY(),"md")&amp;" Hari"</f>
        <v>3 Tahun 7 Bulan 30 Hari</v>
      </c>
      <c r="AA523" s="55" t="s">
        <v>76</v>
      </c>
      <c r="AB523" s="56">
        <v>34563</v>
      </c>
      <c r="AC523" s="32" t="s">
        <v>2526</v>
      </c>
      <c r="AD523" s="57" t="str">
        <f t="shared" ca="1" si="34"/>
        <v xml:space="preserve">31 Tahun 2 Bulan </v>
      </c>
      <c r="AE523" s="33" t="s">
        <v>1106</v>
      </c>
      <c r="AF523" s="71"/>
      <c r="AG523" s="6" t="s">
        <v>2410</v>
      </c>
      <c r="AH523" s="22"/>
      <c r="AI523" s="22"/>
      <c r="AJ523" s="22"/>
      <c r="AK523" s="33"/>
      <c r="AL523" s="36"/>
      <c r="AM523" s="14"/>
    </row>
    <row r="524" spans="1:39" ht="14.45" customHeight="1" x14ac:dyDescent="0.25">
      <c r="A524" s="17">
        <v>29</v>
      </c>
      <c r="B524" s="52"/>
      <c r="C524" s="50" t="s">
        <v>2527</v>
      </c>
      <c r="D524" s="20" t="s">
        <v>2528</v>
      </c>
      <c r="E524" s="52" t="s">
        <v>56</v>
      </c>
      <c r="F524" s="22" t="s">
        <v>41</v>
      </c>
      <c r="G524" s="23" t="s">
        <v>227</v>
      </c>
      <c r="H524" s="22" t="s">
        <v>228</v>
      </c>
      <c r="I524" s="22" t="s">
        <v>44</v>
      </c>
      <c r="J524" s="22" t="s">
        <v>1104</v>
      </c>
      <c r="K524" s="77">
        <v>44621</v>
      </c>
      <c r="L524" s="25"/>
      <c r="M524" s="26"/>
      <c r="N524" s="26"/>
      <c r="O524" s="27"/>
      <c r="P524" s="28"/>
      <c r="Q524" s="29"/>
      <c r="R524" s="26"/>
      <c r="S524" s="23" t="s">
        <v>84</v>
      </c>
      <c r="T524" s="23"/>
      <c r="U524" s="23"/>
      <c r="V524" s="23"/>
      <c r="W524" s="77">
        <v>44621</v>
      </c>
      <c r="X524" s="77">
        <v>44621</v>
      </c>
      <c r="Y524" s="77">
        <v>44621</v>
      </c>
      <c r="Z524" s="55" t="str">
        <f t="shared" ca="1" si="37"/>
        <v>3 Tahun 7 Bulan 30 Hari</v>
      </c>
      <c r="AA524" s="55" t="s">
        <v>697</v>
      </c>
      <c r="AB524" s="56">
        <v>35249</v>
      </c>
      <c r="AC524" s="32" t="s">
        <v>2529</v>
      </c>
      <c r="AD524" s="57" t="str">
        <f t="shared" ca="1" si="34"/>
        <v xml:space="preserve">29 Tahun 3 Bulan </v>
      </c>
      <c r="AE524" s="33" t="s">
        <v>1106</v>
      </c>
      <c r="AF524" s="71"/>
      <c r="AG524" s="6" t="s">
        <v>2410</v>
      </c>
    </row>
    <row r="525" spans="1:39" ht="14.45" customHeight="1" x14ac:dyDescent="0.25">
      <c r="A525" s="17">
        <v>30</v>
      </c>
      <c r="B525" s="78"/>
      <c r="C525" s="50" t="s">
        <v>2530</v>
      </c>
      <c r="D525" s="20" t="s">
        <v>2531</v>
      </c>
      <c r="E525" s="21" t="s">
        <v>56</v>
      </c>
      <c r="F525" s="22" t="s">
        <v>238</v>
      </c>
      <c r="G525" s="33" t="s">
        <v>3872</v>
      </c>
      <c r="H525" s="22" t="s">
        <v>1078</v>
      </c>
      <c r="I525" s="22" t="s">
        <v>44</v>
      </c>
      <c r="J525" s="22" t="s">
        <v>1293</v>
      </c>
      <c r="K525" s="30"/>
      <c r="L525" s="53" t="s">
        <v>2532</v>
      </c>
      <c r="M525" s="26">
        <v>43117</v>
      </c>
      <c r="N525" s="26">
        <v>45012</v>
      </c>
      <c r="O525" s="27" t="s">
        <v>148</v>
      </c>
      <c r="P525" s="53" t="s">
        <v>2533</v>
      </c>
      <c r="Q525" s="26">
        <v>43242</v>
      </c>
      <c r="R525" s="26">
        <v>45012</v>
      </c>
      <c r="S525" s="23" t="s">
        <v>1167</v>
      </c>
      <c r="T525" s="23"/>
      <c r="U525" s="23"/>
      <c r="V525" s="23"/>
      <c r="W525" s="77">
        <v>45047</v>
      </c>
      <c r="X525" s="30">
        <v>38899</v>
      </c>
      <c r="Y525" s="30">
        <v>38899</v>
      </c>
      <c r="Z525" s="31" t="str">
        <f t="shared" ca="1" si="37"/>
        <v>19 Tahun 3 Bulan 30 Hari</v>
      </c>
      <c r="AA525" s="31" t="s">
        <v>76</v>
      </c>
      <c r="AB525" s="32">
        <v>30768</v>
      </c>
      <c r="AC525" s="31" t="s">
        <v>2534</v>
      </c>
      <c r="AD525" s="22" t="str">
        <f t="shared" ca="1" si="34"/>
        <v xml:space="preserve">41 Tahun 7 Bulan </v>
      </c>
      <c r="AE525" s="33" t="s">
        <v>1106</v>
      </c>
      <c r="AF525" s="34"/>
      <c r="AG525" s="22" t="s">
        <v>2410</v>
      </c>
      <c r="AH525" s="58"/>
      <c r="AI525" s="58"/>
      <c r="AJ525" s="58"/>
      <c r="AK525" s="33"/>
      <c r="AL525" s="36"/>
    </row>
    <row r="526" spans="1:39" ht="14.45" customHeight="1" x14ac:dyDescent="0.25">
      <c r="A526" s="17">
        <v>31</v>
      </c>
      <c r="B526" s="78"/>
      <c r="C526" s="50" t="s">
        <v>2535</v>
      </c>
      <c r="D526" s="20" t="s">
        <v>2536</v>
      </c>
      <c r="E526" s="21" t="s">
        <v>56</v>
      </c>
      <c r="F526" s="22" t="s">
        <v>238</v>
      </c>
      <c r="G526" s="33" t="s">
        <v>3872</v>
      </c>
      <c r="H526" s="22" t="s">
        <v>1078</v>
      </c>
      <c r="I526" s="22" t="s">
        <v>44</v>
      </c>
      <c r="J526" s="22" t="s">
        <v>1293</v>
      </c>
      <c r="K526" s="30"/>
      <c r="L526" s="53" t="s">
        <v>2537</v>
      </c>
      <c r="M526" s="26">
        <v>43117</v>
      </c>
      <c r="N526" s="26">
        <v>45122</v>
      </c>
      <c r="O526" s="27" t="s">
        <v>148</v>
      </c>
      <c r="P526" s="53" t="s">
        <v>2538</v>
      </c>
      <c r="Q526" s="26">
        <v>43322</v>
      </c>
      <c r="R526" s="29">
        <v>45120</v>
      </c>
      <c r="S526" s="23" t="s">
        <v>1167</v>
      </c>
      <c r="T526" s="23"/>
      <c r="U526" s="23"/>
      <c r="V526" s="23"/>
      <c r="W526" s="77">
        <v>45047</v>
      </c>
      <c r="X526" s="30">
        <v>39424</v>
      </c>
      <c r="Y526" s="30">
        <v>39424</v>
      </c>
      <c r="Z526" s="31" t="str">
        <f t="shared" ca="1" si="37"/>
        <v>17 Tahun 10 Bulan 23 Hari</v>
      </c>
      <c r="AA526" s="31" t="s">
        <v>76</v>
      </c>
      <c r="AB526" s="32">
        <v>31243</v>
      </c>
      <c r="AC526" s="31" t="s">
        <v>2539</v>
      </c>
      <c r="AD526" s="22" t="str">
        <f t="shared" ca="1" si="34"/>
        <v xml:space="preserve">40 Tahun 3 Bulan </v>
      </c>
      <c r="AE526" s="33" t="s">
        <v>1106</v>
      </c>
      <c r="AF526" s="34"/>
      <c r="AG526" s="6" t="s">
        <v>2410</v>
      </c>
      <c r="AH526" s="58"/>
      <c r="AI526" s="58"/>
      <c r="AJ526" s="58"/>
      <c r="AK526" s="33"/>
      <c r="AL526" s="36"/>
    </row>
    <row r="527" spans="1:39" ht="14.45" customHeight="1" x14ac:dyDescent="0.25">
      <c r="A527" s="17">
        <v>32</v>
      </c>
      <c r="B527" s="78"/>
      <c r="C527" s="50" t="s">
        <v>2540</v>
      </c>
      <c r="D527" s="20" t="s">
        <v>2541</v>
      </c>
      <c r="E527" s="21" t="s">
        <v>56</v>
      </c>
      <c r="F527" s="22" t="s">
        <v>238</v>
      </c>
      <c r="G527" s="23" t="s">
        <v>3872</v>
      </c>
      <c r="H527" s="58" t="s">
        <v>1078</v>
      </c>
      <c r="I527" s="58" t="s">
        <v>44</v>
      </c>
      <c r="J527" s="58" t="s">
        <v>1293</v>
      </c>
      <c r="K527" s="30"/>
      <c r="L527" s="53" t="s">
        <v>2542</v>
      </c>
      <c r="M527" s="26">
        <v>43046</v>
      </c>
      <c r="N527" s="26">
        <v>44705</v>
      </c>
      <c r="O527" s="27" t="s">
        <v>148</v>
      </c>
      <c r="P527" s="53" t="s">
        <v>2543</v>
      </c>
      <c r="Q527" s="26">
        <v>43242</v>
      </c>
      <c r="R527" s="26">
        <v>44705</v>
      </c>
      <c r="S527" s="23" t="s">
        <v>1172</v>
      </c>
      <c r="T527" s="23"/>
      <c r="U527" s="23"/>
      <c r="V527" s="23"/>
      <c r="W527" s="30">
        <v>45047</v>
      </c>
      <c r="X527" s="30">
        <v>40330</v>
      </c>
      <c r="Y527" s="30">
        <v>40360</v>
      </c>
      <c r="Z527" s="31" t="str">
        <f t="shared" ca="1" si="37"/>
        <v>15 Tahun 4 Bulan 30 Hari</v>
      </c>
      <c r="AA527" s="31" t="s">
        <v>76</v>
      </c>
      <c r="AB527" s="32">
        <v>30826</v>
      </c>
      <c r="AC527" s="31" t="s">
        <v>2544</v>
      </c>
      <c r="AD527" s="22" t="str">
        <f t="shared" ca="1" si="34"/>
        <v xml:space="preserve">41 Tahun 5 Bulan </v>
      </c>
      <c r="AE527" s="33" t="s">
        <v>1106</v>
      </c>
      <c r="AF527" s="34"/>
      <c r="AG527" s="22" t="s">
        <v>2410</v>
      </c>
      <c r="AH527" s="22"/>
      <c r="AI527" s="22"/>
      <c r="AJ527" s="22"/>
      <c r="AK527" s="33" t="s">
        <v>314</v>
      </c>
      <c r="AL527" s="36"/>
    </row>
    <row r="528" spans="1:39" ht="14.45" customHeight="1" x14ac:dyDescent="0.25">
      <c r="A528" s="17">
        <v>33</v>
      </c>
      <c r="B528" s="78"/>
      <c r="C528" s="50" t="s">
        <v>2545</v>
      </c>
      <c r="D528" s="20" t="s">
        <v>2546</v>
      </c>
      <c r="E528" s="21" t="s">
        <v>56</v>
      </c>
      <c r="F528" s="22" t="s">
        <v>238</v>
      </c>
      <c r="G528" s="23" t="s">
        <v>3872</v>
      </c>
      <c r="H528" s="58" t="s">
        <v>1078</v>
      </c>
      <c r="I528" s="58" t="s">
        <v>44</v>
      </c>
      <c r="J528" s="58" t="s">
        <v>1293</v>
      </c>
      <c r="K528" s="30"/>
      <c r="L528" s="53" t="s">
        <v>2547</v>
      </c>
      <c r="M528" s="26">
        <v>43046</v>
      </c>
      <c r="N528" s="26">
        <v>44901</v>
      </c>
      <c r="O528" s="27" t="s">
        <v>148</v>
      </c>
      <c r="P528" s="53" t="s">
        <v>2548</v>
      </c>
      <c r="Q528" s="26">
        <v>43322</v>
      </c>
      <c r="R528" s="29">
        <v>44901</v>
      </c>
      <c r="S528" s="33" t="s">
        <v>1172</v>
      </c>
      <c r="T528" s="33"/>
      <c r="U528" s="33"/>
      <c r="V528" s="33"/>
      <c r="W528" s="30">
        <v>45047</v>
      </c>
      <c r="X528" s="30">
        <v>40695</v>
      </c>
      <c r="Y528" s="30">
        <v>40756</v>
      </c>
      <c r="Z528" s="31" t="str">
        <f t="shared" ca="1" si="37"/>
        <v>14 Tahun 4 Bulan 30 Hari</v>
      </c>
      <c r="AA528" s="31" t="s">
        <v>1534</v>
      </c>
      <c r="AB528" s="32">
        <v>31752</v>
      </c>
      <c r="AC528" s="31" t="s">
        <v>2549</v>
      </c>
      <c r="AD528" s="22" t="str">
        <f t="shared" ca="1" si="34"/>
        <v xml:space="preserve">38 Tahun 10 Bulan </v>
      </c>
      <c r="AE528" s="33" t="s">
        <v>1106</v>
      </c>
      <c r="AF528" s="34"/>
      <c r="AG528" s="6" t="s">
        <v>2410</v>
      </c>
      <c r="AH528" s="22"/>
      <c r="AI528" s="22"/>
      <c r="AJ528" s="22"/>
      <c r="AK528" s="33" t="s">
        <v>314</v>
      </c>
      <c r="AL528" s="36"/>
    </row>
    <row r="529" spans="1:39" ht="14.45" customHeight="1" x14ac:dyDescent="0.25">
      <c r="A529" s="17">
        <v>34</v>
      </c>
      <c r="B529" s="134"/>
      <c r="C529" s="139" t="s">
        <v>2550</v>
      </c>
      <c r="D529" s="20" t="s">
        <v>2551</v>
      </c>
      <c r="E529" s="52" t="s">
        <v>56</v>
      </c>
      <c r="F529" s="22" t="s">
        <v>238</v>
      </c>
      <c r="G529" s="59" t="s">
        <v>3872</v>
      </c>
      <c r="H529" s="22" t="s">
        <v>1078</v>
      </c>
      <c r="I529" s="22" t="s">
        <v>44</v>
      </c>
      <c r="J529" s="22" t="s">
        <v>1293</v>
      </c>
      <c r="K529" s="22"/>
      <c r="L529" s="53" t="s">
        <v>2552</v>
      </c>
      <c r="M529" s="26">
        <v>43307</v>
      </c>
      <c r="N529" s="26">
        <v>45080</v>
      </c>
      <c r="O529" s="40" t="s">
        <v>1155</v>
      </c>
      <c r="P529" s="53" t="s">
        <v>2553</v>
      </c>
      <c r="Q529" s="26">
        <v>43367</v>
      </c>
      <c r="R529" s="26">
        <v>45080</v>
      </c>
      <c r="S529" s="85" t="s">
        <v>1172</v>
      </c>
      <c r="T529" s="85"/>
      <c r="U529" s="85"/>
      <c r="V529" s="85"/>
      <c r="W529" s="177">
        <v>45383</v>
      </c>
      <c r="X529" s="30">
        <v>41030</v>
      </c>
      <c r="Y529" s="30">
        <v>41061</v>
      </c>
      <c r="Z529" s="55" t="str">
        <f t="shared" ca="1" si="37"/>
        <v>13 Tahun 5 Bulan 30 Hari</v>
      </c>
      <c r="AA529" s="66" t="s">
        <v>76</v>
      </c>
      <c r="AB529" s="83">
        <v>33027</v>
      </c>
      <c r="AC529" s="102" t="s">
        <v>2554</v>
      </c>
      <c r="AD529" s="57" t="str">
        <f t="shared" ca="1" si="34"/>
        <v xml:space="preserve">35 Tahun 4 Bulan </v>
      </c>
      <c r="AE529" s="33" t="s">
        <v>1106</v>
      </c>
      <c r="AF529" s="71"/>
      <c r="AG529" s="6" t="s">
        <v>2410</v>
      </c>
      <c r="AH529" s="22"/>
      <c r="AI529" s="22"/>
      <c r="AJ529" s="22"/>
      <c r="AK529" s="33" t="s">
        <v>314</v>
      </c>
      <c r="AL529" s="36"/>
    </row>
    <row r="530" spans="1:39" ht="14.45" customHeight="1" x14ac:dyDescent="0.25">
      <c r="A530" s="17">
        <v>35</v>
      </c>
      <c r="B530" s="78"/>
      <c r="C530" s="50" t="s">
        <v>2556</v>
      </c>
      <c r="D530" s="62" t="s">
        <v>2557</v>
      </c>
      <c r="E530" s="52" t="s">
        <v>56</v>
      </c>
      <c r="F530" s="22" t="s">
        <v>238</v>
      </c>
      <c r="G530" s="23" t="s">
        <v>3872</v>
      </c>
      <c r="H530" s="22" t="s">
        <v>1078</v>
      </c>
      <c r="I530" s="22" t="s">
        <v>44</v>
      </c>
      <c r="J530" s="22" t="s">
        <v>1293</v>
      </c>
      <c r="K530" s="30"/>
      <c r="L530" s="25" t="s">
        <v>2558</v>
      </c>
      <c r="M530" s="29">
        <v>42481</v>
      </c>
      <c r="N530" s="26">
        <v>44297</v>
      </c>
      <c r="O530" s="27" t="s">
        <v>148</v>
      </c>
      <c r="P530" s="28" t="s">
        <v>2559</v>
      </c>
      <c r="Q530" s="29">
        <v>43124</v>
      </c>
      <c r="R530" s="26">
        <v>44297</v>
      </c>
      <c r="S530" s="23" t="s">
        <v>1172</v>
      </c>
      <c r="T530" s="23"/>
      <c r="U530" s="23"/>
      <c r="V530" s="23"/>
      <c r="W530" s="30">
        <v>45047</v>
      </c>
      <c r="X530" s="30">
        <v>43070</v>
      </c>
      <c r="Y530" s="30">
        <v>43070</v>
      </c>
      <c r="Z530" s="55" t="str">
        <f t="shared" ca="1" si="37"/>
        <v>7 Tahun 10 Bulan 30 Hari</v>
      </c>
      <c r="AA530" s="55" t="s">
        <v>76</v>
      </c>
      <c r="AB530" s="56">
        <v>34800</v>
      </c>
      <c r="AC530" s="32" t="s">
        <v>2560</v>
      </c>
      <c r="AD530" s="57" t="str">
        <f t="shared" ca="1" si="34"/>
        <v xml:space="preserve">30 Tahun 6 Bulan </v>
      </c>
      <c r="AE530" s="33" t="s">
        <v>1106</v>
      </c>
      <c r="AF530" s="34"/>
      <c r="AG530" s="22" t="s">
        <v>2410</v>
      </c>
      <c r="AH530" s="22"/>
      <c r="AI530" s="22"/>
      <c r="AJ530" s="22"/>
      <c r="AK530" s="33" t="s">
        <v>314</v>
      </c>
      <c r="AL530" s="36"/>
      <c r="AM530" s="14"/>
    </row>
    <row r="531" spans="1:39" ht="14.45" customHeight="1" x14ac:dyDescent="0.25">
      <c r="A531" s="17">
        <v>36</v>
      </c>
      <c r="B531" s="78"/>
      <c r="C531" s="50" t="s">
        <v>2561</v>
      </c>
      <c r="D531" s="62" t="s">
        <v>2562</v>
      </c>
      <c r="E531" s="21" t="s">
        <v>56</v>
      </c>
      <c r="F531" s="22" t="s">
        <v>238</v>
      </c>
      <c r="G531" s="23" t="s">
        <v>3872</v>
      </c>
      <c r="H531" s="22" t="s">
        <v>1078</v>
      </c>
      <c r="I531" s="22" t="s">
        <v>44</v>
      </c>
      <c r="J531" s="22" t="s">
        <v>1293</v>
      </c>
      <c r="K531" s="30"/>
      <c r="L531" s="25" t="s">
        <v>2563</v>
      </c>
      <c r="M531" s="29">
        <v>42759</v>
      </c>
      <c r="N531" s="26">
        <v>44751</v>
      </c>
      <c r="O531" s="27" t="s">
        <v>148</v>
      </c>
      <c r="P531" s="28" t="s">
        <v>2564</v>
      </c>
      <c r="Q531" s="29">
        <v>43124</v>
      </c>
      <c r="R531" s="26">
        <v>44751</v>
      </c>
      <c r="S531" s="23" t="s">
        <v>1172</v>
      </c>
      <c r="T531" s="23"/>
      <c r="U531" s="23"/>
      <c r="V531" s="23"/>
      <c r="W531" s="30">
        <v>45383</v>
      </c>
      <c r="X531" s="30">
        <v>43070</v>
      </c>
      <c r="Y531" s="30">
        <v>43070</v>
      </c>
      <c r="Z531" s="31" t="str">
        <f t="shared" ca="1" si="37"/>
        <v>7 Tahun 10 Bulan 30 Hari</v>
      </c>
      <c r="AA531" s="31" t="s">
        <v>1208</v>
      </c>
      <c r="AB531" s="32">
        <v>34889</v>
      </c>
      <c r="AC531" s="31" t="s">
        <v>2565</v>
      </c>
      <c r="AD531" s="22" t="str">
        <f t="shared" ca="1" si="34"/>
        <v xml:space="preserve">30 Tahun 3 Bulan </v>
      </c>
      <c r="AE531" s="33" t="s">
        <v>1106</v>
      </c>
      <c r="AF531" s="34"/>
      <c r="AG531" s="22" t="s">
        <v>2410</v>
      </c>
      <c r="AH531" s="22"/>
      <c r="AI531" s="22"/>
      <c r="AJ531" s="22"/>
      <c r="AK531" s="33" t="s">
        <v>2555</v>
      </c>
      <c r="AL531" s="36"/>
      <c r="AM531" s="14"/>
    </row>
    <row r="532" spans="1:39" ht="14.45" customHeight="1" x14ac:dyDescent="0.25">
      <c r="A532" s="17">
        <v>37</v>
      </c>
      <c r="B532" s="78"/>
      <c r="C532" s="50" t="s">
        <v>2566</v>
      </c>
      <c r="D532" s="20" t="s">
        <v>2567</v>
      </c>
      <c r="E532" s="21" t="s">
        <v>56</v>
      </c>
      <c r="F532" s="22" t="s">
        <v>238</v>
      </c>
      <c r="G532" s="33" t="s">
        <v>3872</v>
      </c>
      <c r="H532" s="130" t="s">
        <v>1078</v>
      </c>
      <c r="I532" s="130" t="s">
        <v>44</v>
      </c>
      <c r="J532" s="130" t="s">
        <v>1293</v>
      </c>
      <c r="K532" s="22"/>
      <c r="L532" s="25" t="s">
        <v>2568</v>
      </c>
      <c r="M532" s="26">
        <v>42926</v>
      </c>
      <c r="N532" s="26">
        <v>44672</v>
      </c>
      <c r="O532" s="27" t="s">
        <v>1155</v>
      </c>
      <c r="P532" s="53" t="s">
        <v>2569</v>
      </c>
      <c r="Q532" s="26">
        <v>43006</v>
      </c>
      <c r="R532" s="26">
        <v>44672</v>
      </c>
      <c r="S532" s="23" t="s">
        <v>1167</v>
      </c>
      <c r="T532" s="23"/>
      <c r="U532" s="23"/>
      <c r="V532" s="23"/>
      <c r="W532" s="77">
        <v>45047</v>
      </c>
      <c r="X532" s="30">
        <v>39085</v>
      </c>
      <c r="Y532" s="30">
        <v>42339</v>
      </c>
      <c r="Z532" s="31" t="str">
        <f t="shared" ca="1" si="37"/>
        <v>18 Tahun 9 Bulan 28 Hari</v>
      </c>
      <c r="AA532" s="31" t="s">
        <v>76</v>
      </c>
      <c r="AB532" s="32">
        <v>30793</v>
      </c>
      <c r="AC532" s="31" t="s">
        <v>2570</v>
      </c>
      <c r="AD532" s="22" t="str">
        <f t="shared" ca="1" si="34"/>
        <v xml:space="preserve">41 Tahun 6 Bulan </v>
      </c>
      <c r="AE532" s="33" t="s">
        <v>1106</v>
      </c>
      <c r="AF532" s="34"/>
      <c r="AG532" s="22" t="s">
        <v>2410</v>
      </c>
      <c r="AH532" s="22"/>
      <c r="AI532" s="22"/>
      <c r="AJ532" s="22"/>
      <c r="AK532" s="33" t="s">
        <v>314</v>
      </c>
      <c r="AL532" s="36"/>
    </row>
    <row r="533" spans="1:39" ht="14.45" customHeight="1" x14ac:dyDescent="0.25">
      <c r="A533" s="17">
        <v>38</v>
      </c>
      <c r="B533" s="78"/>
      <c r="C533" s="50" t="s">
        <v>2571</v>
      </c>
      <c r="D533" s="62">
        <v>2023120720</v>
      </c>
      <c r="E533" s="21" t="s">
        <v>56</v>
      </c>
      <c r="F533" s="22" t="s">
        <v>1063</v>
      </c>
      <c r="G533" s="23" t="s">
        <v>3872</v>
      </c>
      <c r="H533" s="22" t="s">
        <v>3872</v>
      </c>
      <c r="I533" s="22"/>
      <c r="J533" s="22"/>
      <c r="K533" s="30"/>
      <c r="L533" s="25"/>
      <c r="M533" s="29"/>
      <c r="N533" s="26"/>
      <c r="O533" s="27"/>
      <c r="P533" s="28"/>
      <c r="Q533" s="29"/>
      <c r="R533" s="26"/>
      <c r="S533" s="23" t="s">
        <v>2572</v>
      </c>
      <c r="T533" s="23"/>
      <c r="U533" s="23"/>
      <c r="V533" s="23"/>
      <c r="W533" s="30"/>
      <c r="X533" s="30">
        <v>45261</v>
      </c>
      <c r="Y533" s="30">
        <v>45261</v>
      </c>
      <c r="Z533" s="31" t="str">
        <f t="shared" ca="1" si="37"/>
        <v>1 Tahun 10 Bulan 30 Hari</v>
      </c>
      <c r="AA533" s="31" t="s">
        <v>76</v>
      </c>
      <c r="AB533" s="32">
        <v>32239</v>
      </c>
      <c r="AC533" s="31" t="s">
        <v>2573</v>
      </c>
      <c r="AD533" s="22" t="str">
        <f t="shared" ca="1" si="34"/>
        <v xml:space="preserve">37 Tahun 6 Bulan </v>
      </c>
      <c r="AE533" s="33" t="s">
        <v>1341</v>
      </c>
      <c r="AF533" s="34"/>
      <c r="AG533" s="22" t="s">
        <v>2410</v>
      </c>
      <c r="AH533" s="22"/>
      <c r="AI533" s="22"/>
      <c r="AJ533" s="22"/>
      <c r="AK533" s="33" t="s">
        <v>2555</v>
      </c>
      <c r="AL533" s="36"/>
      <c r="AM533" s="14"/>
    </row>
    <row r="534" spans="1:39" ht="14.45" customHeight="1" x14ac:dyDescent="0.25">
      <c r="A534" s="17">
        <v>39</v>
      </c>
      <c r="B534" s="78"/>
      <c r="C534" s="50" t="s">
        <v>2574</v>
      </c>
      <c r="D534" s="62" t="s">
        <v>5809</v>
      </c>
      <c r="E534" s="21" t="s">
        <v>56</v>
      </c>
      <c r="F534" s="22" t="s">
        <v>5691</v>
      </c>
      <c r="G534" s="23" t="s">
        <v>3872</v>
      </c>
      <c r="H534" s="22" t="s">
        <v>5692</v>
      </c>
      <c r="I534" s="22" t="s">
        <v>155</v>
      </c>
      <c r="J534" s="22" t="s">
        <v>5693</v>
      </c>
      <c r="K534" s="30"/>
      <c r="L534" s="25"/>
      <c r="M534" s="29"/>
      <c r="N534" s="26"/>
      <c r="O534" s="27"/>
      <c r="P534" s="28"/>
      <c r="Q534" s="29"/>
      <c r="R534" s="26"/>
      <c r="S534" s="23" t="s">
        <v>2575</v>
      </c>
      <c r="T534" s="23"/>
      <c r="U534" s="23"/>
      <c r="V534" s="23"/>
      <c r="W534" s="30">
        <v>45931</v>
      </c>
      <c r="X534" s="30">
        <v>45261</v>
      </c>
      <c r="Y534" s="30">
        <v>45261</v>
      </c>
      <c r="Z534" s="31" t="str">
        <f t="shared" ca="1" si="37"/>
        <v>1 Tahun 10 Bulan 30 Hari</v>
      </c>
      <c r="AA534" s="31" t="s">
        <v>76</v>
      </c>
      <c r="AB534" s="32">
        <v>30087</v>
      </c>
      <c r="AC534" s="31" t="s">
        <v>5810</v>
      </c>
      <c r="AD534" s="22" t="str">
        <f t="shared" ca="1" si="34"/>
        <v xml:space="preserve">43 Tahun 5 Bulan </v>
      </c>
      <c r="AE534" s="33" t="s">
        <v>1341</v>
      </c>
      <c r="AF534" s="34"/>
      <c r="AG534" s="22" t="s">
        <v>2410</v>
      </c>
      <c r="AH534" s="22"/>
      <c r="AI534" s="22"/>
      <c r="AJ534" s="22"/>
      <c r="AK534" s="33" t="s">
        <v>314</v>
      </c>
      <c r="AL534" s="36"/>
    </row>
    <row r="535" spans="1:39" ht="14.45" customHeight="1" x14ac:dyDescent="0.25">
      <c r="A535" s="17">
        <v>40</v>
      </c>
      <c r="B535" s="78"/>
      <c r="C535" s="50" t="s">
        <v>2576</v>
      </c>
      <c r="D535" s="20">
        <v>2024080719</v>
      </c>
      <c r="E535" s="21" t="s">
        <v>56</v>
      </c>
      <c r="F535" s="22" t="s">
        <v>1063</v>
      </c>
      <c r="G535" s="23" t="s">
        <v>3872</v>
      </c>
      <c r="H535" s="22" t="s">
        <v>3872</v>
      </c>
      <c r="I535" s="22"/>
      <c r="J535" s="22"/>
      <c r="K535" s="30"/>
      <c r="L535" s="53"/>
      <c r="M535" s="26"/>
      <c r="N535" s="26"/>
      <c r="O535" s="27"/>
      <c r="P535" s="53"/>
      <c r="Q535" s="26"/>
      <c r="R535" s="29"/>
      <c r="S535" s="23" t="s">
        <v>84</v>
      </c>
      <c r="T535" s="23"/>
      <c r="U535" s="23"/>
      <c r="V535" s="23"/>
      <c r="W535" s="30"/>
      <c r="X535" s="30">
        <v>45505</v>
      </c>
      <c r="Y535" s="30">
        <v>45505</v>
      </c>
      <c r="Z535" s="31" t="str">
        <f t="shared" ca="1" si="37"/>
        <v>1 Tahun 2 Bulan 30 Hari</v>
      </c>
      <c r="AA535" s="31" t="s">
        <v>563</v>
      </c>
      <c r="AB535" s="32">
        <v>33906</v>
      </c>
      <c r="AC535" s="31" t="s">
        <v>2577</v>
      </c>
      <c r="AD535" s="22" t="str">
        <f t="shared" ca="1" si="34"/>
        <v xml:space="preserve">33 Tahun 0 Bulan </v>
      </c>
      <c r="AE535" s="33" t="s">
        <v>1106</v>
      </c>
      <c r="AF535" s="34"/>
      <c r="AG535" s="58" t="s">
        <v>2410</v>
      </c>
      <c r="AH535" s="22"/>
      <c r="AI535" s="22"/>
      <c r="AJ535" s="22"/>
      <c r="AK535" s="33"/>
      <c r="AL535" s="36"/>
      <c r="AM535" s="14"/>
    </row>
    <row r="536" spans="1:39" ht="14.45" customHeight="1" x14ac:dyDescent="0.25">
      <c r="A536" s="17">
        <v>41</v>
      </c>
      <c r="B536" s="78"/>
      <c r="C536" s="50" t="s">
        <v>2578</v>
      </c>
      <c r="D536" s="20">
        <v>2024080726</v>
      </c>
      <c r="E536" s="21" t="s">
        <v>56</v>
      </c>
      <c r="F536" s="22" t="s">
        <v>1063</v>
      </c>
      <c r="G536" s="23" t="s">
        <v>3872</v>
      </c>
      <c r="H536" s="22" t="s">
        <v>3872</v>
      </c>
      <c r="I536" s="22"/>
      <c r="J536" s="22"/>
      <c r="K536" s="30"/>
      <c r="L536" s="53"/>
      <c r="M536" s="26"/>
      <c r="N536" s="26"/>
      <c r="O536" s="27"/>
      <c r="P536" s="53"/>
      <c r="Q536" s="26"/>
      <c r="R536" s="29"/>
      <c r="S536" s="23" t="s">
        <v>84</v>
      </c>
      <c r="T536" s="23"/>
      <c r="U536" s="23"/>
      <c r="V536" s="23"/>
      <c r="W536" s="30"/>
      <c r="X536" s="30">
        <v>45505</v>
      </c>
      <c r="Y536" s="30">
        <v>45505</v>
      </c>
      <c r="Z536" s="31" t="str">
        <f t="shared" ca="1" si="37"/>
        <v>1 Tahun 2 Bulan 30 Hari</v>
      </c>
      <c r="AA536" s="31" t="s">
        <v>2579</v>
      </c>
      <c r="AB536" s="32">
        <v>36255</v>
      </c>
      <c r="AC536" s="31" t="s">
        <v>2580</v>
      </c>
      <c r="AD536" s="22" t="str">
        <f t="shared" ca="1" si="34"/>
        <v xml:space="preserve">26 Tahun 6 Bulan </v>
      </c>
      <c r="AE536" s="33" t="s">
        <v>1106</v>
      </c>
      <c r="AF536" s="34"/>
      <c r="AG536" s="58" t="s">
        <v>2410</v>
      </c>
      <c r="AH536" s="22"/>
      <c r="AI536" s="22"/>
      <c r="AJ536" s="22"/>
      <c r="AK536" s="33"/>
      <c r="AL536" s="36"/>
      <c r="AM536" s="14"/>
    </row>
    <row r="537" spans="1:39" ht="14.45" customHeight="1" x14ac:dyDescent="0.25">
      <c r="A537" s="17">
        <v>42</v>
      </c>
      <c r="B537" s="78"/>
      <c r="C537" s="50" t="s">
        <v>2581</v>
      </c>
      <c r="D537" s="20">
        <v>2024080742</v>
      </c>
      <c r="E537" s="21" t="s">
        <v>56</v>
      </c>
      <c r="F537" s="22" t="s">
        <v>1063</v>
      </c>
      <c r="G537" s="23" t="s">
        <v>3872</v>
      </c>
      <c r="H537" s="22" t="s">
        <v>3872</v>
      </c>
      <c r="I537" s="22"/>
      <c r="J537" s="22"/>
      <c r="K537" s="30"/>
      <c r="L537" s="53"/>
      <c r="M537" s="26"/>
      <c r="N537" s="26"/>
      <c r="O537" s="27"/>
      <c r="P537" s="53"/>
      <c r="Q537" s="26"/>
      <c r="R537" s="29"/>
      <c r="S537" s="23" t="s">
        <v>84</v>
      </c>
      <c r="T537" s="23"/>
      <c r="U537" s="23"/>
      <c r="V537" s="23"/>
      <c r="W537" s="30"/>
      <c r="X537" s="30">
        <v>45505</v>
      </c>
      <c r="Y537" s="30">
        <v>45505</v>
      </c>
      <c r="Z537" s="31" t="str">
        <f t="shared" ca="1" si="37"/>
        <v>1 Tahun 2 Bulan 30 Hari</v>
      </c>
      <c r="AA537" s="31" t="s">
        <v>1540</v>
      </c>
      <c r="AB537" s="32">
        <v>33809</v>
      </c>
      <c r="AC537" s="31" t="s">
        <v>2582</v>
      </c>
      <c r="AD537" s="22" t="str">
        <f t="shared" ca="1" si="34"/>
        <v xml:space="preserve">33 Tahun 3 Bulan </v>
      </c>
      <c r="AE537" s="33" t="s">
        <v>1106</v>
      </c>
      <c r="AF537" s="34"/>
      <c r="AG537" s="58" t="s">
        <v>2410</v>
      </c>
      <c r="AH537" s="22"/>
      <c r="AI537" s="22"/>
      <c r="AJ537" s="22"/>
      <c r="AK537" s="33" t="s">
        <v>1421</v>
      </c>
      <c r="AL537" s="36"/>
      <c r="AM537" s="14"/>
    </row>
    <row r="538" spans="1:39" ht="14.45" customHeight="1" x14ac:dyDescent="0.25">
      <c r="A538" s="17">
        <v>43</v>
      </c>
      <c r="B538" s="78"/>
      <c r="C538" s="50" t="s">
        <v>2583</v>
      </c>
      <c r="D538" s="20" t="s">
        <v>2584</v>
      </c>
      <c r="E538" s="21" t="s">
        <v>56</v>
      </c>
      <c r="F538" s="22" t="s">
        <v>1063</v>
      </c>
      <c r="G538" s="23" t="s">
        <v>3872</v>
      </c>
      <c r="H538" s="22" t="s">
        <v>3872</v>
      </c>
      <c r="I538" s="22"/>
      <c r="J538" s="22"/>
      <c r="K538" s="30"/>
      <c r="L538" s="53"/>
      <c r="M538" s="26"/>
      <c r="N538" s="26"/>
      <c r="O538" s="27"/>
      <c r="P538" s="53"/>
      <c r="Q538" s="26"/>
      <c r="R538" s="29"/>
      <c r="S538" s="23" t="s">
        <v>84</v>
      </c>
      <c r="T538" s="23"/>
      <c r="U538" s="23"/>
      <c r="V538" s="23"/>
      <c r="W538" s="30"/>
      <c r="X538" s="30">
        <v>45536</v>
      </c>
      <c r="Y538" s="30">
        <v>45536</v>
      </c>
      <c r="Z538" s="31" t="str">
        <f t="shared" ca="1" si="37"/>
        <v>1 Tahun 1 Bulan 30 Hari</v>
      </c>
      <c r="AA538" s="31" t="s">
        <v>2585</v>
      </c>
      <c r="AB538" s="32">
        <v>35127</v>
      </c>
      <c r="AC538" s="31" t="s">
        <v>2586</v>
      </c>
      <c r="AD538" s="22" t="str">
        <f t="shared" ca="1" si="34"/>
        <v xml:space="preserve">29 Tahun 7 Bulan </v>
      </c>
      <c r="AE538" s="33" t="s">
        <v>1106</v>
      </c>
      <c r="AF538" s="34"/>
      <c r="AG538" s="58" t="s">
        <v>2410</v>
      </c>
      <c r="AH538" s="22"/>
      <c r="AI538" s="22"/>
      <c r="AJ538" s="22"/>
      <c r="AK538" s="33" t="s">
        <v>1421</v>
      </c>
      <c r="AL538" s="36"/>
      <c r="AM538" s="14"/>
    </row>
    <row r="539" spans="1:39" ht="14.45" customHeight="1" x14ac:dyDescent="0.25">
      <c r="A539" s="17">
        <v>44</v>
      </c>
      <c r="B539" s="78"/>
      <c r="C539" s="50" t="s">
        <v>2587</v>
      </c>
      <c r="D539" s="20">
        <v>2024080750</v>
      </c>
      <c r="E539" s="21" t="s">
        <v>56</v>
      </c>
      <c r="F539" s="22" t="s">
        <v>1063</v>
      </c>
      <c r="G539" s="23" t="s">
        <v>3872</v>
      </c>
      <c r="H539" s="22" t="s">
        <v>3872</v>
      </c>
      <c r="I539" s="22"/>
      <c r="J539" s="22"/>
      <c r="K539" s="30"/>
      <c r="L539" s="53"/>
      <c r="M539" s="26"/>
      <c r="N539" s="26"/>
      <c r="O539" s="27"/>
      <c r="P539" s="53"/>
      <c r="Q539" s="26"/>
      <c r="R539" s="29"/>
      <c r="S539" s="23" t="s">
        <v>84</v>
      </c>
      <c r="T539" s="23"/>
      <c r="U539" s="23"/>
      <c r="V539" s="23"/>
      <c r="W539" s="30"/>
      <c r="X539" s="30">
        <v>45505</v>
      </c>
      <c r="Y539" s="30">
        <v>45505</v>
      </c>
      <c r="Z539" s="31" t="str">
        <f t="shared" ca="1" si="37"/>
        <v>1 Tahun 2 Bulan 30 Hari</v>
      </c>
      <c r="AA539" s="31" t="s">
        <v>76</v>
      </c>
      <c r="AB539" s="32">
        <v>35020</v>
      </c>
      <c r="AC539" s="31" t="s">
        <v>2588</v>
      </c>
      <c r="AD539" s="22" t="str">
        <f t="shared" ca="1" si="34"/>
        <v xml:space="preserve">29 Tahun 11 Bulan </v>
      </c>
      <c r="AE539" s="33" t="s">
        <v>1106</v>
      </c>
      <c r="AF539" s="34"/>
      <c r="AG539" s="58" t="s">
        <v>2410</v>
      </c>
      <c r="AH539" s="22"/>
      <c r="AI539" s="22"/>
      <c r="AJ539" s="22"/>
      <c r="AK539" s="33" t="s">
        <v>1421</v>
      </c>
      <c r="AL539" s="36"/>
      <c r="AM539" s="14"/>
    </row>
    <row r="540" spans="1:39" ht="14.45" customHeight="1" x14ac:dyDescent="0.25">
      <c r="A540" s="17">
        <v>45</v>
      </c>
      <c r="B540" s="78"/>
      <c r="C540" s="50" t="s">
        <v>2589</v>
      </c>
      <c r="D540" s="20">
        <v>2024080751</v>
      </c>
      <c r="E540" s="21" t="s">
        <v>56</v>
      </c>
      <c r="F540" s="22" t="s">
        <v>1063</v>
      </c>
      <c r="G540" s="23" t="s">
        <v>3872</v>
      </c>
      <c r="H540" s="22" t="s">
        <v>3872</v>
      </c>
      <c r="I540" s="22"/>
      <c r="J540" s="22"/>
      <c r="K540" s="30"/>
      <c r="L540" s="53"/>
      <c r="M540" s="26"/>
      <c r="N540" s="26"/>
      <c r="O540" s="27"/>
      <c r="P540" s="53"/>
      <c r="Q540" s="26"/>
      <c r="R540" s="29"/>
      <c r="S540" s="23" t="s">
        <v>84</v>
      </c>
      <c r="T540" s="23"/>
      <c r="U540" s="23"/>
      <c r="V540" s="23"/>
      <c r="W540" s="30"/>
      <c r="X540" s="30">
        <v>45505</v>
      </c>
      <c r="Y540" s="30">
        <v>45505</v>
      </c>
      <c r="Z540" s="31" t="str">
        <f t="shared" ca="1" si="37"/>
        <v>1 Tahun 2 Bulan 30 Hari</v>
      </c>
      <c r="AA540" s="31" t="s">
        <v>128</v>
      </c>
      <c r="AB540" s="32">
        <v>43950</v>
      </c>
      <c r="AC540" s="31" t="s">
        <v>2590</v>
      </c>
      <c r="AD540" s="22" t="str">
        <f t="shared" ca="1" si="34"/>
        <v xml:space="preserve">5 Tahun 6 Bulan </v>
      </c>
      <c r="AE540" s="33" t="s">
        <v>1106</v>
      </c>
      <c r="AF540" s="34"/>
      <c r="AG540" s="58" t="s">
        <v>2410</v>
      </c>
      <c r="AH540" s="22"/>
      <c r="AI540" s="22"/>
      <c r="AJ540" s="22"/>
      <c r="AK540" s="33" t="s">
        <v>1421</v>
      </c>
      <c r="AL540" s="36"/>
      <c r="AM540" s="14"/>
    </row>
    <row r="541" spans="1:39" ht="14.45" customHeight="1" x14ac:dyDescent="0.25">
      <c r="A541" s="17">
        <v>46</v>
      </c>
      <c r="B541" s="78"/>
      <c r="C541" s="50" t="s">
        <v>2591</v>
      </c>
      <c r="D541" s="20">
        <v>2024080753</v>
      </c>
      <c r="E541" s="21" t="s">
        <v>56</v>
      </c>
      <c r="F541" s="22" t="s">
        <v>1063</v>
      </c>
      <c r="G541" s="23" t="s">
        <v>3872</v>
      </c>
      <c r="H541" s="22" t="s">
        <v>3872</v>
      </c>
      <c r="I541" s="22"/>
      <c r="J541" s="22"/>
      <c r="K541" s="30"/>
      <c r="L541" s="53"/>
      <c r="M541" s="26"/>
      <c r="N541" s="26"/>
      <c r="O541" s="27"/>
      <c r="P541" s="53"/>
      <c r="Q541" s="26"/>
      <c r="R541" s="29"/>
      <c r="S541" s="23" t="s">
        <v>84</v>
      </c>
      <c r="T541" s="23"/>
      <c r="U541" s="23"/>
      <c r="V541" s="23"/>
      <c r="W541" s="30"/>
      <c r="X541" s="30">
        <v>45505</v>
      </c>
      <c r="Y541" s="30">
        <v>45505</v>
      </c>
      <c r="Z541" s="31" t="str">
        <f t="shared" ca="1" si="37"/>
        <v>1 Tahun 2 Bulan 30 Hari</v>
      </c>
      <c r="AA541" s="31" t="s">
        <v>437</v>
      </c>
      <c r="AB541" s="32">
        <v>36523</v>
      </c>
      <c r="AC541" s="31" t="s">
        <v>2592</v>
      </c>
      <c r="AD541" s="22" t="str">
        <f t="shared" ca="1" si="34"/>
        <v xml:space="preserve">25 Tahun 10 Bulan </v>
      </c>
      <c r="AE541" s="33" t="s">
        <v>1106</v>
      </c>
      <c r="AF541" s="34"/>
      <c r="AG541" s="58" t="s">
        <v>2410</v>
      </c>
      <c r="AH541" s="22"/>
      <c r="AI541" s="22"/>
      <c r="AJ541" s="22"/>
      <c r="AK541" s="33" t="s">
        <v>1421</v>
      </c>
      <c r="AL541" s="36"/>
      <c r="AM541" s="14"/>
    </row>
    <row r="542" spans="1:39" ht="14.45" customHeight="1" x14ac:dyDescent="0.25">
      <c r="A542" s="17">
        <v>47</v>
      </c>
      <c r="B542" s="18"/>
      <c r="C542" s="50" t="s">
        <v>5811</v>
      </c>
      <c r="D542" s="20" t="s">
        <v>2593</v>
      </c>
      <c r="E542" s="21" t="s">
        <v>56</v>
      </c>
      <c r="F542" s="22" t="s">
        <v>192</v>
      </c>
      <c r="G542" s="23" t="s">
        <v>227</v>
      </c>
      <c r="H542" s="22" t="s">
        <v>228</v>
      </c>
      <c r="I542" s="22" t="s">
        <v>155</v>
      </c>
      <c r="J542" s="22" t="s">
        <v>1104</v>
      </c>
      <c r="K542" s="24" t="s">
        <v>195</v>
      </c>
      <c r="L542" s="22"/>
      <c r="M542" s="22"/>
      <c r="N542" s="22"/>
      <c r="O542" s="22"/>
      <c r="P542" s="22"/>
      <c r="Q542" s="22"/>
      <c r="R542" s="22"/>
      <c r="S542" s="23" t="s">
        <v>84</v>
      </c>
      <c r="T542" s="23"/>
      <c r="U542" s="23"/>
      <c r="V542" s="23"/>
      <c r="W542" s="69">
        <v>45809</v>
      </c>
      <c r="X542" s="69">
        <v>45810</v>
      </c>
      <c r="Y542" s="69">
        <v>45810</v>
      </c>
      <c r="Z542" s="31" t="str">
        <f t="shared" ca="1" si="37"/>
        <v>0 Tahun 4 Bulan 29 Hari</v>
      </c>
      <c r="AA542" s="23" t="s">
        <v>203</v>
      </c>
      <c r="AB542" s="32">
        <v>36347</v>
      </c>
      <c r="AC542" s="32" t="s">
        <v>2594</v>
      </c>
      <c r="AD542" s="22" t="str">
        <f t="shared" ca="1" si="34"/>
        <v xml:space="preserve">26 Tahun 3 Bulan </v>
      </c>
      <c r="AE542" s="33" t="s">
        <v>1106</v>
      </c>
      <c r="AF542" s="34"/>
      <c r="AG542" s="58" t="s">
        <v>2410</v>
      </c>
      <c r="AH542" s="22"/>
      <c r="AI542" s="22"/>
      <c r="AJ542" s="22"/>
      <c r="AK542" s="33" t="s">
        <v>1421</v>
      </c>
      <c r="AL542" s="36"/>
      <c r="AM542" s="14"/>
    </row>
    <row r="543" spans="1:39" ht="14.45" customHeight="1" x14ac:dyDescent="0.25">
      <c r="A543" s="17">
        <v>48</v>
      </c>
      <c r="B543" s="18"/>
      <c r="C543" s="50" t="s">
        <v>5812</v>
      </c>
      <c r="D543" s="20" t="s">
        <v>2595</v>
      </c>
      <c r="E543" s="21" t="s">
        <v>56</v>
      </c>
      <c r="F543" s="22" t="s">
        <v>192</v>
      </c>
      <c r="G543" s="23" t="s">
        <v>227</v>
      </c>
      <c r="H543" s="22" t="s">
        <v>228</v>
      </c>
      <c r="I543" s="22" t="s">
        <v>155</v>
      </c>
      <c r="J543" s="22" t="s">
        <v>1104</v>
      </c>
      <c r="K543" s="24" t="s">
        <v>195</v>
      </c>
      <c r="L543" s="22"/>
      <c r="M543" s="22"/>
      <c r="N543" s="22"/>
      <c r="O543" s="22"/>
      <c r="P543" s="22"/>
      <c r="Q543" s="22"/>
      <c r="R543" s="22"/>
      <c r="S543" s="23" t="s">
        <v>84</v>
      </c>
      <c r="T543" s="23"/>
      <c r="U543" s="23"/>
      <c r="V543" s="23"/>
      <c r="W543" s="69">
        <v>45809</v>
      </c>
      <c r="X543" s="69">
        <v>45810</v>
      </c>
      <c r="Y543" s="69">
        <v>45810</v>
      </c>
      <c r="Z543" s="31" t="str">
        <f t="shared" ca="1" si="37"/>
        <v>0 Tahun 4 Bulan 29 Hari</v>
      </c>
      <c r="AA543" s="23" t="s">
        <v>934</v>
      </c>
      <c r="AB543" s="32">
        <v>36866</v>
      </c>
      <c r="AC543" s="32" t="s">
        <v>2596</v>
      </c>
      <c r="AD543" s="22" t="str">
        <f t="shared" ca="1" si="34"/>
        <v xml:space="preserve">24 Tahun 10 Bulan </v>
      </c>
      <c r="AE543" s="33" t="s">
        <v>1106</v>
      </c>
      <c r="AF543" s="34"/>
      <c r="AG543" s="58" t="s">
        <v>2410</v>
      </c>
      <c r="AH543" s="22"/>
      <c r="AI543" s="22"/>
      <c r="AJ543" s="22"/>
      <c r="AK543" s="33" t="s">
        <v>1421</v>
      </c>
      <c r="AL543" s="36"/>
      <c r="AM543" s="14"/>
    </row>
    <row r="544" spans="1:39" ht="14.45" customHeight="1" x14ac:dyDescent="0.25">
      <c r="A544" s="17">
        <v>49</v>
      </c>
      <c r="B544" s="18"/>
      <c r="C544" s="50" t="s">
        <v>5813</v>
      </c>
      <c r="D544" s="20" t="s">
        <v>2597</v>
      </c>
      <c r="E544" s="21" t="s">
        <v>56</v>
      </c>
      <c r="F544" s="22" t="s">
        <v>192</v>
      </c>
      <c r="G544" s="23" t="s">
        <v>227</v>
      </c>
      <c r="H544" s="22" t="s">
        <v>228</v>
      </c>
      <c r="I544" s="22" t="s">
        <v>155</v>
      </c>
      <c r="J544" s="22" t="s">
        <v>1104</v>
      </c>
      <c r="K544" s="24" t="s">
        <v>195</v>
      </c>
      <c r="L544" s="22"/>
      <c r="M544" s="22"/>
      <c r="N544" s="22"/>
      <c r="O544" s="22"/>
      <c r="P544" s="22"/>
      <c r="Q544" s="22"/>
      <c r="R544" s="22"/>
      <c r="S544" s="23" t="s">
        <v>84</v>
      </c>
      <c r="T544" s="23"/>
      <c r="U544" s="23"/>
      <c r="V544" s="23"/>
      <c r="W544" s="69">
        <v>45809</v>
      </c>
      <c r="X544" s="69">
        <v>45810</v>
      </c>
      <c r="Y544" s="69">
        <v>45810</v>
      </c>
      <c r="Z544" s="31" t="str">
        <f t="shared" ca="1" si="37"/>
        <v>0 Tahun 4 Bulan 29 Hari</v>
      </c>
      <c r="AA544" s="23" t="s">
        <v>2598</v>
      </c>
      <c r="AB544" s="32">
        <v>36654</v>
      </c>
      <c r="AC544" s="32" t="s">
        <v>2599</v>
      </c>
      <c r="AD544" s="22" t="str">
        <f t="shared" ca="1" si="34"/>
        <v xml:space="preserve">25 Tahun 5 Bulan </v>
      </c>
      <c r="AE544" s="33" t="s">
        <v>1106</v>
      </c>
      <c r="AF544" s="34"/>
      <c r="AG544" s="58" t="s">
        <v>2410</v>
      </c>
      <c r="AH544" s="22"/>
      <c r="AI544" s="22"/>
      <c r="AJ544" s="22"/>
      <c r="AK544" s="33" t="s">
        <v>200</v>
      </c>
      <c r="AL544" s="36"/>
    </row>
    <row r="545" spans="1:39" ht="14.45" customHeight="1" x14ac:dyDescent="0.25">
      <c r="A545" s="17">
        <v>50</v>
      </c>
      <c r="B545" s="18"/>
      <c r="C545" s="50" t="s">
        <v>5814</v>
      </c>
      <c r="D545" s="20" t="s">
        <v>2600</v>
      </c>
      <c r="E545" s="21" t="s">
        <v>56</v>
      </c>
      <c r="F545" s="22" t="s">
        <v>192</v>
      </c>
      <c r="G545" s="23" t="s">
        <v>227</v>
      </c>
      <c r="H545" s="22" t="s">
        <v>228</v>
      </c>
      <c r="I545" s="22" t="s">
        <v>155</v>
      </c>
      <c r="J545" s="22" t="s">
        <v>1104</v>
      </c>
      <c r="K545" s="24" t="s">
        <v>195</v>
      </c>
      <c r="L545" s="22"/>
      <c r="M545" s="22"/>
      <c r="N545" s="22"/>
      <c r="O545" s="22"/>
      <c r="P545" s="22"/>
      <c r="Q545" s="22"/>
      <c r="R545" s="22"/>
      <c r="S545" s="23" t="s">
        <v>84</v>
      </c>
      <c r="T545" s="23"/>
      <c r="U545" s="23"/>
      <c r="V545" s="23"/>
      <c r="W545" s="69">
        <v>45809</v>
      </c>
      <c r="X545" s="69">
        <v>45810</v>
      </c>
      <c r="Y545" s="69">
        <v>45810</v>
      </c>
      <c r="Z545" s="31" t="str">
        <f t="shared" ca="1" si="37"/>
        <v>0 Tahun 4 Bulan 29 Hari</v>
      </c>
      <c r="AA545" s="23" t="s">
        <v>1905</v>
      </c>
      <c r="AB545" s="32">
        <v>36641</v>
      </c>
      <c r="AC545" s="32" t="s">
        <v>2601</v>
      </c>
      <c r="AD545" s="22" t="str">
        <f t="shared" ca="1" si="34"/>
        <v xml:space="preserve">25 Tahun 6 Bulan </v>
      </c>
      <c r="AE545" s="33" t="s">
        <v>1106</v>
      </c>
      <c r="AF545" s="34"/>
      <c r="AG545" s="58" t="s">
        <v>2410</v>
      </c>
      <c r="AH545" s="22"/>
      <c r="AI545" s="22"/>
      <c r="AJ545" s="22"/>
      <c r="AK545" s="33" t="s">
        <v>200</v>
      </c>
      <c r="AL545" s="36"/>
    </row>
    <row r="546" spans="1:39" ht="14.45" customHeight="1" x14ac:dyDescent="0.25">
      <c r="A546" s="17">
        <v>51</v>
      </c>
      <c r="B546" s="78"/>
      <c r="C546" s="50" t="s">
        <v>5815</v>
      </c>
      <c r="D546" s="20" t="s">
        <v>2602</v>
      </c>
      <c r="E546" s="21" t="s">
        <v>56</v>
      </c>
      <c r="F546" s="22" t="s">
        <v>238</v>
      </c>
      <c r="G546" s="23" t="s">
        <v>3872</v>
      </c>
      <c r="H546" s="58" t="s">
        <v>1078</v>
      </c>
      <c r="I546" s="58" t="s">
        <v>44</v>
      </c>
      <c r="J546" s="58" t="s">
        <v>1293</v>
      </c>
      <c r="K546" s="151"/>
      <c r="L546" s="53" t="s">
        <v>2603</v>
      </c>
      <c r="M546" s="26">
        <v>43307</v>
      </c>
      <c r="N546" s="26">
        <v>45063</v>
      </c>
      <c r="O546" s="40" t="s">
        <v>1155</v>
      </c>
      <c r="P546" s="28" t="s">
        <v>2604</v>
      </c>
      <c r="Q546" s="29">
        <v>41991</v>
      </c>
      <c r="R546" s="26">
        <v>43237</v>
      </c>
      <c r="S546" s="33" t="s">
        <v>1172</v>
      </c>
      <c r="T546" s="33"/>
      <c r="U546" s="33"/>
      <c r="V546" s="33"/>
      <c r="W546" s="77">
        <v>45047</v>
      </c>
      <c r="X546" s="30">
        <v>41030</v>
      </c>
      <c r="Y546" s="30">
        <v>41061</v>
      </c>
      <c r="Z546" s="31" t="str">
        <f t="shared" ca="1" si="37"/>
        <v>13 Tahun 5 Bulan 30 Hari</v>
      </c>
      <c r="AA546" s="31" t="s">
        <v>1540</v>
      </c>
      <c r="AB546" s="32">
        <v>31184</v>
      </c>
      <c r="AC546" s="31" t="s">
        <v>2605</v>
      </c>
      <c r="AD546" s="22" t="str">
        <f t="shared" ca="1" si="34"/>
        <v xml:space="preserve">40 Tahun 5 Bulan </v>
      </c>
      <c r="AE546" s="33" t="s">
        <v>1106</v>
      </c>
      <c r="AF546" s="34"/>
      <c r="AG546" s="58" t="s">
        <v>2410</v>
      </c>
      <c r="AH546" s="22"/>
      <c r="AI546" s="22"/>
      <c r="AJ546" s="22"/>
      <c r="AK546" s="33" t="s">
        <v>200</v>
      </c>
      <c r="AL546" s="36"/>
    </row>
    <row r="547" spans="1:39" ht="14.45" customHeight="1" x14ac:dyDescent="0.25">
      <c r="A547" s="17">
        <v>52</v>
      </c>
      <c r="B547" s="78"/>
      <c r="C547" s="50" t="s">
        <v>2606</v>
      </c>
      <c r="D547" s="20" t="s">
        <v>2607</v>
      </c>
      <c r="E547" s="21" t="s">
        <v>56</v>
      </c>
      <c r="F547" s="22" t="s">
        <v>41</v>
      </c>
      <c r="G547" s="23" t="s">
        <v>42</v>
      </c>
      <c r="H547" s="22" t="s">
        <v>43</v>
      </c>
      <c r="I547" s="22" t="s">
        <v>44</v>
      </c>
      <c r="J547" s="22" t="s">
        <v>148</v>
      </c>
      <c r="K547" s="24">
        <v>45200</v>
      </c>
      <c r="L547" s="53" t="s">
        <v>2608</v>
      </c>
      <c r="M547" s="26">
        <v>42717</v>
      </c>
      <c r="N547" s="26">
        <v>44454</v>
      </c>
      <c r="O547" s="27" t="s">
        <v>1162</v>
      </c>
      <c r="P547" s="53" t="s">
        <v>2609</v>
      </c>
      <c r="Q547" s="26">
        <v>43004</v>
      </c>
      <c r="R547" s="26">
        <v>44455</v>
      </c>
      <c r="S547" s="23" t="s">
        <v>84</v>
      </c>
      <c r="T547" s="23"/>
      <c r="U547" s="23"/>
      <c r="V547" s="23"/>
      <c r="W547" s="30">
        <v>35855</v>
      </c>
      <c r="X547" s="30">
        <v>35855</v>
      </c>
      <c r="Y547" s="30">
        <v>41730</v>
      </c>
      <c r="Z547" s="31" t="str">
        <f t="shared" ref="Z547:Z552" ca="1" si="38">DATEDIF(W547,TODAY(),"y")&amp;" Tahun "&amp;DATEDIF(W547,TODAY(),"ym")&amp;" Bulan "&amp;DATEDIF(W547,TODAY(),"md")&amp;" Hari"</f>
        <v>27 Tahun 7 Bulan 30 Hari</v>
      </c>
      <c r="AA547" s="31" t="s">
        <v>76</v>
      </c>
      <c r="AB547" s="32">
        <v>28018</v>
      </c>
      <c r="AC547" s="31" t="s">
        <v>2610</v>
      </c>
      <c r="AD547" s="22" t="str">
        <f t="shared" ca="1" si="34"/>
        <v xml:space="preserve">49 Tahun 1 Bulan </v>
      </c>
      <c r="AE547" s="33" t="s">
        <v>1151</v>
      </c>
      <c r="AF547" s="34"/>
      <c r="AG547" s="22" t="s">
        <v>2611</v>
      </c>
      <c r="AH547" s="22"/>
      <c r="AI547" s="22"/>
      <c r="AJ547" s="22"/>
      <c r="AK547" s="33" t="s">
        <v>200</v>
      </c>
      <c r="AL547" s="36"/>
    </row>
    <row r="548" spans="1:39" ht="14.45" customHeight="1" x14ac:dyDescent="0.25">
      <c r="A548" s="17">
        <v>53</v>
      </c>
      <c r="B548" s="78"/>
      <c r="C548" s="50" t="s">
        <v>2612</v>
      </c>
      <c r="D548" s="20" t="s">
        <v>2613</v>
      </c>
      <c r="E548" s="21" t="s">
        <v>56</v>
      </c>
      <c r="F548" s="22" t="s">
        <v>41</v>
      </c>
      <c r="G548" s="23" t="s">
        <v>137</v>
      </c>
      <c r="H548" s="22" t="s">
        <v>138</v>
      </c>
      <c r="I548" s="22" t="s">
        <v>44</v>
      </c>
      <c r="J548" s="22" t="s">
        <v>1148</v>
      </c>
      <c r="K548" s="24">
        <v>42644</v>
      </c>
      <c r="L548" s="53" t="s">
        <v>2614</v>
      </c>
      <c r="M548" s="26">
        <v>43007</v>
      </c>
      <c r="N548" s="26">
        <v>44594</v>
      </c>
      <c r="O548" s="27" t="s">
        <v>1155</v>
      </c>
      <c r="P548" s="53" t="s">
        <v>2615</v>
      </c>
      <c r="Q548" s="26">
        <v>43242</v>
      </c>
      <c r="R548" s="26">
        <v>44594</v>
      </c>
      <c r="S548" s="23" t="s">
        <v>84</v>
      </c>
      <c r="T548" s="23"/>
      <c r="U548" s="23"/>
      <c r="V548" s="23"/>
      <c r="W548" s="30">
        <v>35855</v>
      </c>
      <c r="X548" s="30">
        <v>35855</v>
      </c>
      <c r="Y548" s="30">
        <v>41730</v>
      </c>
      <c r="Z548" s="31" t="str">
        <f t="shared" ca="1" si="38"/>
        <v>27 Tahun 7 Bulan 30 Hari</v>
      </c>
      <c r="AA548" s="31" t="s">
        <v>76</v>
      </c>
      <c r="AB548" s="32">
        <v>27062</v>
      </c>
      <c r="AC548" s="32" t="s">
        <v>2616</v>
      </c>
      <c r="AD548" s="22" t="str">
        <f t="shared" ca="1" si="34"/>
        <v xml:space="preserve">51 Tahun 8 Bulan </v>
      </c>
      <c r="AE548" s="33" t="s">
        <v>1106</v>
      </c>
      <c r="AF548" s="34"/>
      <c r="AG548" s="22" t="s">
        <v>2611</v>
      </c>
      <c r="AH548" s="22"/>
      <c r="AI548" s="22"/>
      <c r="AJ548" s="22"/>
      <c r="AK548" s="33" t="s">
        <v>314</v>
      </c>
      <c r="AL548" s="36"/>
      <c r="AM548" s="14"/>
    </row>
    <row r="549" spans="1:39" ht="14.45" customHeight="1" x14ac:dyDescent="0.25">
      <c r="A549" s="17">
        <v>1</v>
      </c>
      <c r="B549" s="178"/>
      <c r="C549" s="50" t="s">
        <v>2617</v>
      </c>
      <c r="D549" s="20" t="s">
        <v>2618</v>
      </c>
      <c r="E549" s="52" t="s">
        <v>56</v>
      </c>
      <c r="F549" s="58" t="s">
        <v>41</v>
      </c>
      <c r="G549" s="23" t="s">
        <v>137</v>
      </c>
      <c r="H549" s="22" t="s">
        <v>138</v>
      </c>
      <c r="I549" s="22" t="s">
        <v>44</v>
      </c>
      <c r="J549" s="22" t="s">
        <v>1166</v>
      </c>
      <c r="K549" s="24">
        <v>43252</v>
      </c>
      <c r="L549" s="53" t="s">
        <v>2619</v>
      </c>
      <c r="M549" s="26">
        <v>43117</v>
      </c>
      <c r="N549" s="26">
        <v>44975</v>
      </c>
      <c r="O549" s="27" t="s">
        <v>148</v>
      </c>
      <c r="P549" s="53" t="s">
        <v>2620</v>
      </c>
      <c r="Q549" s="26">
        <v>43242</v>
      </c>
      <c r="R549" s="26">
        <v>44975</v>
      </c>
      <c r="S549" s="23" t="s">
        <v>1167</v>
      </c>
      <c r="T549" s="23"/>
      <c r="U549" s="23"/>
      <c r="V549" s="23"/>
      <c r="W549" s="30">
        <v>37226</v>
      </c>
      <c r="X549" s="30">
        <v>37226</v>
      </c>
      <c r="Y549" s="30">
        <v>41284</v>
      </c>
      <c r="Z549" s="55" t="str">
        <f t="shared" ca="1" si="38"/>
        <v>23 Tahun 10 Bulan 30 Hari</v>
      </c>
      <c r="AA549" s="66" t="s">
        <v>76</v>
      </c>
      <c r="AB549" s="56">
        <v>27808</v>
      </c>
      <c r="AC549" s="31" t="s">
        <v>2621</v>
      </c>
      <c r="AD549" s="57" t="str">
        <f t="shared" ca="1" si="34"/>
        <v xml:space="preserve">49 Tahun 8 Bulan </v>
      </c>
      <c r="AE549" s="33" t="s">
        <v>1106</v>
      </c>
      <c r="AF549" s="71"/>
      <c r="AG549" s="22" t="s">
        <v>2611</v>
      </c>
      <c r="AH549" s="22"/>
      <c r="AI549" s="22"/>
      <c r="AJ549" s="22"/>
      <c r="AK549" s="33"/>
      <c r="AL549" s="36"/>
    </row>
    <row r="550" spans="1:39" ht="14.45" customHeight="1" x14ac:dyDescent="0.25">
      <c r="A550" s="17">
        <v>2</v>
      </c>
      <c r="B550" s="78"/>
      <c r="C550" s="50" t="s">
        <v>2622</v>
      </c>
      <c r="D550" s="20" t="s">
        <v>2623</v>
      </c>
      <c r="E550" s="21" t="s">
        <v>56</v>
      </c>
      <c r="F550" s="22" t="s">
        <v>41</v>
      </c>
      <c r="G550" s="23" t="s">
        <v>137</v>
      </c>
      <c r="H550" s="22" t="s">
        <v>138</v>
      </c>
      <c r="I550" s="22" t="s">
        <v>44</v>
      </c>
      <c r="J550" s="22" t="s">
        <v>1148</v>
      </c>
      <c r="K550" s="24">
        <v>44835</v>
      </c>
      <c r="L550" s="53" t="s">
        <v>2624</v>
      </c>
      <c r="M550" s="26">
        <v>43117</v>
      </c>
      <c r="N550" s="26">
        <v>45268</v>
      </c>
      <c r="O550" s="27" t="s">
        <v>148</v>
      </c>
      <c r="P550" s="53" t="s">
        <v>2625</v>
      </c>
      <c r="Q550" s="26">
        <v>43242</v>
      </c>
      <c r="R550" s="26">
        <v>45268</v>
      </c>
      <c r="S550" s="23" t="s">
        <v>84</v>
      </c>
      <c r="T550" s="23"/>
      <c r="U550" s="23"/>
      <c r="V550" s="23"/>
      <c r="W550" s="30">
        <v>35855</v>
      </c>
      <c r="X550" s="30">
        <v>39995</v>
      </c>
      <c r="Y550" s="30">
        <v>40036</v>
      </c>
      <c r="Z550" s="31" t="str">
        <f t="shared" ca="1" si="38"/>
        <v>27 Tahun 7 Bulan 30 Hari</v>
      </c>
      <c r="AA550" s="31" t="s">
        <v>76</v>
      </c>
      <c r="AB550" s="32">
        <v>28832</v>
      </c>
      <c r="AC550" s="32" t="s">
        <v>2626</v>
      </c>
      <c r="AD550" s="22" t="str">
        <f t="shared" ca="1" si="34"/>
        <v xml:space="preserve">46 Tahun 10 Bulan </v>
      </c>
      <c r="AE550" s="33" t="s">
        <v>1106</v>
      </c>
      <c r="AF550" s="34"/>
      <c r="AG550" s="22" t="s">
        <v>2611</v>
      </c>
      <c r="AH550" s="22"/>
      <c r="AI550" s="22"/>
      <c r="AJ550" s="22"/>
      <c r="AK550" s="33"/>
      <c r="AL550" s="36"/>
    </row>
    <row r="551" spans="1:39" ht="14.45" customHeight="1" x14ac:dyDescent="0.25">
      <c r="A551" s="17">
        <v>3</v>
      </c>
      <c r="B551" s="78"/>
      <c r="C551" s="50" t="s">
        <v>2627</v>
      </c>
      <c r="D551" s="20" t="s">
        <v>2628</v>
      </c>
      <c r="E551" s="52" t="s">
        <v>56</v>
      </c>
      <c r="F551" s="58" t="s">
        <v>41</v>
      </c>
      <c r="G551" s="89" t="s">
        <v>102</v>
      </c>
      <c r="H551" s="22" t="s">
        <v>103</v>
      </c>
      <c r="I551" s="58" t="s">
        <v>44</v>
      </c>
      <c r="J551" s="22" t="s">
        <v>1166</v>
      </c>
      <c r="K551" s="24">
        <v>45566</v>
      </c>
      <c r="L551" s="53" t="s">
        <v>2629</v>
      </c>
      <c r="M551" s="26">
        <v>43117</v>
      </c>
      <c r="N551" s="26">
        <v>45200</v>
      </c>
      <c r="O551" s="27" t="s">
        <v>148</v>
      </c>
      <c r="P551" s="28" t="s">
        <v>2630</v>
      </c>
      <c r="Q551" s="29">
        <v>43192</v>
      </c>
      <c r="R551" s="26">
        <v>45200</v>
      </c>
      <c r="S551" s="23" t="s">
        <v>1167</v>
      </c>
      <c r="T551" s="23"/>
      <c r="U551" s="23"/>
      <c r="V551" s="23"/>
      <c r="W551" s="30">
        <v>41244</v>
      </c>
      <c r="X551" s="30">
        <v>39085</v>
      </c>
      <c r="Y551" s="30">
        <v>41395</v>
      </c>
      <c r="Z551" s="55" t="str">
        <f t="shared" ca="1" si="38"/>
        <v>12 Tahun 10 Bulan 30 Hari</v>
      </c>
      <c r="AA551" s="55" t="s">
        <v>76</v>
      </c>
      <c r="AB551" s="56">
        <v>30225</v>
      </c>
      <c r="AC551" s="32" t="s">
        <v>2631</v>
      </c>
      <c r="AD551" s="57" t="str">
        <f t="shared" ca="1" si="34"/>
        <v xml:space="preserve">43 Tahun 0 Bulan </v>
      </c>
      <c r="AE551" s="33" t="s">
        <v>1106</v>
      </c>
      <c r="AF551" s="71"/>
      <c r="AG551" s="22" t="s">
        <v>2611</v>
      </c>
      <c r="AH551" s="58"/>
      <c r="AI551" s="58"/>
      <c r="AJ551" s="58"/>
      <c r="AK551" s="33"/>
      <c r="AL551" s="36"/>
    </row>
    <row r="552" spans="1:39" ht="14.45" customHeight="1" x14ac:dyDescent="0.25">
      <c r="A552" s="17">
        <v>4</v>
      </c>
      <c r="B552" s="78"/>
      <c r="C552" s="50" t="s">
        <v>2632</v>
      </c>
      <c r="D552" s="137" t="s">
        <v>2633</v>
      </c>
      <c r="E552" s="21" t="s">
        <v>56</v>
      </c>
      <c r="F552" s="22" t="s">
        <v>41</v>
      </c>
      <c r="G552" s="23" t="s">
        <v>227</v>
      </c>
      <c r="H552" s="22" t="s">
        <v>228</v>
      </c>
      <c r="I552" s="22" t="s">
        <v>44</v>
      </c>
      <c r="J552" s="22" t="s">
        <v>1559</v>
      </c>
      <c r="K552" s="24">
        <v>44652</v>
      </c>
      <c r="L552" s="53" t="s">
        <v>2634</v>
      </c>
      <c r="M552" s="26">
        <v>43007</v>
      </c>
      <c r="N552" s="26">
        <v>44825</v>
      </c>
      <c r="O552" s="27"/>
      <c r="P552" s="53" t="s">
        <v>2635</v>
      </c>
      <c r="Q552" s="26">
        <v>43131</v>
      </c>
      <c r="R552" s="26">
        <v>44825</v>
      </c>
      <c r="S552" s="33" t="s">
        <v>1172</v>
      </c>
      <c r="T552" s="33"/>
      <c r="U552" s="33"/>
      <c r="V552" s="33"/>
      <c r="W552" s="95">
        <v>41244</v>
      </c>
      <c r="X552" s="30">
        <v>41334</v>
      </c>
      <c r="Y552" s="22"/>
      <c r="Z552" s="31" t="str">
        <f t="shared" ca="1" si="38"/>
        <v>12 Tahun 10 Bulan 30 Hari</v>
      </c>
      <c r="AA552" s="31" t="s">
        <v>1540</v>
      </c>
      <c r="AB552" s="32">
        <v>31311</v>
      </c>
      <c r="AC552" s="31" t="s">
        <v>2636</v>
      </c>
      <c r="AD552" s="22" t="str">
        <f t="shared" ref="AD552:AD615" ca="1" si="39">DATEDIF(AB552,TODAY(),"y")&amp;" Tahun "&amp;DATEDIF(AB552,TODAY(),"ym")&amp;" Bulan "</f>
        <v xml:space="preserve">40 Tahun 1 Bulan </v>
      </c>
      <c r="AE552" s="33" t="s">
        <v>1106</v>
      </c>
      <c r="AF552" s="34"/>
      <c r="AG552" s="22" t="s">
        <v>2611</v>
      </c>
      <c r="AH552" s="22"/>
      <c r="AI552" s="22"/>
      <c r="AJ552" s="22"/>
      <c r="AK552" s="33"/>
      <c r="AL552" s="36"/>
    </row>
    <row r="553" spans="1:39" ht="14.45" customHeight="1" x14ac:dyDescent="0.25">
      <c r="A553" s="17">
        <v>5</v>
      </c>
      <c r="B553" s="78"/>
      <c r="C553" s="50" t="s">
        <v>2637</v>
      </c>
      <c r="D553" s="20" t="s">
        <v>2638</v>
      </c>
      <c r="E553" s="52" t="s">
        <v>56</v>
      </c>
      <c r="F553" s="22" t="s">
        <v>41</v>
      </c>
      <c r="G553" s="23" t="s">
        <v>193</v>
      </c>
      <c r="H553" s="22" t="s">
        <v>194</v>
      </c>
      <c r="I553" s="22" t="s">
        <v>44</v>
      </c>
      <c r="J553" s="22" t="s">
        <v>1559</v>
      </c>
      <c r="K553" s="24">
        <v>45870</v>
      </c>
      <c r="L553" s="25" t="s">
        <v>2639</v>
      </c>
      <c r="M553" s="26">
        <v>42926</v>
      </c>
      <c r="N553" s="26">
        <v>44706</v>
      </c>
      <c r="O553" s="27" t="s">
        <v>1155</v>
      </c>
      <c r="P553" s="53" t="s">
        <v>2640</v>
      </c>
      <c r="Q553" s="26">
        <v>43004</v>
      </c>
      <c r="R553" s="26">
        <v>44703</v>
      </c>
      <c r="S553" s="23" t="s">
        <v>1172</v>
      </c>
      <c r="T553" s="23">
        <v>2007</v>
      </c>
      <c r="U553" s="23"/>
      <c r="V553" s="23"/>
      <c r="W553" s="30">
        <v>43497</v>
      </c>
      <c r="X553" s="30">
        <v>39752</v>
      </c>
      <c r="Y553" s="30">
        <v>39755</v>
      </c>
      <c r="Z553" s="55" t="str">
        <f ca="1">DATEDIF(X553,TODAY(),"y")&amp;" Tahun "&amp;DATEDIF(X553,TODAY(),"ym")&amp;" Bulan "&amp;DATEDIF(X553,TODAY(),"md")&amp;" Hari"</f>
        <v>17 Tahun 0 Bulan 0 Hari</v>
      </c>
      <c r="AA553" s="55" t="s">
        <v>76</v>
      </c>
      <c r="AB553" s="56">
        <v>31557</v>
      </c>
      <c r="AC553" s="32" t="s">
        <v>2641</v>
      </c>
      <c r="AD553" s="57" t="str">
        <f t="shared" ca="1" si="39"/>
        <v xml:space="preserve">39 Tahun 5 Bulan </v>
      </c>
      <c r="AE553" s="33" t="s">
        <v>1106</v>
      </c>
      <c r="AF553" s="34"/>
      <c r="AG553" s="22" t="s">
        <v>2611</v>
      </c>
      <c r="AH553" s="58"/>
      <c r="AI553" s="58"/>
      <c r="AJ553" s="58"/>
      <c r="AK553" s="33"/>
      <c r="AL553" s="36"/>
      <c r="AM553" s="14"/>
    </row>
    <row r="554" spans="1:39" ht="14.45" customHeight="1" x14ac:dyDescent="0.25">
      <c r="A554" s="17">
        <v>6</v>
      </c>
      <c r="B554" s="78"/>
      <c r="C554" s="139" t="s">
        <v>2642</v>
      </c>
      <c r="D554" s="137" t="s">
        <v>2643</v>
      </c>
      <c r="E554" s="52" t="s">
        <v>56</v>
      </c>
      <c r="F554" s="58" t="s">
        <v>41</v>
      </c>
      <c r="G554" s="89" t="s">
        <v>102</v>
      </c>
      <c r="H554" s="22" t="s">
        <v>103</v>
      </c>
      <c r="I554" s="58" t="s">
        <v>44</v>
      </c>
      <c r="J554" s="22" t="s">
        <v>1166</v>
      </c>
      <c r="K554" s="24">
        <v>45566</v>
      </c>
      <c r="L554" s="25" t="s">
        <v>2644</v>
      </c>
      <c r="M554" s="26">
        <v>42041</v>
      </c>
      <c r="N554" s="26">
        <v>44047</v>
      </c>
      <c r="O554" s="27" t="s">
        <v>148</v>
      </c>
      <c r="P554" s="28" t="s">
        <v>2645</v>
      </c>
      <c r="Q554" s="29">
        <v>42212</v>
      </c>
      <c r="R554" s="26">
        <v>44047</v>
      </c>
      <c r="S554" s="33" t="s">
        <v>1172</v>
      </c>
      <c r="T554" s="33"/>
      <c r="U554" s="33"/>
      <c r="V554" s="33"/>
      <c r="W554" s="95">
        <v>41244</v>
      </c>
      <c r="X554" s="22"/>
      <c r="Y554" s="30">
        <v>41730</v>
      </c>
      <c r="Z554" s="55" t="str">
        <f ca="1">DATEDIF(W554,TODAY(),"y")&amp;" Tahun "&amp;DATEDIF(W554,TODAY(),"ym")&amp;" Bulan "&amp;DATEDIF(W554,TODAY(),"md")&amp;" Hari"</f>
        <v>12 Tahun 10 Bulan 30 Hari</v>
      </c>
      <c r="AA554" s="66" t="s">
        <v>2646</v>
      </c>
      <c r="AB554" s="56">
        <v>33089</v>
      </c>
      <c r="AC554" s="31" t="s">
        <v>2647</v>
      </c>
      <c r="AD554" s="57" t="str">
        <f t="shared" ca="1" si="39"/>
        <v xml:space="preserve">35 Tahun 2 Bulan </v>
      </c>
      <c r="AE554" s="33" t="s">
        <v>1106</v>
      </c>
      <c r="AF554" s="71"/>
      <c r="AG554" s="22" t="s">
        <v>2611</v>
      </c>
      <c r="AH554" s="22"/>
      <c r="AI554" s="22"/>
      <c r="AJ554" s="22"/>
      <c r="AK554" s="34"/>
      <c r="AL554" s="36"/>
      <c r="AM554" s="14"/>
    </row>
    <row r="555" spans="1:39" ht="14.45" customHeight="1" x14ac:dyDescent="0.25">
      <c r="A555" s="17">
        <v>7</v>
      </c>
      <c r="B555" s="78"/>
      <c r="C555" s="19" t="s">
        <v>2648</v>
      </c>
      <c r="D555" s="20" t="s">
        <v>2649</v>
      </c>
      <c r="E555" s="52" t="s">
        <v>40</v>
      </c>
      <c r="F555" s="87" t="s">
        <v>41</v>
      </c>
      <c r="G555" s="23" t="s">
        <v>102</v>
      </c>
      <c r="H555" s="22" t="s">
        <v>103</v>
      </c>
      <c r="I555" s="22" t="s">
        <v>44</v>
      </c>
      <c r="J555" s="22" t="s">
        <v>1166</v>
      </c>
      <c r="K555" s="24">
        <v>45200</v>
      </c>
      <c r="L555" s="53" t="s">
        <v>2650</v>
      </c>
      <c r="M555" s="26">
        <v>43117</v>
      </c>
      <c r="N555" s="26">
        <v>45100</v>
      </c>
      <c r="O555" s="27" t="s">
        <v>148</v>
      </c>
      <c r="P555" s="28" t="s">
        <v>2651</v>
      </c>
      <c r="Q555" s="29">
        <v>43192</v>
      </c>
      <c r="R555" s="26">
        <v>43375</v>
      </c>
      <c r="S555" s="23" t="s">
        <v>1172</v>
      </c>
      <c r="T555" s="23"/>
      <c r="U555" s="23"/>
      <c r="V555" s="23"/>
      <c r="W555" s="30">
        <v>40513</v>
      </c>
      <c r="X555" s="30">
        <v>40664</v>
      </c>
      <c r="Y555" s="30">
        <v>42125</v>
      </c>
      <c r="Z555" s="31" t="str">
        <f ca="1">DATEDIF(W555,TODAY(),"y")&amp;" Tahun "&amp;DATEDIF(W555,TODAY(),"ym")&amp;" Bulan "&amp;DATEDIF(W555,TODAY(),"md")&amp;" Hari"</f>
        <v>14 Tahun 10 Bulan 30 Hari</v>
      </c>
      <c r="AA555" s="55" t="s">
        <v>76</v>
      </c>
      <c r="AB555" s="56">
        <v>30856</v>
      </c>
      <c r="AC555" s="32" t="s">
        <v>2652</v>
      </c>
      <c r="AD555" s="57" t="str">
        <f t="shared" ca="1" si="39"/>
        <v xml:space="preserve">41 Tahun 4 Bulan </v>
      </c>
      <c r="AE555" s="33" t="s">
        <v>1106</v>
      </c>
      <c r="AF555" s="34"/>
      <c r="AG555" s="22" t="s">
        <v>2611</v>
      </c>
      <c r="AH555" s="22"/>
      <c r="AI555" s="22"/>
      <c r="AJ555" s="22"/>
      <c r="AK555" s="33"/>
      <c r="AL555" s="36"/>
      <c r="AM555" s="14"/>
    </row>
    <row r="556" spans="1:39" ht="14.45" customHeight="1" x14ac:dyDescent="0.25">
      <c r="A556" s="17">
        <v>8</v>
      </c>
      <c r="B556" s="134">
        <v>1381</v>
      </c>
      <c r="C556" s="50" t="s">
        <v>5816</v>
      </c>
      <c r="D556" s="20" t="s">
        <v>2653</v>
      </c>
      <c r="E556" s="58" t="s">
        <v>56</v>
      </c>
      <c r="F556" s="58" t="s">
        <v>41</v>
      </c>
      <c r="G556" s="23" t="s">
        <v>227</v>
      </c>
      <c r="H556" s="22" t="s">
        <v>228</v>
      </c>
      <c r="I556" s="22" t="s">
        <v>44</v>
      </c>
      <c r="J556" s="22" t="s">
        <v>1148</v>
      </c>
      <c r="K556" s="24">
        <v>45505</v>
      </c>
      <c r="L556" s="25"/>
      <c r="M556" s="26"/>
      <c r="N556" s="26"/>
      <c r="O556" s="27"/>
      <c r="P556" s="28"/>
      <c r="Q556" s="29"/>
      <c r="R556" s="26"/>
      <c r="S556" s="23" t="s">
        <v>84</v>
      </c>
      <c r="T556" s="23"/>
      <c r="U556" s="23"/>
      <c r="V556" s="23"/>
      <c r="W556" s="30">
        <v>44166</v>
      </c>
      <c r="X556" s="30">
        <v>44197</v>
      </c>
      <c r="Y556" s="30">
        <v>44197</v>
      </c>
      <c r="Z556" s="55" t="str">
        <f t="shared" ref="Z556:Z566" ca="1" si="40">DATEDIF(X556,TODAY(),"y")&amp;" Tahun "&amp;DATEDIF(X556,TODAY(),"ym")&amp;" Bulan "&amp;DATEDIF(X556,TODAY(),"md")&amp;" Hari"</f>
        <v>4 Tahun 9 Bulan 30 Hari</v>
      </c>
      <c r="AA556" s="55" t="s">
        <v>2508</v>
      </c>
      <c r="AB556" s="56">
        <v>34118</v>
      </c>
      <c r="AC556" s="32" t="s">
        <v>2654</v>
      </c>
      <c r="AD556" s="57" t="str">
        <f t="shared" ca="1" si="39"/>
        <v xml:space="preserve">32 Tahun 5 Bulan </v>
      </c>
      <c r="AE556" s="33" t="s">
        <v>1106</v>
      </c>
      <c r="AF556" s="71"/>
      <c r="AG556" s="22" t="s">
        <v>2611</v>
      </c>
      <c r="AH556" s="58"/>
      <c r="AI556" s="58"/>
      <c r="AJ556" s="58"/>
      <c r="AK556" s="34"/>
      <c r="AL556" s="36"/>
      <c r="AM556" s="14"/>
    </row>
    <row r="557" spans="1:39" ht="14.45" customHeight="1" x14ac:dyDescent="0.25">
      <c r="A557" s="17">
        <v>9</v>
      </c>
      <c r="B557" s="78"/>
      <c r="C557" s="50" t="s">
        <v>2655</v>
      </c>
      <c r="D557" s="62" t="s">
        <v>2656</v>
      </c>
      <c r="E557" s="92" t="s">
        <v>40</v>
      </c>
      <c r="F557" s="35" t="s">
        <v>41</v>
      </c>
      <c r="G557" s="23" t="s">
        <v>227</v>
      </c>
      <c r="H557" s="22" t="s">
        <v>228</v>
      </c>
      <c r="I557" s="22" t="s">
        <v>44</v>
      </c>
      <c r="J557" s="22" t="s">
        <v>1148</v>
      </c>
      <c r="K557" s="24">
        <v>45505</v>
      </c>
      <c r="L557" s="25" t="s">
        <v>2657</v>
      </c>
      <c r="M557" s="26">
        <v>42677</v>
      </c>
      <c r="N557" s="26">
        <v>44323</v>
      </c>
      <c r="O557" s="27" t="s">
        <v>84</v>
      </c>
      <c r="P557" s="28" t="s">
        <v>2658</v>
      </c>
      <c r="Q557" s="29">
        <v>43124</v>
      </c>
      <c r="R557" s="26">
        <v>44323</v>
      </c>
      <c r="S557" s="38" t="s">
        <v>84</v>
      </c>
      <c r="T557" s="38"/>
      <c r="U557" s="38"/>
      <c r="V557" s="38"/>
      <c r="W557" s="30">
        <v>44166</v>
      </c>
      <c r="X557" s="37">
        <v>43070</v>
      </c>
      <c r="Y557" s="37">
        <v>43070</v>
      </c>
      <c r="Z557" s="93" t="str">
        <f t="shared" ca="1" si="40"/>
        <v>7 Tahun 10 Bulan 30 Hari</v>
      </c>
      <c r="AA557" s="63" t="s">
        <v>1540</v>
      </c>
      <c r="AB557" s="94">
        <v>33365</v>
      </c>
      <c r="AC557" s="31" t="s">
        <v>2659</v>
      </c>
      <c r="AD557" s="57" t="str">
        <f t="shared" ca="1" si="39"/>
        <v xml:space="preserve">34 Tahun 5 Bulan </v>
      </c>
      <c r="AE557" s="154" t="s">
        <v>1106</v>
      </c>
      <c r="AF557" s="172"/>
      <c r="AG557" s="22" t="s">
        <v>2611</v>
      </c>
      <c r="AH557" s="22"/>
      <c r="AI557" s="22"/>
      <c r="AJ557" s="22"/>
      <c r="AK557" s="33"/>
      <c r="AL557" s="36"/>
    </row>
    <row r="558" spans="1:39" ht="14.45" customHeight="1" x14ac:dyDescent="0.25">
      <c r="A558" s="17">
        <v>10</v>
      </c>
      <c r="B558" s="142"/>
      <c r="C558" s="294" t="s">
        <v>2660</v>
      </c>
      <c r="D558" s="45" t="s">
        <v>2661</v>
      </c>
      <c r="E558" s="46" t="s">
        <v>56</v>
      </c>
      <c r="F558" s="6" t="s">
        <v>238</v>
      </c>
      <c r="G558" s="8" t="s">
        <v>3872</v>
      </c>
      <c r="H558" s="22" t="s">
        <v>1078</v>
      </c>
      <c r="I558" s="22" t="s">
        <v>44</v>
      </c>
      <c r="J558" s="22" t="s">
        <v>1293</v>
      </c>
      <c r="K558" s="22"/>
      <c r="L558" s="144" t="s">
        <v>2662</v>
      </c>
      <c r="M558" s="145">
        <v>43047</v>
      </c>
      <c r="N558" s="145">
        <v>44863</v>
      </c>
      <c r="O558" s="146" t="s">
        <v>1155</v>
      </c>
      <c r="P558" s="150" t="s">
        <v>2663</v>
      </c>
      <c r="Q558" s="147">
        <v>43192</v>
      </c>
      <c r="R558" s="145">
        <v>43375</v>
      </c>
      <c r="S558" s="15" t="s">
        <v>1167</v>
      </c>
      <c r="T558" s="15"/>
      <c r="U558" s="15"/>
      <c r="V558" s="15"/>
      <c r="W558" s="179">
        <v>45047</v>
      </c>
      <c r="X558" s="10">
        <v>39085</v>
      </c>
      <c r="Y558" s="10">
        <v>41730</v>
      </c>
      <c r="Z558" s="11" t="str">
        <f t="shared" ca="1" si="40"/>
        <v>18 Tahun 9 Bulan 28 Hari</v>
      </c>
      <c r="AA558" s="11" t="s">
        <v>563</v>
      </c>
      <c r="AB558" s="48">
        <v>30618</v>
      </c>
      <c r="AC558" s="11" t="s">
        <v>2664</v>
      </c>
      <c r="AD558" s="6" t="str">
        <f t="shared" ca="1" si="39"/>
        <v xml:space="preserve">42 Tahun 0 Bulan </v>
      </c>
      <c r="AE558" s="8" t="s">
        <v>1106</v>
      </c>
      <c r="AG558" s="22" t="s">
        <v>2611</v>
      </c>
      <c r="AH558" s="58"/>
      <c r="AI558" s="58"/>
      <c r="AJ558" s="58"/>
      <c r="AK558" s="33" t="s">
        <v>676</v>
      </c>
      <c r="AL558" s="36"/>
    </row>
    <row r="559" spans="1:39" ht="14.45" customHeight="1" x14ac:dyDescent="0.25">
      <c r="A559" s="17">
        <v>11</v>
      </c>
      <c r="B559" s="134"/>
      <c r="C559" s="50" t="s">
        <v>5817</v>
      </c>
      <c r="D559" s="20" t="s">
        <v>2665</v>
      </c>
      <c r="E559" s="52" t="s">
        <v>56</v>
      </c>
      <c r="F559" s="58" t="s">
        <v>238</v>
      </c>
      <c r="G559" s="90" t="s">
        <v>3872</v>
      </c>
      <c r="H559" s="22" t="s">
        <v>1078</v>
      </c>
      <c r="I559" s="58" t="s">
        <v>44</v>
      </c>
      <c r="J559" s="22" t="s">
        <v>1293</v>
      </c>
      <c r="K559" s="30"/>
      <c r="L559" s="53" t="s">
        <v>2666</v>
      </c>
      <c r="M559" s="26">
        <v>43117</v>
      </c>
      <c r="N559" s="26">
        <v>45236</v>
      </c>
      <c r="O559" s="27" t="s">
        <v>148</v>
      </c>
      <c r="P559" s="28" t="s">
        <v>2667</v>
      </c>
      <c r="Q559" s="29">
        <v>43192</v>
      </c>
      <c r="R559" s="26">
        <v>45236</v>
      </c>
      <c r="S559" s="23" t="s">
        <v>1167</v>
      </c>
      <c r="T559" s="23"/>
      <c r="U559" s="23"/>
      <c r="V559" s="23"/>
      <c r="W559" s="77">
        <v>45047</v>
      </c>
      <c r="X559" s="30">
        <v>39085</v>
      </c>
      <c r="Y559" s="30">
        <v>39085</v>
      </c>
      <c r="Z559" s="55" t="str">
        <f t="shared" ca="1" si="40"/>
        <v>18 Tahun 9 Bulan 28 Hari</v>
      </c>
      <c r="AA559" s="55" t="s">
        <v>76</v>
      </c>
      <c r="AB559" s="56">
        <v>30261</v>
      </c>
      <c r="AC559" s="32" t="s">
        <v>2668</v>
      </c>
      <c r="AD559" s="57" t="str">
        <f t="shared" ca="1" si="39"/>
        <v xml:space="preserve">42 Tahun 11 Bulan </v>
      </c>
      <c r="AE559" s="33" t="s">
        <v>1106</v>
      </c>
      <c r="AF559" s="71"/>
      <c r="AG559" s="22" t="s">
        <v>2611</v>
      </c>
      <c r="AH559" s="38"/>
      <c r="AI559" s="38"/>
      <c r="AJ559" s="154"/>
      <c r="AK559" s="154" t="s">
        <v>112</v>
      </c>
      <c r="AL559" s="38"/>
      <c r="AM559" s="47"/>
    </row>
    <row r="560" spans="1:39" ht="14.45" customHeight="1" x14ac:dyDescent="0.25">
      <c r="A560" s="17">
        <v>12</v>
      </c>
      <c r="B560" s="134"/>
      <c r="C560" s="50" t="s">
        <v>2669</v>
      </c>
      <c r="D560" s="20" t="s">
        <v>2670</v>
      </c>
      <c r="E560" s="52" t="s">
        <v>56</v>
      </c>
      <c r="F560" s="58" t="s">
        <v>238</v>
      </c>
      <c r="G560" s="89" t="s">
        <v>3872</v>
      </c>
      <c r="H560" s="22" t="s">
        <v>1078</v>
      </c>
      <c r="I560" s="58" t="s">
        <v>44</v>
      </c>
      <c r="J560" s="22" t="s">
        <v>1293</v>
      </c>
      <c r="K560" s="22"/>
      <c r="L560" s="25" t="s">
        <v>2671</v>
      </c>
      <c r="M560" s="26">
        <v>43203</v>
      </c>
      <c r="N560" s="26">
        <v>45067</v>
      </c>
      <c r="O560" s="27" t="s">
        <v>148</v>
      </c>
      <c r="P560" s="53" t="s">
        <v>2672</v>
      </c>
      <c r="Q560" s="26">
        <v>43305</v>
      </c>
      <c r="R560" s="29">
        <v>45067</v>
      </c>
      <c r="S560" s="23" t="s">
        <v>1172</v>
      </c>
      <c r="T560" s="23"/>
      <c r="U560" s="23"/>
      <c r="V560" s="23"/>
      <c r="W560" s="77">
        <v>45047</v>
      </c>
      <c r="X560" s="30">
        <v>40330</v>
      </c>
      <c r="Y560" s="30">
        <v>40360</v>
      </c>
      <c r="Z560" s="55" t="str">
        <f t="shared" ca="1" si="40"/>
        <v>15 Tahun 4 Bulan 30 Hari</v>
      </c>
      <c r="AA560" s="55" t="s">
        <v>128</v>
      </c>
      <c r="AB560" s="56">
        <v>30092</v>
      </c>
      <c r="AC560" s="31" t="s">
        <v>2673</v>
      </c>
      <c r="AD560" s="57" t="str">
        <f t="shared" ca="1" si="39"/>
        <v xml:space="preserve">43 Tahun 5 Bulan </v>
      </c>
      <c r="AE560" s="33" t="s">
        <v>1106</v>
      </c>
      <c r="AF560" s="71"/>
      <c r="AG560" s="22" t="s">
        <v>2611</v>
      </c>
      <c r="AK560" s="8" t="s">
        <v>314</v>
      </c>
    </row>
    <row r="561" spans="1:39" ht="14.45" customHeight="1" x14ac:dyDescent="0.25">
      <c r="A561" s="17">
        <v>13</v>
      </c>
      <c r="B561" s="78"/>
      <c r="C561" s="292" t="s">
        <v>5818</v>
      </c>
      <c r="D561" s="124" t="s">
        <v>2674</v>
      </c>
      <c r="E561" s="52" t="s">
        <v>56</v>
      </c>
      <c r="F561" s="58" t="s">
        <v>238</v>
      </c>
      <c r="G561" s="89" t="s">
        <v>3872</v>
      </c>
      <c r="H561" s="22" t="s">
        <v>1078</v>
      </c>
      <c r="I561" s="58" t="s">
        <v>44</v>
      </c>
      <c r="J561" s="22" t="s">
        <v>1293</v>
      </c>
      <c r="K561" s="22"/>
      <c r="L561" s="25" t="s">
        <v>2675</v>
      </c>
      <c r="M561" s="26">
        <v>42926</v>
      </c>
      <c r="N561" s="26">
        <v>44564</v>
      </c>
      <c r="O561" s="27" t="s">
        <v>1155</v>
      </c>
      <c r="P561" s="53" t="s">
        <v>2676</v>
      </c>
      <c r="Q561" s="26">
        <v>43087</v>
      </c>
      <c r="R561" s="26">
        <v>44564</v>
      </c>
      <c r="S561" s="23" t="s">
        <v>1172</v>
      </c>
      <c r="T561" s="23"/>
      <c r="U561" s="23"/>
      <c r="V561" s="23"/>
      <c r="W561" s="77">
        <v>45047</v>
      </c>
      <c r="X561" s="30">
        <v>40330</v>
      </c>
      <c r="Y561" s="30">
        <v>40360</v>
      </c>
      <c r="Z561" s="55" t="str">
        <f t="shared" ca="1" si="40"/>
        <v>15 Tahun 4 Bulan 30 Hari</v>
      </c>
      <c r="AA561" s="55" t="s">
        <v>76</v>
      </c>
      <c r="AB561" s="126">
        <v>32145</v>
      </c>
      <c r="AC561" s="127" t="s">
        <v>2677</v>
      </c>
      <c r="AD561" s="57" t="str">
        <f t="shared" ca="1" si="39"/>
        <v xml:space="preserve">37 Tahun 9 Bulan </v>
      </c>
      <c r="AE561" s="128" t="s">
        <v>1106</v>
      </c>
      <c r="AF561" s="71"/>
      <c r="AG561" s="22" t="s">
        <v>2611</v>
      </c>
      <c r="AH561" s="58"/>
      <c r="AI561" s="58"/>
      <c r="AJ561" s="58"/>
      <c r="AK561" s="33" t="s">
        <v>314</v>
      </c>
      <c r="AL561" s="36"/>
    </row>
    <row r="562" spans="1:39" ht="14.45" customHeight="1" x14ac:dyDescent="0.25">
      <c r="A562" s="17">
        <v>14</v>
      </c>
      <c r="B562" s="134"/>
      <c r="C562" s="50" t="s">
        <v>5819</v>
      </c>
      <c r="D562" s="20" t="s">
        <v>2678</v>
      </c>
      <c r="E562" s="52" t="s">
        <v>56</v>
      </c>
      <c r="F562" s="58" t="s">
        <v>238</v>
      </c>
      <c r="G562" s="90" t="s">
        <v>3872</v>
      </c>
      <c r="H562" s="22" t="s">
        <v>1078</v>
      </c>
      <c r="I562" s="58" t="s">
        <v>44</v>
      </c>
      <c r="J562" s="22" t="s">
        <v>1293</v>
      </c>
      <c r="K562" s="22"/>
      <c r="L562" s="25" t="s">
        <v>2679</v>
      </c>
      <c r="M562" s="26">
        <v>43117</v>
      </c>
      <c r="N562" s="26">
        <v>45242</v>
      </c>
      <c r="O562" s="27" t="s">
        <v>148</v>
      </c>
      <c r="P562" s="53" t="s">
        <v>2680</v>
      </c>
      <c r="Q562" s="26">
        <v>43242</v>
      </c>
      <c r="R562" s="26">
        <v>45242</v>
      </c>
      <c r="S562" s="33" t="s">
        <v>1172</v>
      </c>
      <c r="T562" s="33"/>
      <c r="U562" s="33"/>
      <c r="V562" s="33"/>
      <c r="W562" s="77">
        <v>45047</v>
      </c>
      <c r="X562" s="30">
        <v>40695</v>
      </c>
      <c r="Y562" s="30">
        <v>40756</v>
      </c>
      <c r="Z562" s="55" t="str">
        <f t="shared" ca="1" si="40"/>
        <v>14 Tahun 4 Bulan 30 Hari</v>
      </c>
      <c r="AA562" s="55" t="s">
        <v>76</v>
      </c>
      <c r="AB562" s="56">
        <v>32824</v>
      </c>
      <c r="AC562" s="31" t="s">
        <v>2681</v>
      </c>
      <c r="AD562" s="57" t="str">
        <f t="shared" ca="1" si="39"/>
        <v xml:space="preserve">35 Tahun 11 Bulan </v>
      </c>
      <c r="AE562" s="33" t="s">
        <v>1106</v>
      </c>
      <c r="AG562" s="22" t="s">
        <v>2611</v>
      </c>
      <c r="AH562" s="58"/>
      <c r="AI562" s="58"/>
      <c r="AJ562" s="58"/>
      <c r="AK562" s="33" t="s">
        <v>314</v>
      </c>
      <c r="AL562" s="36"/>
    </row>
    <row r="563" spans="1:39" ht="14.45" customHeight="1" x14ac:dyDescent="0.25">
      <c r="A563" s="17">
        <v>15</v>
      </c>
      <c r="B563" s="78"/>
      <c r="C563" s="50" t="s">
        <v>5820</v>
      </c>
      <c r="D563" s="20" t="s">
        <v>2682</v>
      </c>
      <c r="E563" s="21" t="s">
        <v>56</v>
      </c>
      <c r="F563" s="58" t="s">
        <v>238</v>
      </c>
      <c r="G563" s="90" t="s">
        <v>3872</v>
      </c>
      <c r="H563" s="22" t="s">
        <v>1078</v>
      </c>
      <c r="I563" s="58" t="s">
        <v>44</v>
      </c>
      <c r="J563" s="22" t="s">
        <v>1293</v>
      </c>
      <c r="K563" s="30"/>
      <c r="L563" s="53" t="s">
        <v>2683</v>
      </c>
      <c r="M563" s="26">
        <v>43117</v>
      </c>
      <c r="N563" s="26">
        <v>45255</v>
      </c>
      <c r="O563" s="27" t="s">
        <v>148</v>
      </c>
      <c r="P563" s="53" t="s">
        <v>2684</v>
      </c>
      <c r="Q563" s="26">
        <v>43242</v>
      </c>
      <c r="R563" s="26">
        <v>45255</v>
      </c>
      <c r="S563" s="33" t="s">
        <v>1172</v>
      </c>
      <c r="T563" s="33"/>
      <c r="U563" s="33"/>
      <c r="V563" s="33"/>
      <c r="W563" s="30">
        <v>45047</v>
      </c>
      <c r="X563" s="30">
        <v>40695</v>
      </c>
      <c r="Y563" s="30">
        <v>40756</v>
      </c>
      <c r="Z563" s="31" t="str">
        <f t="shared" ca="1" si="40"/>
        <v>14 Tahun 4 Bulan 30 Hari</v>
      </c>
      <c r="AA563" s="31" t="s">
        <v>563</v>
      </c>
      <c r="AB563" s="32">
        <v>31376</v>
      </c>
      <c r="AC563" s="31" t="s">
        <v>2685</v>
      </c>
      <c r="AD563" s="22" t="str">
        <f t="shared" ca="1" si="39"/>
        <v xml:space="preserve">39 Tahun 11 Bulan </v>
      </c>
      <c r="AE563" s="33" t="s">
        <v>1106</v>
      </c>
      <c r="AF563" s="34"/>
      <c r="AG563" s="22" t="s">
        <v>2611</v>
      </c>
      <c r="AH563" s="58"/>
      <c r="AI563" s="58"/>
      <c r="AJ563" s="118"/>
      <c r="AK563" s="128" t="s">
        <v>314</v>
      </c>
      <c r="AL563" s="131"/>
      <c r="AM563" s="14"/>
    </row>
    <row r="564" spans="1:39" ht="14.45" customHeight="1" x14ac:dyDescent="0.25">
      <c r="A564" s="17">
        <v>16</v>
      </c>
      <c r="B564" s="78"/>
      <c r="C564" s="50" t="s">
        <v>2754</v>
      </c>
      <c r="D564" s="62" t="s">
        <v>2755</v>
      </c>
      <c r="E564" s="21" t="s">
        <v>56</v>
      </c>
      <c r="F564" s="22" t="s">
        <v>238</v>
      </c>
      <c r="G564" s="23" t="s">
        <v>3872</v>
      </c>
      <c r="H564" s="22" t="s">
        <v>305</v>
      </c>
      <c r="I564" s="22" t="s">
        <v>44</v>
      </c>
      <c r="J564" s="22" t="s">
        <v>1104</v>
      </c>
      <c r="K564" s="30"/>
      <c r="L564" s="25"/>
      <c r="M564" s="29"/>
      <c r="N564" s="26"/>
      <c r="O564" s="27"/>
      <c r="P564" s="28"/>
      <c r="Q564" s="29"/>
      <c r="R564" s="26"/>
      <c r="S564" s="23" t="s">
        <v>84</v>
      </c>
      <c r="T564" s="23"/>
      <c r="U564" s="23"/>
      <c r="V564" s="23"/>
      <c r="W564" s="30">
        <v>45383</v>
      </c>
      <c r="X564" s="30">
        <v>45383</v>
      </c>
      <c r="Y564" s="30">
        <v>45383</v>
      </c>
      <c r="Z564" s="31" t="str">
        <f t="shared" ca="1" si="40"/>
        <v>1 Tahun 6 Bulan 30 Hari</v>
      </c>
      <c r="AA564" s="31" t="s">
        <v>1045</v>
      </c>
      <c r="AB564" s="32">
        <v>34758</v>
      </c>
      <c r="AC564" s="31" t="s">
        <v>2756</v>
      </c>
      <c r="AD564" s="22" t="str">
        <f t="shared" ca="1" si="39"/>
        <v xml:space="preserve">30 Tahun 8 Bulan </v>
      </c>
      <c r="AE564" s="33" t="s">
        <v>1106</v>
      </c>
      <c r="AF564" s="34"/>
      <c r="AG564" s="22" t="s">
        <v>2611</v>
      </c>
      <c r="AH564" s="58"/>
      <c r="AI564" s="58"/>
      <c r="AJ564" s="58"/>
      <c r="AK564" s="33" t="s">
        <v>314</v>
      </c>
      <c r="AL564" s="36"/>
    </row>
    <row r="565" spans="1:39" ht="14.45" customHeight="1" x14ac:dyDescent="0.25">
      <c r="A565" s="17">
        <v>17</v>
      </c>
      <c r="B565" s="18"/>
      <c r="C565" s="50" t="s">
        <v>5821</v>
      </c>
      <c r="D565" s="20" t="s">
        <v>2686</v>
      </c>
      <c r="E565" s="21" t="s">
        <v>40</v>
      </c>
      <c r="F565" s="22" t="s">
        <v>192</v>
      </c>
      <c r="G565" s="23" t="s">
        <v>227</v>
      </c>
      <c r="H565" s="22" t="s">
        <v>228</v>
      </c>
      <c r="I565" s="22" t="s">
        <v>155</v>
      </c>
      <c r="J565" s="22" t="s">
        <v>1104</v>
      </c>
      <c r="K565" s="24" t="s">
        <v>195</v>
      </c>
      <c r="L565" s="22"/>
      <c r="M565" s="22"/>
      <c r="N565" s="22"/>
      <c r="O565" s="22"/>
      <c r="P565" s="22"/>
      <c r="Q565" s="22"/>
      <c r="R565" s="22"/>
      <c r="S565" s="23" t="s">
        <v>84</v>
      </c>
      <c r="T565" s="23"/>
      <c r="U565" s="23"/>
      <c r="V565" s="23"/>
      <c r="W565" s="69">
        <v>45809</v>
      </c>
      <c r="X565" s="69">
        <v>45810</v>
      </c>
      <c r="Y565" s="69">
        <v>45810</v>
      </c>
      <c r="Z565" s="31" t="str">
        <f t="shared" ca="1" si="40"/>
        <v>0 Tahun 4 Bulan 29 Hari</v>
      </c>
      <c r="AA565" s="23" t="s">
        <v>203</v>
      </c>
      <c r="AB565" s="32">
        <v>36432</v>
      </c>
      <c r="AC565" s="32" t="s">
        <v>2687</v>
      </c>
      <c r="AD565" s="22" t="str">
        <f t="shared" ca="1" si="39"/>
        <v xml:space="preserve">26 Tahun 1 Bulan </v>
      </c>
      <c r="AE565" s="33" t="s">
        <v>1106</v>
      </c>
      <c r="AF565" s="34"/>
      <c r="AG565" s="22" t="s">
        <v>2611</v>
      </c>
      <c r="AH565" s="22"/>
      <c r="AI565" s="22"/>
      <c r="AJ565" s="22"/>
      <c r="AK565" s="33" t="s">
        <v>314</v>
      </c>
      <c r="AL565" s="36"/>
      <c r="AM565" s="14"/>
    </row>
    <row r="566" spans="1:39" ht="14.45" customHeight="1" x14ac:dyDescent="0.25">
      <c r="A566" s="17">
        <v>18</v>
      </c>
      <c r="B566" s="78"/>
      <c r="C566" s="50" t="s">
        <v>2688</v>
      </c>
      <c r="D566" s="62" t="s">
        <v>5822</v>
      </c>
      <c r="E566" s="21" t="s">
        <v>56</v>
      </c>
      <c r="F566" s="22" t="s">
        <v>5691</v>
      </c>
      <c r="G566" s="23" t="s">
        <v>3872</v>
      </c>
      <c r="H566" s="22" t="s">
        <v>5692</v>
      </c>
      <c r="I566" s="22" t="s">
        <v>155</v>
      </c>
      <c r="J566" s="22" t="s">
        <v>5693</v>
      </c>
      <c r="K566" s="30"/>
      <c r="L566" s="25"/>
      <c r="M566" s="29"/>
      <c r="N566" s="26"/>
      <c r="O566" s="27"/>
      <c r="P566" s="28"/>
      <c r="Q566" s="29"/>
      <c r="R566" s="26"/>
      <c r="S566" s="23" t="s">
        <v>1068</v>
      </c>
      <c r="T566" s="23"/>
      <c r="U566" s="23"/>
      <c r="V566" s="23"/>
      <c r="W566" s="30">
        <v>45931</v>
      </c>
      <c r="X566" s="30">
        <v>45261</v>
      </c>
      <c r="Y566" s="30">
        <v>45261</v>
      </c>
      <c r="Z566" s="31" t="str">
        <f t="shared" ca="1" si="40"/>
        <v>1 Tahun 10 Bulan 30 Hari</v>
      </c>
      <c r="AA566" s="31" t="s">
        <v>76</v>
      </c>
      <c r="AB566" s="32">
        <v>32637</v>
      </c>
      <c r="AC566" s="31" t="s">
        <v>5823</v>
      </c>
      <c r="AD566" s="22" t="str">
        <f t="shared" ca="1" si="39"/>
        <v xml:space="preserve">36 Tahun 5 Bulan </v>
      </c>
      <c r="AE566" s="33" t="s">
        <v>1341</v>
      </c>
      <c r="AF566" s="34"/>
      <c r="AG566" s="22" t="s">
        <v>2611</v>
      </c>
      <c r="AH566" s="22"/>
      <c r="AI566" s="22"/>
      <c r="AJ566" s="22"/>
      <c r="AK566" s="33" t="s">
        <v>200</v>
      </c>
      <c r="AL566" s="36"/>
    </row>
    <row r="567" spans="1:39" ht="14.45" customHeight="1" x14ac:dyDescent="0.25">
      <c r="A567" s="17">
        <v>19</v>
      </c>
      <c r="B567" s="18"/>
      <c r="C567" s="50" t="s">
        <v>1806</v>
      </c>
      <c r="D567" s="20" t="s">
        <v>1807</v>
      </c>
      <c r="E567" s="52" t="s">
        <v>40</v>
      </c>
      <c r="F567" s="22" t="s">
        <v>41</v>
      </c>
      <c r="G567" s="23" t="s">
        <v>42</v>
      </c>
      <c r="H567" s="22" t="s">
        <v>43</v>
      </c>
      <c r="I567" s="22" t="s">
        <v>44</v>
      </c>
      <c r="J567" s="22" t="s">
        <v>148</v>
      </c>
      <c r="K567" s="24">
        <v>45200</v>
      </c>
      <c r="L567" s="53" t="s">
        <v>1808</v>
      </c>
      <c r="M567" s="26">
        <v>42717</v>
      </c>
      <c r="N567" s="26">
        <v>44322</v>
      </c>
      <c r="O567" s="27" t="s">
        <v>84</v>
      </c>
      <c r="P567" s="53" t="s">
        <v>1809</v>
      </c>
      <c r="Q567" s="29">
        <v>42920</v>
      </c>
      <c r="R567" s="26">
        <v>44322</v>
      </c>
      <c r="S567" s="23" t="s">
        <v>84</v>
      </c>
      <c r="T567" s="23"/>
      <c r="U567" s="23"/>
      <c r="V567" s="23"/>
      <c r="W567" s="30">
        <v>34394</v>
      </c>
      <c r="X567" s="30">
        <v>34394</v>
      </c>
      <c r="Y567" s="30">
        <v>43887</v>
      </c>
      <c r="Z567" s="55" t="str">
        <f ca="1">DATEDIF(W567,TODAY(),"y")&amp;" Tahun "&amp;DATEDIF(W567,TODAY(),"ym")&amp;" Bulan "&amp;DATEDIF(W567,TODAY(),"md")&amp;" Hari"</f>
        <v>31 Tahun 7 Bulan 30 Hari</v>
      </c>
      <c r="AA567" s="55" t="s">
        <v>76</v>
      </c>
      <c r="AB567" s="56">
        <v>26790</v>
      </c>
      <c r="AC567" s="32" t="s">
        <v>1810</v>
      </c>
      <c r="AD567" s="57" t="str">
        <f t="shared" ca="1" si="39"/>
        <v xml:space="preserve">52 Tahun 5 Bulan </v>
      </c>
      <c r="AE567" s="33" t="s">
        <v>1151</v>
      </c>
      <c r="AF567" s="34"/>
      <c r="AG567" s="58" t="s">
        <v>2694</v>
      </c>
      <c r="AH567" s="22"/>
      <c r="AI567" s="22"/>
      <c r="AJ567" s="22"/>
      <c r="AK567" s="33"/>
      <c r="AL567" s="36"/>
      <c r="AM567" s="14"/>
    </row>
    <row r="568" spans="1:39" ht="14.45" customHeight="1" x14ac:dyDescent="0.25">
      <c r="A568" s="17"/>
      <c r="B568" s="78"/>
      <c r="C568" s="50" t="s">
        <v>1812</v>
      </c>
      <c r="D568" s="62" t="s">
        <v>1813</v>
      </c>
      <c r="E568" s="92" t="s">
        <v>56</v>
      </c>
      <c r="F568" s="92" t="s">
        <v>41</v>
      </c>
      <c r="G568" s="23" t="s">
        <v>227</v>
      </c>
      <c r="H568" s="22" t="s">
        <v>228</v>
      </c>
      <c r="I568" s="22" t="s">
        <v>44</v>
      </c>
      <c r="J568" s="22" t="s">
        <v>1148</v>
      </c>
      <c r="K568" s="24">
        <v>45200</v>
      </c>
      <c r="L568" s="25" t="s">
        <v>1814</v>
      </c>
      <c r="M568" s="26">
        <v>42174</v>
      </c>
      <c r="N568" s="26">
        <v>44161</v>
      </c>
      <c r="O568" s="27" t="s">
        <v>84</v>
      </c>
      <c r="P568" s="28" t="s">
        <v>1815</v>
      </c>
      <c r="Q568" s="29">
        <v>43124</v>
      </c>
      <c r="R568" s="26">
        <v>44161</v>
      </c>
      <c r="S568" s="38" t="s">
        <v>84</v>
      </c>
      <c r="T568" s="38"/>
      <c r="U568" s="38"/>
      <c r="V568" s="38"/>
      <c r="W568" s="30">
        <v>44166</v>
      </c>
      <c r="X568" s="37">
        <v>43070</v>
      </c>
      <c r="Y568" s="37">
        <v>43070</v>
      </c>
      <c r="Z568" s="93" t="str">
        <f ca="1">DATEDIF(X568,TODAY(),"y")&amp;" Tahun "&amp;DATEDIF(X568,TODAY(),"ym")&amp;" Bulan "&amp;DATEDIF(X568,TODAY(),"md")&amp;" Hari"</f>
        <v>7 Tahun 10 Bulan 30 Hari</v>
      </c>
      <c r="AA568" s="93" t="s">
        <v>1279</v>
      </c>
      <c r="AB568" s="94">
        <v>33203</v>
      </c>
      <c r="AC568" s="31" t="s">
        <v>1816</v>
      </c>
      <c r="AD568" s="57" t="str">
        <f t="shared" ca="1" si="39"/>
        <v xml:space="preserve">34 Tahun 11 Bulan </v>
      </c>
      <c r="AE568" s="38" t="s">
        <v>1158</v>
      </c>
      <c r="AF568" s="64"/>
      <c r="AG568" s="58" t="s">
        <v>2694</v>
      </c>
      <c r="AH568" s="58"/>
      <c r="AI568" s="58"/>
      <c r="AJ568" s="58"/>
      <c r="AK568" s="85"/>
      <c r="AL568" s="67"/>
    </row>
    <row r="569" spans="1:39" ht="14.45" customHeight="1" x14ac:dyDescent="0.25">
      <c r="A569" s="17">
        <v>1</v>
      </c>
      <c r="B569" s="78"/>
      <c r="C569" s="50" t="s">
        <v>1817</v>
      </c>
      <c r="D569" s="20" t="s">
        <v>1818</v>
      </c>
      <c r="E569" s="21" t="s">
        <v>40</v>
      </c>
      <c r="F569" s="22" t="s">
        <v>41</v>
      </c>
      <c r="G569" s="23" t="s">
        <v>42</v>
      </c>
      <c r="H569" s="60" t="s">
        <v>43</v>
      </c>
      <c r="I569" s="60" t="s">
        <v>44</v>
      </c>
      <c r="J569" s="60" t="s">
        <v>148</v>
      </c>
      <c r="K569" s="24">
        <v>45200</v>
      </c>
      <c r="L569" s="25" t="s">
        <v>1819</v>
      </c>
      <c r="M569" s="26">
        <v>42290</v>
      </c>
      <c r="N569" s="26">
        <v>44057</v>
      </c>
      <c r="O569" s="27" t="s">
        <v>84</v>
      </c>
      <c r="P569" s="28" t="s">
        <v>1820</v>
      </c>
      <c r="Q569" s="29">
        <v>43151</v>
      </c>
      <c r="R569" s="26">
        <v>44057</v>
      </c>
      <c r="S569" s="23" t="s">
        <v>84</v>
      </c>
      <c r="T569" s="23"/>
      <c r="U569" s="23"/>
      <c r="V569" s="23"/>
      <c r="W569" s="30">
        <v>34394</v>
      </c>
      <c r="X569" s="30">
        <v>34394</v>
      </c>
      <c r="Y569" s="30">
        <v>41730</v>
      </c>
      <c r="Z569" s="31" t="str">
        <f ca="1">DATEDIF(W569,TODAY(),"y")&amp;" Tahun "&amp;DATEDIF(W569,TODAY(),"ym")&amp;" Bulan "&amp;DATEDIF(W569,TODAY(),"md")&amp;" Hari"</f>
        <v>31 Tahun 7 Bulan 30 Hari</v>
      </c>
      <c r="AA569" s="31" t="s">
        <v>1821</v>
      </c>
      <c r="AB569" s="32">
        <v>26525</v>
      </c>
      <c r="AC569" s="31" t="s">
        <v>1822</v>
      </c>
      <c r="AD569" s="22" t="str">
        <f t="shared" ca="1" si="39"/>
        <v xml:space="preserve">53 Tahun 2 Bulan </v>
      </c>
      <c r="AE569" s="33" t="s">
        <v>1158</v>
      </c>
      <c r="AF569" s="34"/>
      <c r="AG569" s="58" t="s">
        <v>2694</v>
      </c>
      <c r="AH569" s="22"/>
      <c r="AI569" s="22"/>
      <c r="AJ569" s="22"/>
      <c r="AK569" s="33"/>
      <c r="AL569" s="36"/>
      <c r="AM569" s="14"/>
    </row>
    <row r="570" spans="1:39" ht="14.45" customHeight="1" x14ac:dyDescent="0.25">
      <c r="A570" s="17">
        <v>2</v>
      </c>
      <c r="B570" s="78"/>
      <c r="C570" s="50" t="s">
        <v>1823</v>
      </c>
      <c r="D570" s="20" t="s">
        <v>1824</v>
      </c>
      <c r="E570" s="52" t="s">
        <v>56</v>
      </c>
      <c r="F570" s="22" t="s">
        <v>41</v>
      </c>
      <c r="G570" s="23" t="s">
        <v>137</v>
      </c>
      <c r="H570" s="22" t="s">
        <v>138</v>
      </c>
      <c r="I570" s="22" t="s">
        <v>44</v>
      </c>
      <c r="J570" s="22" t="s">
        <v>1166</v>
      </c>
      <c r="K570" s="24">
        <v>43009</v>
      </c>
      <c r="L570" s="25" t="s">
        <v>1825</v>
      </c>
      <c r="M570" s="26">
        <v>41168</v>
      </c>
      <c r="N570" s="26">
        <v>42817</v>
      </c>
      <c r="O570" s="27" t="s">
        <v>1826</v>
      </c>
      <c r="P570" s="28" t="s">
        <v>1827</v>
      </c>
      <c r="Q570" s="29">
        <v>43192</v>
      </c>
      <c r="R570" s="26">
        <v>43375</v>
      </c>
      <c r="S570" s="23" t="s">
        <v>1172</v>
      </c>
      <c r="T570" s="23"/>
      <c r="U570" s="23"/>
      <c r="V570" s="23"/>
      <c r="W570" s="30">
        <v>33664</v>
      </c>
      <c r="X570" s="30">
        <v>33664</v>
      </c>
      <c r="Y570" s="30">
        <v>41306</v>
      </c>
      <c r="Z570" s="55" t="str">
        <f ca="1">DATEDIF(W570,TODAY(),"y")&amp;" Tahun "&amp;DATEDIF(W570,TODAY(),"ym")&amp;" Bulan "&amp;DATEDIF(W570,TODAY(),"md")&amp;" Hari"</f>
        <v>33 Tahun 7 Bulan 30 Hari</v>
      </c>
      <c r="AA570" s="55" t="s">
        <v>76</v>
      </c>
      <c r="AB570" s="56">
        <v>25285</v>
      </c>
      <c r="AC570" s="31" t="s">
        <v>1828</v>
      </c>
      <c r="AD570" s="57" t="str">
        <f t="shared" ca="1" si="39"/>
        <v xml:space="preserve">56 Tahun 7 Bulan </v>
      </c>
      <c r="AE570" s="33" t="s">
        <v>1106</v>
      </c>
      <c r="AF570" s="71"/>
      <c r="AG570" s="58" t="s">
        <v>2694</v>
      </c>
      <c r="AH570" s="58"/>
      <c r="AI570" s="58"/>
      <c r="AJ570" s="58"/>
      <c r="AK570" s="85"/>
      <c r="AL570" s="67"/>
      <c r="AM570" s="14"/>
    </row>
    <row r="571" spans="1:39" ht="14.45" customHeight="1" x14ac:dyDescent="0.25">
      <c r="A571" s="17">
        <v>3</v>
      </c>
      <c r="B571" s="78"/>
      <c r="C571" s="50" t="s">
        <v>1829</v>
      </c>
      <c r="D571" s="20" t="s">
        <v>1830</v>
      </c>
      <c r="E571" s="52" t="s">
        <v>56</v>
      </c>
      <c r="F571" s="22" t="s">
        <v>238</v>
      </c>
      <c r="G571" s="33" t="s">
        <v>3872</v>
      </c>
      <c r="H571" s="22" t="s">
        <v>1078</v>
      </c>
      <c r="I571" s="22" t="s">
        <v>44</v>
      </c>
      <c r="J571" s="22" t="s">
        <v>1293</v>
      </c>
      <c r="K571" s="22"/>
      <c r="L571" s="25" t="s">
        <v>1831</v>
      </c>
      <c r="M571" s="26">
        <v>42926</v>
      </c>
      <c r="N571" s="26">
        <v>44626</v>
      </c>
      <c r="O571" s="27" t="s">
        <v>1155</v>
      </c>
      <c r="P571" s="28" t="s">
        <v>1832</v>
      </c>
      <c r="Q571" s="29">
        <v>43151</v>
      </c>
      <c r="R571" s="26">
        <v>44660</v>
      </c>
      <c r="S571" s="23" t="s">
        <v>1167</v>
      </c>
      <c r="T571" s="23"/>
      <c r="U571" s="23"/>
      <c r="V571" s="23"/>
      <c r="W571" s="77">
        <v>45047</v>
      </c>
      <c r="X571" s="30">
        <v>39085</v>
      </c>
      <c r="Y571" s="30">
        <v>41791</v>
      </c>
      <c r="Z571" s="55" t="str">
        <f ca="1">DATEDIF(X571,TODAY(),"y")&amp;" Tahun "&amp;DATEDIF(X571,TODAY(),"ym")&amp;" Bulan "&amp;DATEDIF(X571,TODAY(),"md")&amp;" Hari"</f>
        <v>18 Tahun 9 Bulan 28 Hari</v>
      </c>
      <c r="AA571" s="55" t="s">
        <v>76</v>
      </c>
      <c r="AB571" s="56">
        <v>30415</v>
      </c>
      <c r="AC571" s="32" t="s">
        <v>1833</v>
      </c>
      <c r="AD571" s="57" t="str">
        <f t="shared" ca="1" si="39"/>
        <v xml:space="preserve">42 Tahun 6 Bulan </v>
      </c>
      <c r="AE571" s="33" t="s">
        <v>1106</v>
      </c>
      <c r="AF571" s="34"/>
      <c r="AG571" s="58" t="s">
        <v>2694</v>
      </c>
      <c r="AH571" s="22"/>
      <c r="AI571" s="22"/>
      <c r="AJ571" s="22"/>
      <c r="AK571" s="33"/>
      <c r="AL571" s="36"/>
    </row>
    <row r="572" spans="1:39" ht="14.45" customHeight="1" x14ac:dyDescent="0.25">
      <c r="A572" s="17">
        <v>4</v>
      </c>
      <c r="B572" s="134"/>
      <c r="C572" s="50" t="s">
        <v>1834</v>
      </c>
      <c r="D572" s="20" t="s">
        <v>1835</v>
      </c>
      <c r="E572" s="52" t="s">
        <v>56</v>
      </c>
      <c r="F572" s="22" t="s">
        <v>238</v>
      </c>
      <c r="G572" s="33" t="s">
        <v>3872</v>
      </c>
      <c r="H572" s="22" t="s">
        <v>1078</v>
      </c>
      <c r="I572" s="22" t="s">
        <v>44</v>
      </c>
      <c r="J572" s="22" t="s">
        <v>1293</v>
      </c>
      <c r="K572" s="22"/>
      <c r="L572" s="25" t="s">
        <v>1836</v>
      </c>
      <c r="M572" s="26">
        <v>41429</v>
      </c>
      <c r="N572" s="26">
        <v>43395</v>
      </c>
      <c r="O572" s="27" t="s">
        <v>148</v>
      </c>
      <c r="P572" s="28" t="s">
        <v>1837</v>
      </c>
      <c r="Q572" s="29">
        <v>42030</v>
      </c>
      <c r="R572" s="26">
        <v>43395</v>
      </c>
      <c r="S572" s="23" t="s">
        <v>1172</v>
      </c>
      <c r="T572" s="23"/>
      <c r="U572" s="23"/>
      <c r="V572" s="23"/>
      <c r="W572" s="77">
        <v>45383</v>
      </c>
      <c r="X572" s="30">
        <v>41030</v>
      </c>
      <c r="Y572" s="30">
        <v>43887</v>
      </c>
      <c r="Z572" s="55" t="str">
        <f ca="1">DATEDIF(X572,TODAY(),"y")&amp;" Tahun "&amp;DATEDIF(X572,TODAY(),"ym")&amp;" Bulan "&amp;DATEDIF(X572,TODAY(),"md")&amp;" Hari"</f>
        <v>13 Tahun 5 Bulan 30 Hari</v>
      </c>
      <c r="AA572" s="55" t="s">
        <v>76</v>
      </c>
      <c r="AB572" s="56">
        <v>33168</v>
      </c>
      <c r="AC572" s="32" t="s">
        <v>1838</v>
      </c>
      <c r="AD572" s="57" t="str">
        <f t="shared" ca="1" si="39"/>
        <v xml:space="preserve">35 Tahun 0 Bulan </v>
      </c>
      <c r="AE572" s="33" t="s">
        <v>1106</v>
      </c>
      <c r="AF572" s="71"/>
      <c r="AG572" s="58" t="s">
        <v>2694</v>
      </c>
      <c r="AH572" s="58"/>
      <c r="AI572" s="58"/>
      <c r="AJ572" s="58"/>
      <c r="AK572" s="33"/>
      <c r="AL572" s="36"/>
    </row>
    <row r="573" spans="1:39" ht="14.45" customHeight="1" x14ac:dyDescent="0.25">
      <c r="A573" s="17">
        <v>5</v>
      </c>
      <c r="B573" s="78"/>
      <c r="C573" s="50" t="s">
        <v>1839</v>
      </c>
      <c r="D573" s="62" t="s">
        <v>1840</v>
      </c>
      <c r="E573" s="21" t="s">
        <v>56</v>
      </c>
      <c r="F573" s="22" t="s">
        <v>238</v>
      </c>
      <c r="G573" s="23" t="s">
        <v>3872</v>
      </c>
      <c r="H573" s="22" t="s">
        <v>305</v>
      </c>
      <c r="I573" s="22" t="s">
        <v>44</v>
      </c>
      <c r="J573" s="22" t="s">
        <v>1104</v>
      </c>
      <c r="K573" s="30"/>
      <c r="L573" s="25"/>
      <c r="M573" s="29"/>
      <c r="N573" s="26"/>
      <c r="O573" s="27"/>
      <c r="P573" s="28"/>
      <c r="Q573" s="29"/>
      <c r="R573" s="26"/>
      <c r="S573" s="23" t="s">
        <v>84</v>
      </c>
      <c r="T573" s="23"/>
      <c r="U573" s="23"/>
      <c r="V573" s="23"/>
      <c r="W573" s="30">
        <v>45383</v>
      </c>
      <c r="X573" s="30">
        <v>45383</v>
      </c>
      <c r="Y573" s="30">
        <v>45383</v>
      </c>
      <c r="Z573" s="31" t="str">
        <f ca="1">DATEDIF(X573,TODAY(),"y")&amp;" Tahun "&amp;DATEDIF(X573,TODAY(),"ym")&amp;" Bulan "&amp;DATEDIF(X573,TODAY(),"md")&amp;" Hari"</f>
        <v>1 Tahun 6 Bulan 30 Hari</v>
      </c>
      <c r="AA573" s="31" t="s">
        <v>197</v>
      </c>
      <c r="AB573" s="32">
        <v>34428</v>
      </c>
      <c r="AC573" s="31" t="s">
        <v>1841</v>
      </c>
      <c r="AD573" s="22" t="str">
        <f t="shared" ca="1" si="39"/>
        <v xml:space="preserve">31 Tahun 6 Bulan </v>
      </c>
      <c r="AE573" s="33" t="s">
        <v>1106</v>
      </c>
      <c r="AF573" s="34"/>
      <c r="AG573" s="58" t="s">
        <v>2694</v>
      </c>
      <c r="AH573" s="58"/>
      <c r="AI573" s="58"/>
      <c r="AJ573" s="58"/>
      <c r="AK573" s="33"/>
      <c r="AL573" s="36"/>
    </row>
    <row r="574" spans="1:39" ht="14.45" customHeight="1" x14ac:dyDescent="0.25">
      <c r="A574" s="17">
        <v>6</v>
      </c>
      <c r="B574" s="78"/>
      <c r="C574" s="50" t="s">
        <v>1842</v>
      </c>
      <c r="D574" s="62" t="s">
        <v>1843</v>
      </c>
      <c r="E574" s="21" t="s">
        <v>40</v>
      </c>
      <c r="F574" s="22" t="s">
        <v>238</v>
      </c>
      <c r="G574" s="23" t="s">
        <v>3872</v>
      </c>
      <c r="H574" s="22" t="s">
        <v>305</v>
      </c>
      <c r="I574" s="22" t="s">
        <v>44</v>
      </c>
      <c r="J574" s="22" t="s">
        <v>1104</v>
      </c>
      <c r="K574" s="30"/>
      <c r="L574" s="25"/>
      <c r="M574" s="29"/>
      <c r="N574" s="26"/>
      <c r="O574" s="27"/>
      <c r="P574" s="28"/>
      <c r="Q574" s="29"/>
      <c r="R574" s="26"/>
      <c r="S574" s="23" t="s">
        <v>84</v>
      </c>
      <c r="T574" s="23"/>
      <c r="U574" s="23"/>
      <c r="V574" s="23"/>
      <c r="W574" s="30">
        <v>45383</v>
      </c>
      <c r="X574" s="30">
        <v>45383</v>
      </c>
      <c r="Y574" s="30">
        <v>45383</v>
      </c>
      <c r="Z574" s="31" t="str">
        <f ca="1">DATEDIF(X574,TODAY(),"y")&amp;" Tahun "&amp;DATEDIF(X574,TODAY(),"ym")&amp;" Bulan "&amp;DATEDIF(X574,TODAY(),"md")&amp;" Hari"</f>
        <v>1 Tahun 6 Bulan 30 Hari</v>
      </c>
      <c r="AA574" s="31" t="s">
        <v>1844</v>
      </c>
      <c r="AB574" s="32">
        <v>33177</v>
      </c>
      <c r="AC574" s="31" t="s">
        <v>1845</v>
      </c>
      <c r="AD574" s="22" t="str">
        <f t="shared" ca="1" si="39"/>
        <v xml:space="preserve">35 Tahun 0 Bulan </v>
      </c>
      <c r="AE574" s="33" t="s">
        <v>1106</v>
      </c>
      <c r="AF574" s="34"/>
      <c r="AG574" s="58" t="s">
        <v>2694</v>
      </c>
      <c r="AH574" s="22"/>
      <c r="AI574" s="22"/>
      <c r="AJ574" s="60"/>
      <c r="AK574" s="61"/>
      <c r="AL574" s="36"/>
      <c r="AM574" s="14"/>
    </row>
    <row r="575" spans="1:39" ht="14.45" customHeight="1" x14ac:dyDescent="0.25">
      <c r="A575" s="17">
        <v>7</v>
      </c>
      <c r="B575" s="78"/>
      <c r="C575" s="50" t="s">
        <v>1846</v>
      </c>
      <c r="D575" s="20" t="s">
        <v>1847</v>
      </c>
      <c r="E575" s="52" t="s">
        <v>56</v>
      </c>
      <c r="F575" s="22" t="s">
        <v>41</v>
      </c>
      <c r="G575" s="23" t="s">
        <v>137</v>
      </c>
      <c r="H575" s="22" t="s">
        <v>138</v>
      </c>
      <c r="I575" s="22" t="s">
        <v>44</v>
      </c>
      <c r="J575" s="22" t="s">
        <v>1148</v>
      </c>
      <c r="K575" s="24">
        <v>43739</v>
      </c>
      <c r="L575" s="53" t="s">
        <v>1848</v>
      </c>
      <c r="M575" s="26">
        <v>42717</v>
      </c>
      <c r="N575" s="26">
        <v>44260</v>
      </c>
      <c r="O575" s="27" t="s">
        <v>84</v>
      </c>
      <c r="P575" s="28" t="s">
        <v>1849</v>
      </c>
      <c r="Q575" s="29">
        <v>43151</v>
      </c>
      <c r="R575" s="26">
        <v>44260</v>
      </c>
      <c r="S575" s="23" t="s">
        <v>84</v>
      </c>
      <c r="T575" s="23"/>
      <c r="U575" s="23"/>
      <c r="V575" s="23"/>
      <c r="W575" s="30">
        <v>36220</v>
      </c>
      <c r="X575" s="30">
        <v>36342</v>
      </c>
      <c r="Y575" s="30">
        <v>41730</v>
      </c>
      <c r="Z575" s="55" t="str">
        <f ca="1">DATEDIF(W575,TODAY(),"y")&amp;" Tahun "&amp;DATEDIF(W575,TODAY(),"ym")&amp;" Bulan "&amp;DATEDIF(W575,TODAY(),"md")&amp;" Hari"</f>
        <v>26 Tahun 7 Bulan 30 Hari</v>
      </c>
      <c r="AA575" s="55" t="s">
        <v>76</v>
      </c>
      <c r="AB575" s="56">
        <v>28189</v>
      </c>
      <c r="AC575" s="32" t="s">
        <v>1850</v>
      </c>
      <c r="AD575" s="57" t="str">
        <f t="shared" ca="1" si="39"/>
        <v xml:space="preserve">48 Tahun 7 Bulan </v>
      </c>
      <c r="AE575" s="61" t="s">
        <v>1158</v>
      </c>
      <c r="AF575" s="79"/>
      <c r="AG575" s="58" t="s">
        <v>2694</v>
      </c>
      <c r="AH575" s="22"/>
      <c r="AI575" s="22"/>
      <c r="AJ575" s="60"/>
      <c r="AK575" s="61"/>
      <c r="AL575" s="36"/>
      <c r="AM575" s="14"/>
    </row>
    <row r="576" spans="1:39" ht="14.45" customHeight="1" x14ac:dyDescent="0.25">
      <c r="A576" s="17">
        <v>8</v>
      </c>
      <c r="B576" s="78"/>
      <c r="C576" s="50" t="s">
        <v>1851</v>
      </c>
      <c r="D576" s="20" t="s">
        <v>1852</v>
      </c>
      <c r="E576" s="52" t="s">
        <v>56</v>
      </c>
      <c r="F576" s="58" t="s">
        <v>238</v>
      </c>
      <c r="G576" s="23" t="s">
        <v>3872</v>
      </c>
      <c r="H576" s="22" t="s">
        <v>1078</v>
      </c>
      <c r="I576" s="22" t="s">
        <v>44</v>
      </c>
      <c r="J576" s="22" t="s">
        <v>1293</v>
      </c>
      <c r="K576" s="22"/>
      <c r="L576" s="25" t="s">
        <v>1853</v>
      </c>
      <c r="M576" s="26">
        <v>42926</v>
      </c>
      <c r="N576" s="26">
        <v>44697</v>
      </c>
      <c r="O576" s="27" t="s">
        <v>1155</v>
      </c>
      <c r="P576" s="53" t="s">
        <v>1854</v>
      </c>
      <c r="Q576" s="26">
        <v>43087</v>
      </c>
      <c r="R576" s="26">
        <v>44697</v>
      </c>
      <c r="S576" s="23" t="s">
        <v>1172</v>
      </c>
      <c r="T576" s="23"/>
      <c r="U576" s="23"/>
      <c r="V576" s="23"/>
      <c r="W576" s="77">
        <v>45047</v>
      </c>
      <c r="X576" s="30">
        <v>40330</v>
      </c>
      <c r="Y576" s="30">
        <v>40360</v>
      </c>
      <c r="Z576" s="55" t="str">
        <f t="shared" ref="Z576:Z588" ca="1" si="41">DATEDIF(X576,TODAY(),"y")&amp;" Tahun "&amp;DATEDIF(X576,TODAY(),"ym")&amp;" Bulan "&amp;DATEDIF(X576,TODAY(),"md")&amp;" Hari"</f>
        <v>15 Tahun 4 Bulan 30 Hari</v>
      </c>
      <c r="AA576" s="55" t="s">
        <v>76</v>
      </c>
      <c r="AB576" s="56">
        <v>31183</v>
      </c>
      <c r="AC576" s="31" t="s">
        <v>1855</v>
      </c>
      <c r="AD576" s="57" t="str">
        <f t="shared" ca="1" si="39"/>
        <v xml:space="preserve">40 Tahun 5 Bulan </v>
      </c>
      <c r="AE576" s="33" t="s">
        <v>1106</v>
      </c>
      <c r="AF576" s="34"/>
      <c r="AG576" s="58" t="s">
        <v>2694</v>
      </c>
      <c r="AH576" s="58"/>
      <c r="AI576" s="58"/>
      <c r="AJ576" s="58"/>
      <c r="AK576" s="34"/>
      <c r="AL576" s="36"/>
      <c r="AM576" s="14"/>
    </row>
    <row r="577" spans="1:39" ht="14.45" customHeight="1" x14ac:dyDescent="0.25">
      <c r="A577" s="17">
        <v>9</v>
      </c>
      <c r="B577" s="78"/>
      <c r="C577" s="50" t="s">
        <v>6162</v>
      </c>
      <c r="D577" s="62">
        <v>2023110691</v>
      </c>
      <c r="E577" s="21" t="s">
        <v>56</v>
      </c>
      <c r="F577" s="22" t="s">
        <v>1063</v>
      </c>
      <c r="G577" s="23" t="s">
        <v>3872</v>
      </c>
      <c r="H577" s="22" t="s">
        <v>3872</v>
      </c>
      <c r="I577" s="22"/>
      <c r="J577" s="22"/>
      <c r="K577" s="30"/>
      <c r="L577" s="25"/>
      <c r="M577" s="29"/>
      <c r="N577" s="26"/>
      <c r="O577" s="27"/>
      <c r="P577" s="28"/>
      <c r="Q577" s="29"/>
      <c r="R577" s="26"/>
      <c r="S577" s="23" t="s">
        <v>1172</v>
      </c>
      <c r="T577" s="23">
        <v>2017</v>
      </c>
      <c r="U577" s="23"/>
      <c r="V577" s="23"/>
      <c r="W577" s="30"/>
      <c r="X577" s="30">
        <v>45231</v>
      </c>
      <c r="Y577" s="30">
        <v>45231</v>
      </c>
      <c r="Z577" s="31" t="str">
        <f t="shared" ca="1" si="41"/>
        <v>1 Tahun 11 Bulan 30 Hari</v>
      </c>
      <c r="AA577" s="31" t="s">
        <v>76</v>
      </c>
      <c r="AB577" s="32">
        <v>35030</v>
      </c>
      <c r="AC577" s="31" t="s">
        <v>1856</v>
      </c>
      <c r="AD577" s="22" t="str">
        <f t="shared" ca="1" si="39"/>
        <v xml:space="preserve">29 Tahun 11 Bulan </v>
      </c>
      <c r="AE577" s="33" t="s">
        <v>1106</v>
      </c>
      <c r="AF577" s="34"/>
      <c r="AG577" s="58" t="s">
        <v>2694</v>
      </c>
      <c r="AH577" s="22"/>
      <c r="AI577" s="22"/>
      <c r="AJ577" s="22"/>
      <c r="AK577" s="33"/>
      <c r="AL577" s="36"/>
    </row>
    <row r="578" spans="1:39" ht="14.45" customHeight="1" x14ac:dyDescent="0.25">
      <c r="A578" s="17">
        <v>10</v>
      </c>
      <c r="B578" s="78"/>
      <c r="C578" s="50" t="s">
        <v>1857</v>
      </c>
      <c r="D578" s="62">
        <v>2023110700</v>
      </c>
      <c r="E578" s="21" t="s">
        <v>56</v>
      </c>
      <c r="F578" s="22" t="s">
        <v>1063</v>
      </c>
      <c r="G578" s="23" t="s">
        <v>3872</v>
      </c>
      <c r="H578" s="22" t="s">
        <v>3872</v>
      </c>
      <c r="I578" s="22"/>
      <c r="J578" s="22"/>
      <c r="K578" s="30"/>
      <c r="L578" s="25"/>
      <c r="M578" s="29"/>
      <c r="N578" s="26"/>
      <c r="O578" s="27"/>
      <c r="P578" s="28"/>
      <c r="Q578" s="29"/>
      <c r="R578" s="26"/>
      <c r="S578" s="23" t="s">
        <v>1172</v>
      </c>
      <c r="T578" s="23">
        <v>2017</v>
      </c>
      <c r="U578" s="23"/>
      <c r="V578" s="23"/>
      <c r="W578" s="30"/>
      <c r="X578" s="30">
        <v>45231</v>
      </c>
      <c r="Y578" s="30">
        <v>45231</v>
      </c>
      <c r="Z578" s="31" t="str">
        <f t="shared" ca="1" si="41"/>
        <v>1 Tahun 11 Bulan 30 Hari</v>
      </c>
      <c r="AA578" s="31" t="s">
        <v>76</v>
      </c>
      <c r="AB578" s="32">
        <v>35368</v>
      </c>
      <c r="AC578" s="31" t="s">
        <v>1858</v>
      </c>
      <c r="AD578" s="22" t="str">
        <f t="shared" ca="1" si="39"/>
        <v xml:space="preserve">29 Tahun 0 Bulan </v>
      </c>
      <c r="AE578" s="33" t="s">
        <v>1106</v>
      </c>
      <c r="AF578" s="34"/>
      <c r="AG578" s="58" t="s">
        <v>2694</v>
      </c>
      <c r="AH578" s="22"/>
      <c r="AI578" s="22"/>
      <c r="AJ578" s="22"/>
      <c r="AK578" s="34"/>
      <c r="AL578" s="36"/>
      <c r="AM578" s="14"/>
    </row>
    <row r="579" spans="1:39" ht="14.45" customHeight="1" x14ac:dyDescent="0.25">
      <c r="A579" s="17">
        <v>11</v>
      </c>
      <c r="B579" s="78"/>
      <c r="C579" s="50" t="s">
        <v>5824</v>
      </c>
      <c r="D579" s="62" t="s">
        <v>5825</v>
      </c>
      <c r="E579" s="21" t="s">
        <v>40</v>
      </c>
      <c r="F579" s="22" t="s">
        <v>238</v>
      </c>
      <c r="G579" s="23" t="s">
        <v>3872</v>
      </c>
      <c r="H579" s="22" t="s">
        <v>1078</v>
      </c>
      <c r="I579" s="22" t="s">
        <v>44</v>
      </c>
      <c r="J579" s="22" t="s">
        <v>1079</v>
      </c>
      <c r="K579" s="30"/>
      <c r="L579" s="25"/>
      <c r="M579" s="29"/>
      <c r="N579" s="26"/>
      <c r="O579" s="27"/>
      <c r="P579" s="28"/>
      <c r="Q579" s="29"/>
      <c r="R579" s="26"/>
      <c r="S579" s="23" t="s">
        <v>1355</v>
      </c>
      <c r="T579" s="23"/>
      <c r="U579" s="23"/>
      <c r="V579" s="23"/>
      <c r="W579" s="30">
        <v>45931</v>
      </c>
      <c r="X579" s="30">
        <v>45261</v>
      </c>
      <c r="Y579" s="30">
        <v>45261</v>
      </c>
      <c r="Z579" s="31" t="str">
        <f t="shared" ca="1" si="41"/>
        <v>1 Tahun 10 Bulan 30 Hari</v>
      </c>
      <c r="AA579" s="31" t="s">
        <v>76</v>
      </c>
      <c r="AB579" s="32">
        <v>30998</v>
      </c>
      <c r="AC579" s="31" t="s">
        <v>5826</v>
      </c>
      <c r="AD579" s="22" t="str">
        <f t="shared" ca="1" si="39"/>
        <v xml:space="preserve">40 Tahun 11 Bulan </v>
      </c>
      <c r="AE579" s="33" t="s">
        <v>1069</v>
      </c>
      <c r="AF579" s="34"/>
      <c r="AG579" s="58" t="s">
        <v>2694</v>
      </c>
      <c r="AH579" s="58"/>
      <c r="AI579" s="58"/>
      <c r="AJ579" s="58"/>
      <c r="AK579" s="33" t="s">
        <v>676</v>
      </c>
      <c r="AL579" s="36"/>
    </row>
    <row r="580" spans="1:39" ht="14.45" customHeight="1" x14ac:dyDescent="0.25">
      <c r="A580" s="17">
        <v>12</v>
      </c>
      <c r="B580" s="78"/>
      <c r="C580" s="50" t="s">
        <v>1859</v>
      </c>
      <c r="D580" s="20">
        <v>2024080737</v>
      </c>
      <c r="E580" s="21" t="s">
        <v>40</v>
      </c>
      <c r="F580" s="22" t="s">
        <v>1063</v>
      </c>
      <c r="G580" s="23" t="s">
        <v>3872</v>
      </c>
      <c r="H580" s="22" t="s">
        <v>3872</v>
      </c>
      <c r="I580" s="22"/>
      <c r="J580" s="22"/>
      <c r="K580" s="30"/>
      <c r="L580" s="53"/>
      <c r="M580" s="26"/>
      <c r="N580" s="26"/>
      <c r="O580" s="27"/>
      <c r="P580" s="53"/>
      <c r="Q580" s="26"/>
      <c r="R580" s="29"/>
      <c r="S580" s="23" t="s">
        <v>84</v>
      </c>
      <c r="T580" s="23"/>
      <c r="U580" s="23"/>
      <c r="V580" s="23"/>
      <c r="W580" s="30"/>
      <c r="X580" s="30">
        <v>45505</v>
      </c>
      <c r="Y580" s="30">
        <v>45505</v>
      </c>
      <c r="Z580" s="31" t="str">
        <f t="shared" ca="1" si="41"/>
        <v>1 Tahun 2 Bulan 30 Hari</v>
      </c>
      <c r="AA580" s="31" t="s">
        <v>1860</v>
      </c>
      <c r="AB580" s="32">
        <v>34540</v>
      </c>
      <c r="AC580" s="31" t="s">
        <v>1861</v>
      </c>
      <c r="AD580" s="22" t="str">
        <f t="shared" ca="1" si="39"/>
        <v xml:space="preserve">31 Tahun 3 Bulan </v>
      </c>
      <c r="AE580" s="33" t="s">
        <v>1106</v>
      </c>
      <c r="AF580" s="34"/>
      <c r="AG580" s="58" t="s">
        <v>2694</v>
      </c>
      <c r="AH580" s="58"/>
      <c r="AI580" s="58"/>
      <c r="AJ580" s="58"/>
      <c r="AK580" s="33"/>
      <c r="AL580" s="36"/>
    </row>
    <row r="581" spans="1:39" ht="14.45" customHeight="1" x14ac:dyDescent="0.25">
      <c r="A581" s="17">
        <v>13</v>
      </c>
      <c r="B581" s="78"/>
      <c r="C581" s="50" t="s">
        <v>1862</v>
      </c>
      <c r="D581" s="20">
        <v>2024080738</v>
      </c>
      <c r="E581" s="21" t="s">
        <v>40</v>
      </c>
      <c r="F581" s="22" t="s">
        <v>1063</v>
      </c>
      <c r="G581" s="23" t="s">
        <v>3872</v>
      </c>
      <c r="H581" s="22" t="s">
        <v>3872</v>
      </c>
      <c r="I581" s="22"/>
      <c r="J581" s="22"/>
      <c r="K581" s="30"/>
      <c r="L581" s="53"/>
      <c r="M581" s="26"/>
      <c r="N581" s="26"/>
      <c r="O581" s="27"/>
      <c r="P581" s="53"/>
      <c r="Q581" s="26"/>
      <c r="R581" s="29"/>
      <c r="S581" s="23" t="s">
        <v>84</v>
      </c>
      <c r="T581" s="23"/>
      <c r="U581" s="23"/>
      <c r="V581" s="23"/>
      <c r="W581" s="30"/>
      <c r="X581" s="30">
        <v>45505</v>
      </c>
      <c r="Y581" s="30">
        <v>45505</v>
      </c>
      <c r="Z581" s="31" t="str">
        <f t="shared" ca="1" si="41"/>
        <v>1 Tahun 2 Bulan 30 Hari</v>
      </c>
      <c r="AA581" s="31" t="s">
        <v>1863</v>
      </c>
      <c r="AB581" s="32">
        <v>33240</v>
      </c>
      <c r="AC581" s="31" t="s">
        <v>1864</v>
      </c>
      <c r="AD581" s="22" t="str">
        <f t="shared" ca="1" si="39"/>
        <v xml:space="preserve">34 Tahun 9 Bulan </v>
      </c>
      <c r="AE581" s="33" t="s">
        <v>1106</v>
      </c>
      <c r="AF581" s="34"/>
      <c r="AG581" s="58" t="s">
        <v>2694</v>
      </c>
      <c r="AH581" s="58"/>
      <c r="AI581" s="58"/>
      <c r="AJ581" s="58"/>
      <c r="AK581" s="33" t="s">
        <v>485</v>
      </c>
      <c r="AL581" s="36"/>
    </row>
    <row r="582" spans="1:39" ht="14.45" customHeight="1" x14ac:dyDescent="0.25">
      <c r="A582" s="17">
        <v>14</v>
      </c>
      <c r="B582" s="78"/>
      <c r="C582" s="50" t="s">
        <v>1867</v>
      </c>
      <c r="D582" s="62" t="s">
        <v>1868</v>
      </c>
      <c r="E582" s="21" t="s">
        <v>56</v>
      </c>
      <c r="F582" s="22" t="s">
        <v>238</v>
      </c>
      <c r="G582" s="23" t="s">
        <v>3872</v>
      </c>
      <c r="H582" s="22" t="s">
        <v>305</v>
      </c>
      <c r="I582" s="22" t="s">
        <v>44</v>
      </c>
      <c r="J582" s="22" t="s">
        <v>1104</v>
      </c>
      <c r="K582" s="30"/>
      <c r="L582" s="25"/>
      <c r="M582" s="29"/>
      <c r="N582" s="26"/>
      <c r="O582" s="27"/>
      <c r="P582" s="28"/>
      <c r="Q582" s="29"/>
      <c r="R582" s="26"/>
      <c r="S582" s="23" t="s">
        <v>84</v>
      </c>
      <c r="T582" s="23"/>
      <c r="U582" s="23"/>
      <c r="V582" s="23"/>
      <c r="W582" s="30">
        <v>45383</v>
      </c>
      <c r="X582" s="30">
        <v>45383</v>
      </c>
      <c r="Y582" s="30">
        <v>45383</v>
      </c>
      <c r="Z582" s="31" t="str">
        <f t="shared" ca="1" si="41"/>
        <v>1 Tahun 6 Bulan 30 Hari</v>
      </c>
      <c r="AA582" s="31" t="s">
        <v>1045</v>
      </c>
      <c r="AB582" s="32">
        <v>35130</v>
      </c>
      <c r="AC582" s="31" t="s">
        <v>1869</v>
      </c>
      <c r="AD582" s="22" t="str">
        <f t="shared" ca="1" si="39"/>
        <v xml:space="preserve">29 Tahun 7 Bulan </v>
      </c>
      <c r="AE582" s="33" t="s">
        <v>1106</v>
      </c>
      <c r="AF582" s="34"/>
      <c r="AG582" s="58" t="s">
        <v>2694</v>
      </c>
      <c r="AH582" s="22"/>
      <c r="AI582" s="22"/>
      <c r="AJ582" s="22"/>
      <c r="AK582" s="33" t="s">
        <v>485</v>
      </c>
      <c r="AL582" s="36"/>
      <c r="AM582" s="14"/>
    </row>
    <row r="583" spans="1:39" ht="14.45" customHeight="1" x14ac:dyDescent="0.25">
      <c r="A583" s="17">
        <v>15</v>
      </c>
      <c r="B583" s="78"/>
      <c r="C583" s="50" t="s">
        <v>1870</v>
      </c>
      <c r="D583" s="20" t="s">
        <v>1871</v>
      </c>
      <c r="E583" s="21" t="s">
        <v>56</v>
      </c>
      <c r="F583" s="22" t="s">
        <v>1063</v>
      </c>
      <c r="G583" s="23" t="s">
        <v>3872</v>
      </c>
      <c r="H583" s="22" t="s">
        <v>3872</v>
      </c>
      <c r="I583" s="22"/>
      <c r="J583" s="22"/>
      <c r="K583" s="30"/>
      <c r="L583" s="53"/>
      <c r="M583" s="26"/>
      <c r="N583" s="26"/>
      <c r="O583" s="27"/>
      <c r="P583" s="53"/>
      <c r="Q583" s="26"/>
      <c r="R583" s="29"/>
      <c r="S583" s="23" t="s">
        <v>84</v>
      </c>
      <c r="T583" s="23"/>
      <c r="U583" s="23"/>
      <c r="V583" s="23"/>
      <c r="W583" s="30"/>
      <c r="X583" s="30">
        <v>45536</v>
      </c>
      <c r="Y583" s="30">
        <v>45536</v>
      </c>
      <c r="Z583" s="31" t="str">
        <f t="shared" ca="1" si="41"/>
        <v>1 Tahun 1 Bulan 30 Hari</v>
      </c>
      <c r="AA583" s="31" t="s">
        <v>76</v>
      </c>
      <c r="AB583" s="32">
        <v>32567</v>
      </c>
      <c r="AC583" s="31" t="s">
        <v>1872</v>
      </c>
      <c r="AD583" s="22" t="str">
        <f t="shared" ca="1" si="39"/>
        <v xml:space="preserve">36 Tahun 8 Bulan </v>
      </c>
      <c r="AE583" s="33" t="s">
        <v>1106</v>
      </c>
      <c r="AF583" s="34"/>
      <c r="AG583" s="58" t="s">
        <v>2694</v>
      </c>
      <c r="AH583" s="22"/>
      <c r="AI583" s="22"/>
      <c r="AJ583" s="22"/>
      <c r="AK583" s="33" t="s">
        <v>485</v>
      </c>
      <c r="AL583" s="36"/>
    </row>
    <row r="584" spans="1:39" ht="14.45" customHeight="1" x14ac:dyDescent="0.25">
      <c r="A584" s="17">
        <v>16</v>
      </c>
      <c r="B584" s="18"/>
      <c r="C584" s="50" t="s">
        <v>5827</v>
      </c>
      <c r="D584" s="20" t="s">
        <v>1873</v>
      </c>
      <c r="E584" s="21" t="s">
        <v>56</v>
      </c>
      <c r="F584" s="22" t="s">
        <v>192</v>
      </c>
      <c r="G584" s="23" t="s">
        <v>227</v>
      </c>
      <c r="H584" s="22" t="s">
        <v>228</v>
      </c>
      <c r="I584" s="22" t="s">
        <v>155</v>
      </c>
      <c r="J584" s="22" t="s">
        <v>1104</v>
      </c>
      <c r="K584" s="24" t="s">
        <v>195</v>
      </c>
      <c r="L584" s="22"/>
      <c r="M584" s="22"/>
      <c r="N584" s="22"/>
      <c r="O584" s="22"/>
      <c r="P584" s="22"/>
      <c r="Q584" s="22"/>
      <c r="R584" s="22"/>
      <c r="S584" s="23" t="s">
        <v>84</v>
      </c>
      <c r="T584" s="23"/>
      <c r="U584" s="23"/>
      <c r="V584" s="23"/>
      <c r="W584" s="69">
        <v>45809</v>
      </c>
      <c r="X584" s="69">
        <v>45810</v>
      </c>
      <c r="Y584" s="69">
        <v>45810</v>
      </c>
      <c r="Z584" s="31" t="str">
        <f t="shared" ca="1" si="41"/>
        <v>0 Tahun 4 Bulan 29 Hari</v>
      </c>
      <c r="AA584" s="23" t="s">
        <v>934</v>
      </c>
      <c r="AB584" s="32">
        <v>36831</v>
      </c>
      <c r="AC584" s="32" t="s">
        <v>1874</v>
      </c>
      <c r="AD584" s="22" t="str">
        <f t="shared" ca="1" si="39"/>
        <v xml:space="preserve">24 Tahun 11 Bulan </v>
      </c>
      <c r="AE584" s="33" t="s">
        <v>1106</v>
      </c>
      <c r="AF584" s="34"/>
      <c r="AG584" s="58" t="s">
        <v>2694</v>
      </c>
      <c r="AH584" s="22"/>
      <c r="AI584" s="22"/>
      <c r="AJ584" s="22"/>
      <c r="AK584" s="33"/>
      <c r="AL584" s="36"/>
    </row>
    <row r="585" spans="1:39" ht="14.45" customHeight="1" x14ac:dyDescent="0.25">
      <c r="A585" s="17">
        <v>17</v>
      </c>
      <c r="B585" s="18"/>
      <c r="C585" s="50" t="s">
        <v>5828</v>
      </c>
      <c r="D585" s="20" t="s">
        <v>1875</v>
      </c>
      <c r="E585" s="21" t="s">
        <v>56</v>
      </c>
      <c r="F585" s="22" t="s">
        <v>192</v>
      </c>
      <c r="G585" s="23" t="s">
        <v>227</v>
      </c>
      <c r="H585" s="22" t="s">
        <v>228</v>
      </c>
      <c r="I585" s="22" t="s">
        <v>155</v>
      </c>
      <c r="J585" s="22" t="s">
        <v>1104</v>
      </c>
      <c r="K585" s="24" t="s">
        <v>195</v>
      </c>
      <c r="L585" s="22"/>
      <c r="M585" s="22"/>
      <c r="N585" s="22"/>
      <c r="O585" s="22"/>
      <c r="P585" s="22"/>
      <c r="Q585" s="22"/>
      <c r="R585" s="22"/>
      <c r="S585" s="23" t="s">
        <v>84</v>
      </c>
      <c r="T585" s="23"/>
      <c r="U585" s="23"/>
      <c r="V585" s="23"/>
      <c r="W585" s="69">
        <v>45809</v>
      </c>
      <c r="X585" s="69">
        <v>45810</v>
      </c>
      <c r="Y585" s="69">
        <v>45810</v>
      </c>
      <c r="Z585" s="31" t="str">
        <f t="shared" ca="1" si="41"/>
        <v>0 Tahun 4 Bulan 29 Hari</v>
      </c>
      <c r="AA585" s="23" t="s">
        <v>934</v>
      </c>
      <c r="AB585" s="32">
        <v>34937</v>
      </c>
      <c r="AC585" s="32" t="s">
        <v>1876</v>
      </c>
      <c r="AD585" s="22" t="str">
        <f t="shared" ca="1" si="39"/>
        <v xml:space="preserve">30 Tahun 2 Bulan </v>
      </c>
      <c r="AE585" s="33" t="s">
        <v>1106</v>
      </c>
      <c r="AF585" s="34"/>
      <c r="AG585" s="58" t="s">
        <v>2694</v>
      </c>
      <c r="AH585" s="22"/>
      <c r="AI585" s="22"/>
      <c r="AJ585" s="22"/>
      <c r="AK585" s="33"/>
      <c r="AL585" s="36"/>
    </row>
    <row r="586" spans="1:39" ht="14.45" customHeight="1" x14ac:dyDescent="0.25">
      <c r="A586" s="17">
        <v>18</v>
      </c>
      <c r="B586" s="18"/>
      <c r="C586" s="50" t="s">
        <v>5829</v>
      </c>
      <c r="D586" s="20" t="s">
        <v>1877</v>
      </c>
      <c r="E586" s="21" t="s">
        <v>40</v>
      </c>
      <c r="F586" s="22" t="s">
        <v>192</v>
      </c>
      <c r="G586" s="23" t="s">
        <v>227</v>
      </c>
      <c r="H586" s="22" t="s">
        <v>228</v>
      </c>
      <c r="I586" s="22" t="s">
        <v>155</v>
      </c>
      <c r="J586" s="22" t="s">
        <v>1104</v>
      </c>
      <c r="K586" s="24" t="s">
        <v>195</v>
      </c>
      <c r="L586" s="22"/>
      <c r="M586" s="22"/>
      <c r="N586" s="22"/>
      <c r="O586" s="22"/>
      <c r="P586" s="22"/>
      <c r="Q586" s="22"/>
      <c r="R586" s="22"/>
      <c r="S586" s="23" t="s">
        <v>84</v>
      </c>
      <c r="T586" s="23"/>
      <c r="U586" s="23"/>
      <c r="V586" s="23"/>
      <c r="W586" s="69">
        <v>45809</v>
      </c>
      <c r="X586" s="69">
        <v>45810</v>
      </c>
      <c r="Y586" s="69">
        <v>45810</v>
      </c>
      <c r="Z586" s="31" t="str">
        <f t="shared" ca="1" si="41"/>
        <v>0 Tahun 4 Bulan 29 Hari</v>
      </c>
      <c r="AA586" s="23" t="s">
        <v>1644</v>
      </c>
      <c r="AB586" s="32">
        <v>36791</v>
      </c>
      <c r="AC586" s="32" t="s">
        <v>1878</v>
      </c>
      <c r="AD586" s="22" t="str">
        <f t="shared" ca="1" si="39"/>
        <v xml:space="preserve">25 Tahun 1 Bulan </v>
      </c>
      <c r="AE586" s="33" t="s">
        <v>1106</v>
      </c>
      <c r="AF586" s="34"/>
      <c r="AG586" s="58" t="s">
        <v>2694</v>
      </c>
      <c r="AH586" s="22"/>
      <c r="AI586" s="22"/>
      <c r="AJ586" s="22"/>
      <c r="AK586" s="33" t="s">
        <v>1421</v>
      </c>
      <c r="AL586" s="36"/>
      <c r="AM586" s="14"/>
    </row>
    <row r="587" spans="1:39" ht="14.45" customHeight="1" x14ac:dyDescent="0.25">
      <c r="A587" s="17">
        <v>19</v>
      </c>
      <c r="B587" s="18"/>
      <c r="C587" s="50" t="s">
        <v>5830</v>
      </c>
      <c r="D587" s="20" t="s">
        <v>1879</v>
      </c>
      <c r="E587" s="21" t="s">
        <v>56</v>
      </c>
      <c r="F587" s="22" t="s">
        <v>192</v>
      </c>
      <c r="G587" s="23" t="s">
        <v>1547</v>
      </c>
      <c r="H587" s="22" t="s">
        <v>1548</v>
      </c>
      <c r="I587" s="22" t="s">
        <v>155</v>
      </c>
      <c r="J587" s="22" t="s">
        <v>1293</v>
      </c>
      <c r="K587" s="24" t="s">
        <v>195</v>
      </c>
      <c r="L587" s="22"/>
      <c r="M587" s="22"/>
      <c r="N587" s="22"/>
      <c r="O587" s="22"/>
      <c r="P587" s="22"/>
      <c r="Q587" s="22"/>
      <c r="R587" s="22"/>
      <c r="S587" s="23" t="s">
        <v>1172</v>
      </c>
      <c r="T587" s="23"/>
      <c r="U587" s="23"/>
      <c r="V587" s="23"/>
      <c r="W587" s="69">
        <v>45809</v>
      </c>
      <c r="X587" s="69">
        <v>45810</v>
      </c>
      <c r="Y587" s="69">
        <v>45810</v>
      </c>
      <c r="Z587" s="31" t="str">
        <f t="shared" ca="1" si="41"/>
        <v>0 Tahun 4 Bulan 29 Hari</v>
      </c>
      <c r="AA587" s="23" t="s">
        <v>1516</v>
      </c>
      <c r="AB587" s="32">
        <v>37504</v>
      </c>
      <c r="AC587" s="32" t="s">
        <v>1880</v>
      </c>
      <c r="AD587" s="22" t="str">
        <f t="shared" ca="1" si="39"/>
        <v xml:space="preserve">23 Tahun 1 Bulan </v>
      </c>
      <c r="AE587" s="23" t="s">
        <v>1106</v>
      </c>
      <c r="AF587" s="34"/>
      <c r="AG587" s="58" t="s">
        <v>2694</v>
      </c>
      <c r="AH587" s="22"/>
      <c r="AI587" s="22"/>
      <c r="AJ587" s="22"/>
      <c r="AK587" s="33" t="s">
        <v>1421</v>
      </c>
      <c r="AL587" s="36"/>
      <c r="AM587" s="14"/>
    </row>
    <row r="588" spans="1:39" ht="14.45" customHeight="1" x14ac:dyDescent="0.25">
      <c r="A588" s="17">
        <v>20</v>
      </c>
      <c r="B588" s="18"/>
      <c r="C588" s="50" t="s">
        <v>5831</v>
      </c>
      <c r="D588" s="20" t="s">
        <v>1881</v>
      </c>
      <c r="E588" s="21" t="s">
        <v>56</v>
      </c>
      <c r="F588" s="22" t="s">
        <v>192</v>
      </c>
      <c r="G588" s="23" t="s">
        <v>1547</v>
      </c>
      <c r="H588" s="22" t="s">
        <v>1548</v>
      </c>
      <c r="I588" s="22" t="s">
        <v>155</v>
      </c>
      <c r="J588" s="22" t="s">
        <v>1293</v>
      </c>
      <c r="K588" s="24" t="s">
        <v>195</v>
      </c>
      <c r="L588" s="22"/>
      <c r="M588" s="22"/>
      <c r="N588" s="22"/>
      <c r="O588" s="22"/>
      <c r="P588" s="22"/>
      <c r="Q588" s="22"/>
      <c r="R588" s="22"/>
      <c r="S588" s="23" t="s">
        <v>1172</v>
      </c>
      <c r="T588" s="23"/>
      <c r="U588" s="23"/>
      <c r="V588" s="23"/>
      <c r="W588" s="69">
        <v>45809</v>
      </c>
      <c r="X588" s="69">
        <v>45810</v>
      </c>
      <c r="Y588" s="69">
        <v>45810</v>
      </c>
      <c r="Z588" s="31" t="str">
        <f t="shared" ca="1" si="41"/>
        <v>0 Tahun 4 Bulan 29 Hari</v>
      </c>
      <c r="AA588" s="23" t="s">
        <v>203</v>
      </c>
      <c r="AB588" s="32">
        <v>36772</v>
      </c>
      <c r="AC588" s="32" t="s">
        <v>1882</v>
      </c>
      <c r="AD588" s="22" t="str">
        <f t="shared" ca="1" si="39"/>
        <v xml:space="preserve">25 Tahun 1 Bulan </v>
      </c>
      <c r="AE588" s="23" t="s">
        <v>1106</v>
      </c>
      <c r="AF588" s="34"/>
      <c r="AG588" s="58" t="s">
        <v>2694</v>
      </c>
      <c r="AH588" s="22"/>
      <c r="AI588" s="22"/>
      <c r="AJ588" s="22"/>
      <c r="AK588" s="33" t="s">
        <v>1421</v>
      </c>
      <c r="AL588" s="36"/>
      <c r="AM588" s="14"/>
    </row>
    <row r="589" spans="1:39" ht="14.45" customHeight="1" x14ac:dyDescent="0.25">
      <c r="A589" s="17">
        <v>21</v>
      </c>
      <c r="B589" s="18"/>
      <c r="C589" s="50" t="s">
        <v>2786</v>
      </c>
      <c r="D589" s="20" t="s">
        <v>2787</v>
      </c>
      <c r="E589" s="52" t="s">
        <v>40</v>
      </c>
      <c r="F589" s="22" t="s">
        <v>41</v>
      </c>
      <c r="G589" s="23" t="s">
        <v>137</v>
      </c>
      <c r="H589" s="22" t="s">
        <v>138</v>
      </c>
      <c r="I589" s="22" t="s">
        <v>44</v>
      </c>
      <c r="J589" s="22" t="s">
        <v>2788</v>
      </c>
      <c r="K589" s="24">
        <v>42370</v>
      </c>
      <c r="L589" s="25" t="s">
        <v>2789</v>
      </c>
      <c r="M589" s="26">
        <v>42943</v>
      </c>
      <c r="N589" s="26">
        <v>44619</v>
      </c>
      <c r="O589" s="27" t="s">
        <v>2790</v>
      </c>
      <c r="P589" s="28" t="s">
        <v>2791</v>
      </c>
      <c r="Q589" s="29">
        <v>43088</v>
      </c>
      <c r="R589" s="26">
        <v>44619</v>
      </c>
      <c r="S589" s="23" t="s">
        <v>2792</v>
      </c>
      <c r="T589" s="23"/>
      <c r="U589" s="23"/>
      <c r="V589" s="23"/>
      <c r="W589" s="30">
        <v>32933</v>
      </c>
      <c r="X589" s="30">
        <v>32933</v>
      </c>
      <c r="Y589" s="30">
        <v>32933</v>
      </c>
      <c r="Z589" s="55" t="str">
        <f t="shared" ref="Z589:Z595" ca="1" si="42">DATEDIF(W589,TODAY(),"y")&amp;" Tahun "&amp;DATEDIF(W589,TODAY(),"ym")&amp;" Bulan "&amp;DATEDIF(W589,TODAY(),"md")&amp;" Hari"</f>
        <v>35 Tahun 7 Bulan 30 Hari</v>
      </c>
      <c r="AA589" s="55" t="s">
        <v>76</v>
      </c>
      <c r="AB589" s="56">
        <v>25626</v>
      </c>
      <c r="AC589" s="31" t="s">
        <v>2793</v>
      </c>
      <c r="AD589" s="57" t="str">
        <f t="shared" ca="1" si="39"/>
        <v xml:space="preserve">55 Tahun 8 Bulan </v>
      </c>
      <c r="AE589" s="33" t="s">
        <v>2794</v>
      </c>
      <c r="AF589" s="71"/>
      <c r="AG589" s="22" t="s">
        <v>2795</v>
      </c>
      <c r="AH589" s="22"/>
      <c r="AI589" s="22"/>
      <c r="AJ589" s="22"/>
      <c r="AK589" s="33"/>
      <c r="AL589" s="36"/>
    </row>
    <row r="590" spans="1:39" ht="14.45" customHeight="1" x14ac:dyDescent="0.25">
      <c r="A590" s="17">
        <v>22</v>
      </c>
      <c r="B590" s="18"/>
      <c r="C590" s="50" t="s">
        <v>2796</v>
      </c>
      <c r="D590" s="20" t="s">
        <v>2797</v>
      </c>
      <c r="E590" s="21" t="s">
        <v>56</v>
      </c>
      <c r="F590" s="22" t="s">
        <v>41</v>
      </c>
      <c r="G590" s="23" t="s">
        <v>137</v>
      </c>
      <c r="H590" s="22" t="s">
        <v>138</v>
      </c>
      <c r="I590" s="22" t="s">
        <v>44</v>
      </c>
      <c r="J590" s="22" t="s">
        <v>2788</v>
      </c>
      <c r="K590" s="24">
        <v>42370</v>
      </c>
      <c r="L590" s="25" t="s">
        <v>2798</v>
      </c>
      <c r="M590" s="26">
        <v>42586</v>
      </c>
      <c r="N590" s="26">
        <v>43858</v>
      </c>
      <c r="O590" s="27" t="s">
        <v>2799</v>
      </c>
      <c r="P590" s="28" t="s">
        <v>2800</v>
      </c>
      <c r="Q590" s="29">
        <v>43088</v>
      </c>
      <c r="R590" s="26">
        <v>43858</v>
      </c>
      <c r="S590" s="23" t="s">
        <v>2792</v>
      </c>
      <c r="T590" s="23"/>
      <c r="U590" s="23"/>
      <c r="V590" s="23"/>
      <c r="W590" s="30">
        <v>33298</v>
      </c>
      <c r="X590" s="30">
        <v>33298</v>
      </c>
      <c r="Y590" s="30">
        <v>33298</v>
      </c>
      <c r="Z590" s="31" t="str">
        <f t="shared" ca="1" si="42"/>
        <v>34 Tahun 7 Bulan 30 Hari</v>
      </c>
      <c r="AA590" s="31" t="s">
        <v>76</v>
      </c>
      <c r="AB590" s="32">
        <v>25961</v>
      </c>
      <c r="AC590" s="31" t="s">
        <v>2801</v>
      </c>
      <c r="AD590" s="22" t="str">
        <f t="shared" ca="1" si="39"/>
        <v xml:space="preserve">54 Tahun 9 Bulan </v>
      </c>
      <c r="AE590" s="33" t="s">
        <v>2794</v>
      </c>
      <c r="AF590" s="34"/>
      <c r="AG590" s="22" t="s">
        <v>2795</v>
      </c>
      <c r="AH590" s="22"/>
      <c r="AI590" s="22"/>
      <c r="AJ590" s="22"/>
      <c r="AK590" s="33" t="s">
        <v>2773</v>
      </c>
      <c r="AL590" s="36"/>
      <c r="AM590" s="14"/>
    </row>
    <row r="591" spans="1:39" ht="14.45" customHeight="1" x14ac:dyDescent="0.25">
      <c r="A591" s="17">
        <v>23</v>
      </c>
      <c r="B591" s="18"/>
      <c r="C591" s="50" t="s">
        <v>2802</v>
      </c>
      <c r="D591" s="20" t="s">
        <v>2803</v>
      </c>
      <c r="E591" s="52" t="s">
        <v>56</v>
      </c>
      <c r="F591" s="58" t="s">
        <v>41</v>
      </c>
      <c r="G591" s="23" t="s">
        <v>137</v>
      </c>
      <c r="H591" s="22" t="s">
        <v>138</v>
      </c>
      <c r="I591" s="22" t="s">
        <v>44</v>
      </c>
      <c r="J591" s="22" t="s">
        <v>2788</v>
      </c>
      <c r="K591" s="24">
        <v>42370</v>
      </c>
      <c r="L591" s="25" t="s">
        <v>2804</v>
      </c>
      <c r="M591" s="26">
        <v>42173</v>
      </c>
      <c r="N591" s="26">
        <v>43886</v>
      </c>
      <c r="O591" s="27" t="s">
        <v>2805</v>
      </c>
      <c r="P591" s="28" t="s">
        <v>2806</v>
      </c>
      <c r="Q591" s="29">
        <v>42244</v>
      </c>
      <c r="R591" s="26">
        <v>43886</v>
      </c>
      <c r="S591" s="23" t="s">
        <v>2792</v>
      </c>
      <c r="T591" s="23"/>
      <c r="U591" s="23"/>
      <c r="V591" s="23"/>
      <c r="W591" s="30">
        <v>32933</v>
      </c>
      <c r="X591" s="30">
        <v>32933</v>
      </c>
      <c r="Y591" s="30">
        <v>32933</v>
      </c>
      <c r="Z591" s="55" t="str">
        <f t="shared" ca="1" si="42"/>
        <v>35 Tahun 7 Bulan 30 Hari</v>
      </c>
      <c r="AA591" s="55" t="s">
        <v>76</v>
      </c>
      <c r="AB591" s="56">
        <v>25989</v>
      </c>
      <c r="AC591" s="31" t="s">
        <v>2807</v>
      </c>
      <c r="AD591" s="57" t="str">
        <f t="shared" ca="1" si="39"/>
        <v xml:space="preserve">54 Tahun 8 Bulan </v>
      </c>
      <c r="AE591" s="33" t="s">
        <v>2794</v>
      </c>
      <c r="AF591" s="71"/>
      <c r="AG591" s="22" t="s">
        <v>2795</v>
      </c>
      <c r="AH591" s="58"/>
      <c r="AI591" s="58"/>
      <c r="AJ591" s="58"/>
      <c r="AK591" s="33" t="s">
        <v>314</v>
      </c>
      <c r="AL591" s="36"/>
      <c r="AM591" s="14"/>
    </row>
    <row r="592" spans="1:39" ht="14.45" customHeight="1" x14ac:dyDescent="0.25">
      <c r="A592" s="17">
        <v>24</v>
      </c>
      <c r="B592" s="18"/>
      <c r="C592" s="50" t="s">
        <v>2808</v>
      </c>
      <c r="D592" s="20" t="s">
        <v>2809</v>
      </c>
      <c r="E592" s="21" t="s">
        <v>56</v>
      </c>
      <c r="F592" s="22" t="s">
        <v>41</v>
      </c>
      <c r="G592" s="23" t="s">
        <v>137</v>
      </c>
      <c r="H592" s="22" t="s">
        <v>138</v>
      </c>
      <c r="I592" s="22" t="s">
        <v>44</v>
      </c>
      <c r="J592" s="22" t="s">
        <v>2788</v>
      </c>
      <c r="K592" s="24">
        <v>43191</v>
      </c>
      <c r="L592" s="25" t="s">
        <v>2810</v>
      </c>
      <c r="M592" s="26">
        <v>42943</v>
      </c>
      <c r="N592" s="26">
        <v>44732</v>
      </c>
      <c r="O592" s="27" t="s">
        <v>2790</v>
      </c>
      <c r="P592" s="28" t="s">
        <v>2811</v>
      </c>
      <c r="Q592" s="29">
        <v>43088</v>
      </c>
      <c r="R592" s="26">
        <v>44732</v>
      </c>
      <c r="S592" s="23" t="s">
        <v>2792</v>
      </c>
      <c r="T592" s="23"/>
      <c r="U592" s="23"/>
      <c r="V592" s="23"/>
      <c r="W592" s="30">
        <v>35855</v>
      </c>
      <c r="X592" s="30">
        <v>35855</v>
      </c>
      <c r="Y592" s="30">
        <v>35855</v>
      </c>
      <c r="Z592" s="31" t="str">
        <f t="shared" ca="1" si="42"/>
        <v>27 Tahun 7 Bulan 30 Hari</v>
      </c>
      <c r="AA592" s="31" t="s">
        <v>76</v>
      </c>
      <c r="AB592" s="32">
        <v>26470</v>
      </c>
      <c r="AC592" s="31" t="s">
        <v>2812</v>
      </c>
      <c r="AD592" s="22" t="str">
        <f t="shared" ca="1" si="39"/>
        <v xml:space="preserve">53 Tahun 4 Bulan </v>
      </c>
      <c r="AE592" s="33" t="s">
        <v>2794</v>
      </c>
      <c r="AF592" s="34"/>
      <c r="AG592" s="22" t="s">
        <v>2795</v>
      </c>
      <c r="AH592" s="22"/>
      <c r="AI592" s="22"/>
      <c r="AJ592" s="22"/>
      <c r="AK592" s="33" t="s">
        <v>200</v>
      </c>
      <c r="AL592" s="36"/>
    </row>
    <row r="593" spans="1:39" ht="14.45" customHeight="1" x14ac:dyDescent="0.25">
      <c r="A593" s="17">
        <v>25</v>
      </c>
      <c r="B593" s="76"/>
      <c r="C593" s="50" t="s">
        <v>2813</v>
      </c>
      <c r="D593" s="20" t="s">
        <v>2814</v>
      </c>
      <c r="E593" s="52" t="s">
        <v>56</v>
      </c>
      <c r="F593" s="22" t="s">
        <v>41</v>
      </c>
      <c r="G593" s="23" t="s">
        <v>137</v>
      </c>
      <c r="H593" s="22" t="s">
        <v>138</v>
      </c>
      <c r="I593" s="22" t="s">
        <v>44</v>
      </c>
      <c r="J593" s="22" t="s">
        <v>2788</v>
      </c>
      <c r="K593" s="24">
        <v>45017</v>
      </c>
      <c r="L593" s="25" t="s">
        <v>2815</v>
      </c>
      <c r="M593" s="26">
        <v>42943</v>
      </c>
      <c r="N593" s="26">
        <v>44657</v>
      </c>
      <c r="O593" s="27" t="s">
        <v>2790</v>
      </c>
      <c r="P593" s="28" t="s">
        <v>2816</v>
      </c>
      <c r="Q593" s="29">
        <v>43088</v>
      </c>
      <c r="R593" s="26">
        <v>44657</v>
      </c>
      <c r="S593" s="23" t="s">
        <v>2792</v>
      </c>
      <c r="T593" s="23"/>
      <c r="U593" s="23"/>
      <c r="V593" s="23"/>
      <c r="W593" s="30">
        <v>39448</v>
      </c>
      <c r="X593" s="30">
        <v>39448</v>
      </c>
      <c r="Y593" s="30">
        <v>39448</v>
      </c>
      <c r="Z593" s="55" t="str">
        <f t="shared" ca="1" si="42"/>
        <v>17 Tahun 9 Bulan 30 Hari</v>
      </c>
      <c r="AA593" s="55" t="s">
        <v>2050</v>
      </c>
      <c r="AB593" s="56">
        <v>27125</v>
      </c>
      <c r="AC593" s="32" t="s">
        <v>2817</v>
      </c>
      <c r="AD593" s="57" t="str">
        <f t="shared" ca="1" si="39"/>
        <v xml:space="preserve">51 Tahun 6 Bulan </v>
      </c>
      <c r="AE593" s="33" t="s">
        <v>2794</v>
      </c>
      <c r="AF593" s="71"/>
      <c r="AG593" s="22" t="s">
        <v>2795</v>
      </c>
      <c r="AH593" s="22"/>
      <c r="AI593" s="22"/>
      <c r="AJ593" s="22"/>
      <c r="AK593" s="33" t="s">
        <v>200</v>
      </c>
      <c r="AL593" s="36"/>
    </row>
    <row r="594" spans="1:39" ht="14.45" customHeight="1" x14ac:dyDescent="0.25">
      <c r="A594" s="17">
        <v>26</v>
      </c>
      <c r="B594" s="76"/>
      <c r="C594" s="50" t="s">
        <v>2818</v>
      </c>
      <c r="D594" s="20" t="s">
        <v>2819</v>
      </c>
      <c r="E594" s="52" t="s">
        <v>56</v>
      </c>
      <c r="F594" s="22" t="s">
        <v>41</v>
      </c>
      <c r="G594" s="23" t="s">
        <v>137</v>
      </c>
      <c r="H594" s="22" t="s">
        <v>138</v>
      </c>
      <c r="I594" s="22" t="s">
        <v>44</v>
      </c>
      <c r="J594" s="22" t="s">
        <v>2788</v>
      </c>
      <c r="K594" s="24">
        <v>45870</v>
      </c>
      <c r="L594" s="22"/>
      <c r="M594" s="26"/>
      <c r="N594" s="26"/>
      <c r="O594" s="22"/>
      <c r="P594" s="22"/>
      <c r="Q594" s="23"/>
      <c r="R594" s="26"/>
      <c r="S594" s="23" t="s">
        <v>2792</v>
      </c>
      <c r="T594" s="23"/>
      <c r="U594" s="23"/>
      <c r="V594" s="23"/>
      <c r="W594" s="22">
        <v>40269</v>
      </c>
      <c r="X594" s="30">
        <v>44256</v>
      </c>
      <c r="Y594" s="30">
        <v>44410</v>
      </c>
      <c r="Z594" s="55" t="str">
        <f t="shared" ca="1" si="42"/>
        <v>15 Tahun 6 Bulan 30 Hari</v>
      </c>
      <c r="AA594" s="55" t="s">
        <v>471</v>
      </c>
      <c r="AB594" s="56">
        <v>28667</v>
      </c>
      <c r="AC594" s="31" t="s">
        <v>2820</v>
      </c>
      <c r="AD594" s="57" t="str">
        <f t="shared" ca="1" si="39"/>
        <v xml:space="preserve">47 Tahun 4 Bulan </v>
      </c>
      <c r="AE594" s="33" t="s">
        <v>2794</v>
      </c>
      <c r="AF594" s="71"/>
      <c r="AG594" s="22" t="s">
        <v>2795</v>
      </c>
      <c r="AH594" s="22"/>
      <c r="AI594" s="22"/>
      <c r="AJ594" s="22"/>
      <c r="AK594" s="33" t="s">
        <v>200</v>
      </c>
      <c r="AL594" s="36"/>
    </row>
    <row r="595" spans="1:39" ht="14.45" customHeight="1" x14ac:dyDescent="0.25">
      <c r="A595" s="17">
        <v>1</v>
      </c>
      <c r="B595" s="18"/>
      <c r="C595" s="50" t="s">
        <v>2822</v>
      </c>
      <c r="D595" s="20" t="s">
        <v>2823</v>
      </c>
      <c r="E595" s="21" t="s">
        <v>56</v>
      </c>
      <c r="F595" s="22" t="s">
        <v>41</v>
      </c>
      <c r="G595" s="23" t="s">
        <v>102</v>
      </c>
      <c r="H595" s="22" t="s">
        <v>103</v>
      </c>
      <c r="I595" s="22" t="s">
        <v>44</v>
      </c>
      <c r="J595" s="22" t="s">
        <v>2788</v>
      </c>
      <c r="K595" s="24">
        <v>45323</v>
      </c>
      <c r="L595" s="25"/>
      <c r="M595" s="26"/>
      <c r="N595" s="26"/>
      <c r="O595" s="27"/>
      <c r="P595" s="53"/>
      <c r="Q595" s="26"/>
      <c r="R595" s="26"/>
      <c r="S595" s="23" t="s">
        <v>2792</v>
      </c>
      <c r="T595" s="23"/>
      <c r="U595" s="23"/>
      <c r="V595" s="23"/>
      <c r="W595" s="30">
        <v>39873</v>
      </c>
      <c r="X595" s="30">
        <v>43374</v>
      </c>
      <c r="Y595" s="30">
        <v>43374</v>
      </c>
      <c r="Z595" s="31" t="str">
        <f t="shared" ca="1" si="42"/>
        <v>16 Tahun 7 Bulan 30 Hari</v>
      </c>
      <c r="AA595" s="31" t="s">
        <v>1540</v>
      </c>
      <c r="AB595" s="32">
        <v>30548</v>
      </c>
      <c r="AC595" s="31" t="s">
        <v>2824</v>
      </c>
      <c r="AD595" s="22" t="str">
        <f t="shared" ca="1" si="39"/>
        <v xml:space="preserve">42 Tahun 2 Bulan </v>
      </c>
      <c r="AE595" s="33" t="s">
        <v>2794</v>
      </c>
      <c r="AF595" s="34"/>
      <c r="AG595" s="22" t="s">
        <v>2795</v>
      </c>
      <c r="AH595" s="58"/>
      <c r="AI595" s="58"/>
      <c r="AJ595" s="58"/>
      <c r="AK595" s="33"/>
      <c r="AL595" s="36"/>
      <c r="AM595" s="14"/>
    </row>
    <row r="596" spans="1:39" ht="14.45" customHeight="1" x14ac:dyDescent="0.25">
      <c r="A596" s="115">
        <v>2</v>
      </c>
      <c r="B596" s="76"/>
      <c r="C596" s="50" t="s">
        <v>2825</v>
      </c>
      <c r="D596" s="20" t="s">
        <v>2826</v>
      </c>
      <c r="E596" s="52" t="s">
        <v>40</v>
      </c>
      <c r="F596" s="22" t="s">
        <v>238</v>
      </c>
      <c r="G596" s="33" t="s">
        <v>3872</v>
      </c>
      <c r="H596" s="22" t="s">
        <v>1078</v>
      </c>
      <c r="I596" s="58" t="s">
        <v>44</v>
      </c>
      <c r="J596" s="22" t="s">
        <v>2827</v>
      </c>
      <c r="K596" s="22"/>
      <c r="L596" s="25" t="s">
        <v>2828</v>
      </c>
      <c r="M596" s="26">
        <v>42943</v>
      </c>
      <c r="N596" s="26">
        <v>44664</v>
      </c>
      <c r="O596" s="27" t="s">
        <v>2790</v>
      </c>
      <c r="P596" s="28" t="s">
        <v>2829</v>
      </c>
      <c r="Q596" s="29">
        <v>43137</v>
      </c>
      <c r="R596" s="26">
        <v>44664</v>
      </c>
      <c r="S596" s="23" t="s">
        <v>2792</v>
      </c>
      <c r="T596" s="23"/>
      <c r="U596" s="23"/>
      <c r="V596" s="23"/>
      <c r="W596" s="77">
        <v>45047</v>
      </c>
      <c r="X596" s="30">
        <v>41030</v>
      </c>
      <c r="Y596" s="30">
        <v>41030</v>
      </c>
      <c r="Z596" s="55" t="str">
        <f ca="1">DATEDIF(X596,TODAY(),"y")&amp;" Tahun "&amp;DATEDIF(X596,TODAY(),"ym")&amp;" Bulan "&amp;DATEDIF(X596,TODAY(),"md")&amp;" Hari"</f>
        <v>13 Tahun 5 Bulan 30 Hari</v>
      </c>
      <c r="AA596" s="55" t="s">
        <v>76</v>
      </c>
      <c r="AB596" s="56">
        <v>30785</v>
      </c>
      <c r="AC596" s="32" t="s">
        <v>2830</v>
      </c>
      <c r="AD596" s="57" t="str">
        <f t="shared" ca="1" si="39"/>
        <v xml:space="preserve">41 Tahun 6 Bulan </v>
      </c>
      <c r="AE596" s="33" t="s">
        <v>2794</v>
      </c>
      <c r="AF596" s="71"/>
      <c r="AG596" s="22" t="s">
        <v>2795</v>
      </c>
      <c r="AH596" s="22"/>
      <c r="AI596" s="22"/>
      <c r="AJ596" s="22"/>
      <c r="AK596" s="33"/>
      <c r="AL596" s="36"/>
      <c r="AM596" s="14"/>
    </row>
    <row r="597" spans="1:39" ht="14.45" customHeight="1" x14ac:dyDescent="0.25">
      <c r="A597" s="17">
        <v>3</v>
      </c>
      <c r="B597" s="18"/>
      <c r="C597" s="50" t="s">
        <v>2831</v>
      </c>
      <c r="D597" s="20" t="s">
        <v>2832</v>
      </c>
      <c r="E597" s="52" t="s">
        <v>56</v>
      </c>
      <c r="F597" s="22" t="s">
        <v>41</v>
      </c>
      <c r="G597" s="23" t="s">
        <v>137</v>
      </c>
      <c r="H597" s="22" t="s">
        <v>138</v>
      </c>
      <c r="I597" s="22" t="s">
        <v>44</v>
      </c>
      <c r="J597" s="22" t="s">
        <v>2833</v>
      </c>
      <c r="K597" s="24">
        <v>45505</v>
      </c>
      <c r="L597" s="25" t="s">
        <v>2834</v>
      </c>
      <c r="M597" s="26">
        <v>42241</v>
      </c>
      <c r="N597" s="26">
        <v>44068</v>
      </c>
      <c r="O597" s="27" t="s">
        <v>2805</v>
      </c>
      <c r="P597" s="53" t="s">
        <v>2835</v>
      </c>
      <c r="Q597" s="26">
        <v>43137</v>
      </c>
      <c r="R597" s="26">
        <v>44068</v>
      </c>
      <c r="S597" s="23" t="s">
        <v>2836</v>
      </c>
      <c r="T597" s="23"/>
      <c r="U597" s="23"/>
      <c r="V597" s="23"/>
      <c r="W597" s="30">
        <v>39783</v>
      </c>
      <c r="X597" s="30">
        <v>39845</v>
      </c>
      <c r="Y597" s="30">
        <v>39845</v>
      </c>
      <c r="Z597" s="55" t="str">
        <f t="shared" ref="Z597:Z603" ca="1" si="43">DATEDIF(W597,TODAY(),"y")&amp;" Tahun "&amp;DATEDIF(W597,TODAY(),"ym")&amp;" Bulan "&amp;DATEDIF(W597,TODAY(),"md")&amp;" Hari"</f>
        <v>16 Tahun 10 Bulan 30 Hari</v>
      </c>
      <c r="AA597" s="55" t="s">
        <v>97</v>
      </c>
      <c r="AB597" s="56">
        <v>30919</v>
      </c>
      <c r="AC597" s="31" t="s">
        <v>2837</v>
      </c>
      <c r="AD597" s="57" t="str">
        <f t="shared" ca="1" si="39"/>
        <v xml:space="preserve">41 Tahun 2 Bulan </v>
      </c>
      <c r="AE597" s="33" t="s">
        <v>2794</v>
      </c>
      <c r="AF597" s="71"/>
      <c r="AG597" s="22" t="s">
        <v>2795</v>
      </c>
      <c r="AH597" s="58"/>
      <c r="AI597" s="58"/>
      <c r="AJ597" s="58"/>
      <c r="AK597" s="33"/>
      <c r="AL597" s="36"/>
      <c r="AM597" s="14"/>
    </row>
    <row r="598" spans="1:39" ht="14.45" customHeight="1" x14ac:dyDescent="0.25">
      <c r="A598" s="115">
        <v>4</v>
      </c>
      <c r="B598" s="18"/>
      <c r="C598" s="50" t="s">
        <v>2838</v>
      </c>
      <c r="D598" s="20" t="s">
        <v>2839</v>
      </c>
      <c r="E598" s="52" t="s">
        <v>56</v>
      </c>
      <c r="F598" s="58" t="s">
        <v>41</v>
      </c>
      <c r="G598" s="23" t="s">
        <v>102</v>
      </c>
      <c r="H598" s="22" t="s">
        <v>103</v>
      </c>
      <c r="I598" s="22" t="s">
        <v>44</v>
      </c>
      <c r="J598" s="22" t="s">
        <v>2788</v>
      </c>
      <c r="K598" s="24">
        <v>45200</v>
      </c>
      <c r="L598" s="28" t="s">
        <v>2840</v>
      </c>
      <c r="M598" s="26">
        <v>42241</v>
      </c>
      <c r="N598" s="26">
        <v>44037</v>
      </c>
      <c r="O598" s="27" t="s">
        <v>2805</v>
      </c>
      <c r="P598" s="28" t="s">
        <v>2841</v>
      </c>
      <c r="Q598" s="29">
        <v>42717</v>
      </c>
      <c r="R598" s="26">
        <v>44037</v>
      </c>
      <c r="S598" s="23" t="s">
        <v>2792</v>
      </c>
      <c r="T598" s="23"/>
      <c r="U598" s="23"/>
      <c r="V598" s="23"/>
      <c r="W598" s="30">
        <v>40179</v>
      </c>
      <c r="X598" s="30">
        <v>41302</v>
      </c>
      <c r="Y598" s="30">
        <v>41308</v>
      </c>
      <c r="Z598" s="55" t="str">
        <f t="shared" ca="1" si="43"/>
        <v>15 Tahun 9 Bulan 30 Hari</v>
      </c>
      <c r="AA598" s="55" t="s">
        <v>76</v>
      </c>
      <c r="AB598" s="56">
        <v>31253</v>
      </c>
      <c r="AC598" s="32" t="s">
        <v>2842</v>
      </c>
      <c r="AD598" s="57" t="str">
        <f t="shared" ca="1" si="39"/>
        <v xml:space="preserve">40 Tahun 3 Bulan </v>
      </c>
      <c r="AE598" s="33" t="s">
        <v>2794</v>
      </c>
      <c r="AF598" s="71"/>
      <c r="AG598" s="22" t="s">
        <v>2795</v>
      </c>
      <c r="AH598" s="22"/>
      <c r="AI598" s="22"/>
      <c r="AJ598" s="22"/>
      <c r="AK598" s="33"/>
      <c r="AL598" s="36"/>
      <c r="AM598" s="14"/>
    </row>
    <row r="599" spans="1:39" ht="14.45" customHeight="1" x14ac:dyDescent="0.25">
      <c r="A599" s="17">
        <v>5</v>
      </c>
      <c r="B599" s="18"/>
      <c r="C599" s="50" t="s">
        <v>2843</v>
      </c>
      <c r="D599" s="20" t="s">
        <v>2844</v>
      </c>
      <c r="E599" s="52" t="s">
        <v>40</v>
      </c>
      <c r="F599" s="58" t="s">
        <v>41</v>
      </c>
      <c r="G599" s="23" t="s">
        <v>137</v>
      </c>
      <c r="H599" s="22" t="s">
        <v>138</v>
      </c>
      <c r="I599" s="22" t="s">
        <v>44</v>
      </c>
      <c r="J599" s="22" t="s">
        <v>2788</v>
      </c>
      <c r="K599" s="24">
        <v>45017</v>
      </c>
      <c r="L599" s="25" t="s">
        <v>2845</v>
      </c>
      <c r="M599" s="26">
        <v>43047</v>
      </c>
      <c r="N599" s="26">
        <v>44841</v>
      </c>
      <c r="O599" s="27" t="s">
        <v>2790</v>
      </c>
      <c r="P599" s="28" t="s">
        <v>2846</v>
      </c>
      <c r="Q599" s="29">
        <v>43137</v>
      </c>
      <c r="R599" s="26">
        <v>44841</v>
      </c>
      <c r="S599" s="23" t="s">
        <v>2792</v>
      </c>
      <c r="T599" s="23"/>
      <c r="U599" s="23"/>
      <c r="V599" s="23"/>
      <c r="W599" s="30">
        <v>39448</v>
      </c>
      <c r="X599" s="30">
        <v>39448</v>
      </c>
      <c r="Y599" s="30">
        <v>39448</v>
      </c>
      <c r="Z599" s="55" t="str">
        <f t="shared" ca="1" si="43"/>
        <v>17 Tahun 9 Bulan 30 Hari</v>
      </c>
      <c r="AA599" s="55" t="s">
        <v>2646</v>
      </c>
      <c r="AB599" s="56">
        <v>31692</v>
      </c>
      <c r="AC599" s="32" t="s">
        <v>2847</v>
      </c>
      <c r="AD599" s="57" t="str">
        <f t="shared" ca="1" si="39"/>
        <v xml:space="preserve">39 Tahun 0 Bulan </v>
      </c>
      <c r="AE599" s="33" t="s">
        <v>2794</v>
      </c>
      <c r="AF599" s="71"/>
      <c r="AG599" s="22" t="s">
        <v>2795</v>
      </c>
      <c r="AH599" s="58"/>
      <c r="AI599" s="58"/>
      <c r="AJ599" s="58"/>
      <c r="AK599" s="33"/>
      <c r="AL599" s="36"/>
    </row>
    <row r="600" spans="1:39" ht="14.45" customHeight="1" x14ac:dyDescent="0.25">
      <c r="A600" s="115">
        <v>6</v>
      </c>
      <c r="B600" s="76"/>
      <c r="C600" s="50" t="s">
        <v>5832</v>
      </c>
      <c r="D600" s="20" t="s">
        <v>2848</v>
      </c>
      <c r="E600" s="52" t="s">
        <v>56</v>
      </c>
      <c r="F600" s="22" t="s">
        <v>238</v>
      </c>
      <c r="G600" s="23" t="s">
        <v>3872</v>
      </c>
      <c r="H600" s="22" t="s">
        <v>1078</v>
      </c>
      <c r="I600" s="22" t="s">
        <v>44</v>
      </c>
      <c r="J600" s="22" t="s">
        <v>2849</v>
      </c>
      <c r="K600" s="24"/>
      <c r="L600" s="22"/>
      <c r="M600" s="26"/>
      <c r="N600" s="26"/>
      <c r="O600" s="22"/>
      <c r="P600" s="22"/>
      <c r="Q600" s="23"/>
      <c r="R600" s="26"/>
      <c r="S600" s="23" t="s">
        <v>2792</v>
      </c>
      <c r="T600" s="23"/>
      <c r="U600" s="23"/>
      <c r="V600" s="23"/>
      <c r="W600" s="77">
        <v>45047</v>
      </c>
      <c r="X600" s="30">
        <v>45048</v>
      </c>
      <c r="Y600" s="30">
        <v>45048</v>
      </c>
      <c r="Z600" s="55" t="str">
        <f t="shared" ca="1" si="43"/>
        <v>2 Tahun 5 Bulan 30 Hari</v>
      </c>
      <c r="AA600" s="55" t="s">
        <v>76</v>
      </c>
      <c r="AB600" s="56">
        <v>31749</v>
      </c>
      <c r="AC600" s="31" t="s">
        <v>2850</v>
      </c>
      <c r="AD600" s="57" t="str">
        <f t="shared" ca="1" si="39"/>
        <v xml:space="preserve">38 Tahun 10 Bulan </v>
      </c>
      <c r="AE600" s="33" t="s">
        <v>2851</v>
      </c>
      <c r="AF600" s="71"/>
      <c r="AG600" s="22" t="s">
        <v>2795</v>
      </c>
      <c r="AH600" s="58"/>
      <c r="AI600" s="58"/>
      <c r="AJ600" s="58"/>
      <c r="AK600" s="33" t="s">
        <v>2821</v>
      </c>
      <c r="AL600" s="36"/>
      <c r="AM600" s="14"/>
    </row>
    <row r="601" spans="1:39" ht="14.45" customHeight="1" x14ac:dyDescent="0.25">
      <c r="A601" s="17">
        <v>7</v>
      </c>
      <c r="B601" s="18"/>
      <c r="C601" s="50" t="s">
        <v>5833</v>
      </c>
      <c r="D601" s="62" t="s">
        <v>2852</v>
      </c>
      <c r="E601" s="52" t="s">
        <v>56</v>
      </c>
      <c r="F601" s="58" t="s">
        <v>41</v>
      </c>
      <c r="G601" s="23" t="s">
        <v>193</v>
      </c>
      <c r="H601" s="22" t="s">
        <v>194</v>
      </c>
      <c r="I601" s="58" t="s">
        <v>44</v>
      </c>
      <c r="J601" s="41" t="s">
        <v>2853</v>
      </c>
      <c r="K601" s="24">
        <v>45200</v>
      </c>
      <c r="L601" s="152" t="s">
        <v>2854</v>
      </c>
      <c r="M601" s="135">
        <v>42943</v>
      </c>
      <c r="N601" s="135">
        <v>44748</v>
      </c>
      <c r="O601" s="27" t="s">
        <v>2855</v>
      </c>
      <c r="P601" s="28" t="s">
        <v>2854</v>
      </c>
      <c r="Q601" s="29">
        <v>42943</v>
      </c>
      <c r="R601" s="135">
        <v>44748</v>
      </c>
      <c r="S601" s="23" t="s">
        <v>2836</v>
      </c>
      <c r="T601" s="23"/>
      <c r="U601" s="23"/>
      <c r="V601" s="23"/>
      <c r="W601" s="30">
        <v>43101</v>
      </c>
      <c r="X601" s="30">
        <v>43101</v>
      </c>
      <c r="Y601" s="30">
        <v>43101</v>
      </c>
      <c r="Z601" s="55" t="str">
        <f t="shared" ca="1" si="43"/>
        <v>7 Tahun 9 Bulan 30 Hari</v>
      </c>
      <c r="AA601" s="55" t="s">
        <v>141</v>
      </c>
      <c r="AB601" s="56">
        <v>33060</v>
      </c>
      <c r="AC601" s="32" t="s">
        <v>2856</v>
      </c>
      <c r="AD601" s="57" t="str">
        <f t="shared" ca="1" si="39"/>
        <v xml:space="preserve">35 Tahun 3 Bulan </v>
      </c>
      <c r="AE601" s="33" t="s">
        <v>2794</v>
      </c>
      <c r="AF601" s="71"/>
      <c r="AG601" s="22" t="s">
        <v>2795</v>
      </c>
      <c r="AH601" s="22"/>
      <c r="AI601" s="22"/>
      <c r="AJ601" s="22"/>
      <c r="AK601" s="33"/>
      <c r="AL601" s="36"/>
      <c r="AM601" s="14"/>
    </row>
    <row r="602" spans="1:39" ht="14.45" customHeight="1" x14ac:dyDescent="0.25">
      <c r="A602" s="115">
        <v>8</v>
      </c>
      <c r="B602" s="76"/>
      <c r="C602" s="50" t="s">
        <v>2857</v>
      </c>
      <c r="D602" s="20" t="s">
        <v>2858</v>
      </c>
      <c r="E602" s="52" t="s">
        <v>56</v>
      </c>
      <c r="F602" s="22" t="s">
        <v>238</v>
      </c>
      <c r="G602" s="23" t="s">
        <v>3872</v>
      </c>
      <c r="H602" s="22" t="s">
        <v>1078</v>
      </c>
      <c r="I602" s="22" t="s">
        <v>44</v>
      </c>
      <c r="J602" s="22" t="s">
        <v>2849</v>
      </c>
      <c r="K602" s="24"/>
      <c r="L602" s="22"/>
      <c r="M602" s="26"/>
      <c r="N602" s="26"/>
      <c r="O602" s="22"/>
      <c r="P602" s="22"/>
      <c r="Q602" s="23"/>
      <c r="R602" s="26"/>
      <c r="S602" s="23" t="s">
        <v>2792</v>
      </c>
      <c r="T602" s="23"/>
      <c r="U602" s="23"/>
      <c r="V602" s="23"/>
      <c r="W602" s="77">
        <v>45047</v>
      </c>
      <c r="X602" s="30">
        <v>45048</v>
      </c>
      <c r="Y602" s="30">
        <v>45048</v>
      </c>
      <c r="Z602" s="55" t="str">
        <f t="shared" ca="1" si="43"/>
        <v>2 Tahun 5 Bulan 30 Hari</v>
      </c>
      <c r="AA602" s="55" t="s">
        <v>297</v>
      </c>
      <c r="AB602" s="56">
        <v>34030</v>
      </c>
      <c r="AC602" s="31" t="s">
        <v>2859</v>
      </c>
      <c r="AD602" s="57" t="str">
        <f t="shared" ca="1" si="39"/>
        <v xml:space="preserve">32 Tahun 7 Bulan </v>
      </c>
      <c r="AE602" s="33" t="s">
        <v>2851</v>
      </c>
      <c r="AF602" s="71"/>
      <c r="AG602" s="22" t="s">
        <v>2795</v>
      </c>
      <c r="AH602" s="58"/>
      <c r="AI602" s="58"/>
      <c r="AJ602" s="58"/>
      <c r="AK602" s="33" t="s">
        <v>314</v>
      </c>
      <c r="AL602" s="36"/>
      <c r="AM602" s="14"/>
    </row>
    <row r="603" spans="1:39" ht="14.45" customHeight="1" x14ac:dyDescent="0.25">
      <c r="A603" s="17">
        <v>9</v>
      </c>
      <c r="B603" s="76"/>
      <c r="C603" s="50" t="s">
        <v>5834</v>
      </c>
      <c r="D603" s="20" t="s">
        <v>2860</v>
      </c>
      <c r="E603" s="52" t="s">
        <v>56</v>
      </c>
      <c r="F603" s="22" t="s">
        <v>238</v>
      </c>
      <c r="G603" s="23" t="s">
        <v>3872</v>
      </c>
      <c r="H603" s="22" t="s">
        <v>1078</v>
      </c>
      <c r="I603" s="22" t="s">
        <v>44</v>
      </c>
      <c r="J603" s="22" t="s">
        <v>2849</v>
      </c>
      <c r="K603" s="24"/>
      <c r="L603" s="22"/>
      <c r="M603" s="26"/>
      <c r="N603" s="26"/>
      <c r="O603" s="22"/>
      <c r="P603" s="22"/>
      <c r="Q603" s="23"/>
      <c r="R603" s="26"/>
      <c r="S603" s="23" t="s">
        <v>2792</v>
      </c>
      <c r="T603" s="23"/>
      <c r="U603" s="23"/>
      <c r="V603" s="23"/>
      <c r="W603" s="77">
        <v>45047</v>
      </c>
      <c r="X603" s="30">
        <v>45048</v>
      </c>
      <c r="Y603" s="30">
        <v>45048</v>
      </c>
      <c r="Z603" s="55" t="str">
        <f t="shared" ca="1" si="43"/>
        <v>2 Tahun 5 Bulan 30 Hari</v>
      </c>
      <c r="AA603" s="55" t="s">
        <v>76</v>
      </c>
      <c r="AB603" s="56">
        <v>34471</v>
      </c>
      <c r="AC603" s="31" t="s">
        <v>2861</v>
      </c>
      <c r="AD603" s="57" t="str">
        <f t="shared" ca="1" si="39"/>
        <v xml:space="preserve">31 Tahun 5 Bulan </v>
      </c>
      <c r="AE603" s="33" t="s">
        <v>2851</v>
      </c>
      <c r="AF603" s="71"/>
      <c r="AG603" s="22" t="s">
        <v>2795</v>
      </c>
      <c r="AH603" s="58"/>
      <c r="AI603" s="58"/>
      <c r="AJ603" s="58"/>
      <c r="AK603" s="33"/>
      <c r="AL603" s="36"/>
      <c r="AM603" s="14"/>
    </row>
    <row r="604" spans="1:39" ht="14.45" customHeight="1" x14ac:dyDescent="0.25">
      <c r="A604" s="115">
        <v>10</v>
      </c>
      <c r="B604" s="134">
        <v>1397</v>
      </c>
      <c r="C604" s="50" t="s">
        <v>5835</v>
      </c>
      <c r="D604" s="20" t="s">
        <v>2862</v>
      </c>
      <c r="E604" s="58" t="s">
        <v>56</v>
      </c>
      <c r="F604" s="58" t="s">
        <v>41</v>
      </c>
      <c r="G604" s="141" t="s">
        <v>227</v>
      </c>
      <c r="H604" s="58" t="s">
        <v>228</v>
      </c>
      <c r="I604" s="22" t="s">
        <v>44</v>
      </c>
      <c r="J604" s="58" t="s">
        <v>2863</v>
      </c>
      <c r="K604" s="24">
        <v>45505</v>
      </c>
      <c r="L604" s="25"/>
      <c r="M604" s="26"/>
      <c r="N604" s="26"/>
      <c r="O604" s="27"/>
      <c r="P604" s="28"/>
      <c r="Q604" s="29"/>
      <c r="R604" s="26"/>
      <c r="S604" s="23" t="s">
        <v>2836</v>
      </c>
      <c r="T604" s="23"/>
      <c r="U604" s="23"/>
      <c r="V604" s="23"/>
      <c r="W604" s="30">
        <v>44166</v>
      </c>
      <c r="X604" s="30">
        <v>44197</v>
      </c>
      <c r="Y604" s="30">
        <v>44197</v>
      </c>
      <c r="Z604" s="55" t="str">
        <f ca="1">DATEDIF(X604,TODAY(),"y")&amp;" Tahun "&amp;DATEDIF(X604,TODAY(),"ym")&amp;" Bulan "&amp;DATEDIF(X604,TODAY(),"md")&amp;" Hari"</f>
        <v>4 Tahun 9 Bulan 30 Hari</v>
      </c>
      <c r="AA604" s="55" t="s">
        <v>563</v>
      </c>
      <c r="AB604" s="56">
        <v>35327</v>
      </c>
      <c r="AC604" s="32" t="s">
        <v>2864</v>
      </c>
      <c r="AD604" s="57" t="str">
        <f t="shared" ca="1" si="39"/>
        <v xml:space="preserve">29 Tahun 1 Bulan </v>
      </c>
      <c r="AE604" s="33" t="s">
        <v>2794</v>
      </c>
      <c r="AF604" s="71"/>
      <c r="AG604" s="22" t="s">
        <v>2795</v>
      </c>
      <c r="AH604" s="58"/>
      <c r="AI604" s="58"/>
      <c r="AJ604" s="58"/>
      <c r="AK604" s="33"/>
      <c r="AL604" s="36"/>
      <c r="AM604" s="14"/>
    </row>
    <row r="605" spans="1:39" ht="14.45" customHeight="1" x14ac:dyDescent="0.25">
      <c r="A605" s="17">
        <v>11</v>
      </c>
      <c r="B605" s="76"/>
      <c r="C605" s="50" t="s">
        <v>2865</v>
      </c>
      <c r="D605" s="20" t="s">
        <v>2866</v>
      </c>
      <c r="E605" s="52" t="s">
        <v>56</v>
      </c>
      <c r="F605" s="22" t="s">
        <v>41</v>
      </c>
      <c r="G605" s="23" t="s">
        <v>1547</v>
      </c>
      <c r="H605" s="22" t="s">
        <v>1548</v>
      </c>
      <c r="I605" s="22" t="s">
        <v>44</v>
      </c>
      <c r="J605" s="22" t="s">
        <v>2849</v>
      </c>
      <c r="K605" s="24">
        <v>44621</v>
      </c>
      <c r="L605" s="22"/>
      <c r="M605" s="26"/>
      <c r="N605" s="26"/>
      <c r="O605" s="22"/>
      <c r="P605" s="22"/>
      <c r="Q605" s="23"/>
      <c r="R605" s="26"/>
      <c r="S605" s="23" t="s">
        <v>2867</v>
      </c>
      <c r="T605" s="23"/>
      <c r="U605" s="23"/>
      <c r="V605" s="23"/>
      <c r="W605" s="77">
        <v>44621</v>
      </c>
      <c r="X605" s="30">
        <v>44621</v>
      </c>
      <c r="Y605" s="30">
        <v>44621</v>
      </c>
      <c r="Z605" s="55" t="str">
        <f ca="1">DATEDIF(W605,TODAY(),"y")&amp;" Tahun "&amp;DATEDIF(W605,TODAY(),"ym")&amp;" Bulan "&amp;DATEDIF(W605,TODAY(),"md")&amp;" Hari"</f>
        <v>3 Tahun 7 Bulan 30 Hari</v>
      </c>
      <c r="AA605" s="55" t="s">
        <v>76</v>
      </c>
      <c r="AB605" s="56">
        <v>36327</v>
      </c>
      <c r="AC605" s="31" t="s">
        <v>2868</v>
      </c>
      <c r="AD605" s="57" t="str">
        <f t="shared" ca="1" si="39"/>
        <v xml:space="preserve">26 Tahun 4 Bulan </v>
      </c>
      <c r="AE605" s="33" t="s">
        <v>2851</v>
      </c>
      <c r="AF605" s="71"/>
      <c r="AG605" s="22" t="s">
        <v>2795</v>
      </c>
      <c r="AH605" s="58"/>
      <c r="AI605" s="58"/>
      <c r="AJ605" s="58"/>
      <c r="AK605" s="33"/>
      <c r="AL605" s="36"/>
      <c r="AM605" s="14"/>
    </row>
    <row r="606" spans="1:39" ht="14.45" customHeight="1" x14ac:dyDescent="0.25">
      <c r="A606" s="115">
        <v>12</v>
      </c>
      <c r="B606" s="78"/>
      <c r="C606" s="50" t="s">
        <v>5836</v>
      </c>
      <c r="D606" s="137" t="s">
        <v>2870</v>
      </c>
      <c r="E606" s="21" t="s">
        <v>40</v>
      </c>
      <c r="F606" s="22" t="s">
        <v>41</v>
      </c>
      <c r="G606" s="23" t="s">
        <v>227</v>
      </c>
      <c r="H606" s="22" t="s">
        <v>228</v>
      </c>
      <c r="I606" s="22" t="s">
        <v>44</v>
      </c>
      <c r="J606" s="22" t="s">
        <v>1559</v>
      </c>
      <c r="K606" s="24">
        <v>44652</v>
      </c>
      <c r="L606" s="25" t="s">
        <v>2871</v>
      </c>
      <c r="M606" s="26">
        <v>42290</v>
      </c>
      <c r="N606" s="26">
        <v>43982</v>
      </c>
      <c r="O606" s="27" t="s">
        <v>1238</v>
      </c>
      <c r="P606" s="173" t="s">
        <v>2872</v>
      </c>
      <c r="Q606" s="173">
        <v>43073</v>
      </c>
      <c r="R606" s="26">
        <v>43982</v>
      </c>
      <c r="S606" s="33" t="s">
        <v>1172</v>
      </c>
      <c r="T606" s="33"/>
      <c r="U606" s="33"/>
      <c r="V606" s="33"/>
      <c r="W606" s="95">
        <v>41244</v>
      </c>
      <c r="X606" s="22"/>
      <c r="Y606" s="30">
        <v>41730</v>
      </c>
      <c r="Z606" s="31" t="str">
        <f ca="1">DATEDIF(W606,TODAY(),"y")&amp;" Tahun "&amp;DATEDIF(W606,TODAY(),"ym")&amp;" Bulan "&amp;DATEDIF(W606,TODAY(),"md")&amp;" Hari"</f>
        <v>12 Tahun 10 Bulan 30 Hari</v>
      </c>
      <c r="AA606" s="31" t="s">
        <v>2873</v>
      </c>
      <c r="AB606" s="32">
        <v>29737</v>
      </c>
      <c r="AC606" s="31" t="s">
        <v>2874</v>
      </c>
      <c r="AD606" s="22" t="str">
        <f t="shared" ca="1" si="39"/>
        <v xml:space="preserve">44 Tahun 5 Bulan </v>
      </c>
      <c r="AE606" s="33" t="s">
        <v>1341</v>
      </c>
      <c r="AF606" s="34"/>
      <c r="AG606" s="22" t="s">
        <v>2795</v>
      </c>
      <c r="AH606" s="58"/>
      <c r="AI606" s="58"/>
      <c r="AJ606" s="58"/>
      <c r="AK606" s="33" t="s">
        <v>308</v>
      </c>
      <c r="AL606" s="36"/>
      <c r="AM606" s="14"/>
    </row>
    <row r="607" spans="1:39" ht="14.45" customHeight="1" x14ac:dyDescent="0.25">
      <c r="A607" s="17">
        <v>13</v>
      </c>
      <c r="B607" s="76"/>
      <c r="C607" s="50" t="s">
        <v>2875</v>
      </c>
      <c r="D607" s="20" t="s">
        <v>2876</v>
      </c>
      <c r="E607" s="52" t="s">
        <v>56</v>
      </c>
      <c r="F607" s="22" t="s">
        <v>41</v>
      </c>
      <c r="G607" s="23" t="s">
        <v>2877</v>
      </c>
      <c r="H607" s="22" t="s">
        <v>2878</v>
      </c>
      <c r="I607" s="22" t="s">
        <v>155</v>
      </c>
      <c r="J607" s="22" t="s">
        <v>2879</v>
      </c>
      <c r="K607" s="24">
        <v>42370</v>
      </c>
      <c r="L607" s="22"/>
      <c r="M607" s="22"/>
      <c r="N607" s="22"/>
      <c r="O607" s="22"/>
      <c r="P607" s="22"/>
      <c r="Q607" s="22"/>
      <c r="R607" s="22"/>
      <c r="S607" s="23" t="s">
        <v>2880</v>
      </c>
      <c r="T607" s="23"/>
      <c r="U607" s="23"/>
      <c r="V607" s="23"/>
      <c r="W607" s="30">
        <v>35855</v>
      </c>
      <c r="X607" s="30">
        <v>36008</v>
      </c>
      <c r="Y607" s="30">
        <v>44038</v>
      </c>
      <c r="Z607" s="55" t="str">
        <f ca="1">DATEDIF(W607,TODAY(),"y")&amp;" Tahun "&amp;DATEDIF(W607,TODAY(),"ym")&amp;" Bulan "&amp;DATEDIF(W607,TODAY(),"md")&amp;" Hari"</f>
        <v>27 Tahun 7 Bulan 30 Hari</v>
      </c>
      <c r="AA607" s="55" t="s">
        <v>338</v>
      </c>
      <c r="AB607" s="56">
        <v>27927</v>
      </c>
      <c r="AC607" s="31" t="s">
        <v>2881</v>
      </c>
      <c r="AD607" s="57" t="str">
        <f t="shared" ca="1" si="39"/>
        <v xml:space="preserve">49 Tahun 4 Bulan </v>
      </c>
      <c r="AE607" s="33" t="s">
        <v>2882</v>
      </c>
      <c r="AF607" s="71"/>
      <c r="AG607" s="22" t="s">
        <v>2795</v>
      </c>
      <c r="AH607" s="58"/>
      <c r="AI607" s="58"/>
      <c r="AJ607" s="58"/>
      <c r="AK607" s="33"/>
      <c r="AL607" s="36"/>
      <c r="AM607" s="14"/>
    </row>
    <row r="608" spans="1:39" ht="14.45" customHeight="1" x14ac:dyDescent="0.25">
      <c r="A608" s="115">
        <v>14</v>
      </c>
      <c r="B608" s="78"/>
      <c r="C608" s="50" t="s">
        <v>2885</v>
      </c>
      <c r="D608" s="137" t="s">
        <v>5837</v>
      </c>
      <c r="E608" s="21" t="s">
        <v>40</v>
      </c>
      <c r="F608" s="22" t="s">
        <v>5691</v>
      </c>
      <c r="G608" s="23" t="s">
        <v>3872</v>
      </c>
      <c r="H608" s="22" t="s">
        <v>5692</v>
      </c>
      <c r="I608" s="22" t="s">
        <v>155</v>
      </c>
      <c r="J608" s="22" t="s">
        <v>5693</v>
      </c>
      <c r="K608" s="24"/>
      <c r="L608" s="25"/>
      <c r="M608" s="26"/>
      <c r="N608" s="26"/>
      <c r="O608" s="27"/>
      <c r="P608" s="173"/>
      <c r="Q608" s="173"/>
      <c r="R608" s="26"/>
      <c r="S608" s="33" t="s">
        <v>1355</v>
      </c>
      <c r="T608" s="33"/>
      <c r="U608" s="33"/>
      <c r="V608" s="33"/>
      <c r="W608" s="95">
        <v>45931</v>
      </c>
      <c r="X608" s="22">
        <v>45261</v>
      </c>
      <c r="Y608" s="30">
        <v>45261</v>
      </c>
      <c r="Z608" s="31" t="str">
        <f t="shared" ref="Z608:Z614" ca="1" si="44">DATEDIF(X608,TODAY(),"y")&amp;" Tahun "&amp;DATEDIF(X608,TODAY(),"ym")&amp;" Bulan "&amp;DATEDIF(X608,TODAY(),"md")&amp;" Hari"</f>
        <v>1 Tahun 10 Bulan 30 Hari</v>
      </c>
      <c r="AA608" s="31" t="s">
        <v>76</v>
      </c>
      <c r="AB608" s="32">
        <v>31580</v>
      </c>
      <c r="AC608" s="31" t="s">
        <v>5838</v>
      </c>
      <c r="AD608" s="22" t="str">
        <f t="shared" ca="1" si="39"/>
        <v xml:space="preserve">39 Tahun 4 Bulan </v>
      </c>
      <c r="AE608" s="33" t="s">
        <v>1069</v>
      </c>
      <c r="AF608" s="34"/>
      <c r="AG608" s="22" t="s">
        <v>2795</v>
      </c>
      <c r="AH608" s="58"/>
      <c r="AI608" s="58"/>
      <c r="AJ608" s="58"/>
      <c r="AK608" s="33" t="s">
        <v>308</v>
      </c>
      <c r="AL608" s="36"/>
      <c r="AM608" s="14"/>
    </row>
    <row r="609" spans="1:39" ht="14.45" customHeight="1" x14ac:dyDescent="0.25">
      <c r="A609" s="17">
        <v>15</v>
      </c>
      <c r="B609" s="18"/>
      <c r="C609" s="50" t="s">
        <v>2886</v>
      </c>
      <c r="D609" s="20">
        <v>2023120743</v>
      </c>
      <c r="E609" s="58" t="s">
        <v>40</v>
      </c>
      <c r="F609" s="60" t="s">
        <v>1063</v>
      </c>
      <c r="G609" s="33" t="s">
        <v>3872</v>
      </c>
      <c r="H609" s="60" t="s">
        <v>3872</v>
      </c>
      <c r="I609" s="60"/>
      <c r="J609" s="60"/>
      <c r="K609" s="30"/>
      <c r="L609" s="60"/>
      <c r="M609" s="60"/>
      <c r="N609" s="60"/>
      <c r="O609" s="60"/>
      <c r="P609" s="60"/>
      <c r="Q609" s="60"/>
      <c r="R609" s="60"/>
      <c r="S609" s="33" t="s">
        <v>1068</v>
      </c>
      <c r="T609" s="33"/>
      <c r="U609" s="33"/>
      <c r="V609" s="33"/>
      <c r="W609" s="30"/>
      <c r="X609" s="30">
        <v>45261</v>
      </c>
      <c r="Y609" s="30">
        <v>45261</v>
      </c>
      <c r="Z609" s="55" t="str">
        <f t="shared" ca="1" si="44"/>
        <v>1 Tahun 10 Bulan 30 Hari</v>
      </c>
      <c r="AA609" s="55" t="s">
        <v>76</v>
      </c>
      <c r="AB609" s="56">
        <v>30276</v>
      </c>
      <c r="AC609" s="31" t="s">
        <v>2887</v>
      </c>
      <c r="AD609" s="57" t="str">
        <f t="shared" ca="1" si="39"/>
        <v xml:space="preserve">42 Tahun 11 Bulan </v>
      </c>
      <c r="AE609" s="33" t="s">
        <v>2888</v>
      </c>
      <c r="AF609" s="34"/>
      <c r="AG609" s="22" t="s">
        <v>2795</v>
      </c>
      <c r="AH609" s="58"/>
      <c r="AI609" s="58"/>
      <c r="AJ609" s="58"/>
      <c r="AK609" s="33" t="s">
        <v>308</v>
      </c>
      <c r="AL609" s="36"/>
      <c r="AM609" s="14"/>
    </row>
    <row r="610" spans="1:39" ht="14.45" customHeight="1" x14ac:dyDescent="0.25">
      <c r="A610" s="115">
        <v>16</v>
      </c>
      <c r="B610" s="18"/>
      <c r="C610" s="50" t="s">
        <v>5839</v>
      </c>
      <c r="D610" s="20" t="s">
        <v>2889</v>
      </c>
      <c r="E610" s="21" t="s">
        <v>56</v>
      </c>
      <c r="F610" s="22" t="s">
        <v>192</v>
      </c>
      <c r="G610" s="23" t="s">
        <v>193</v>
      </c>
      <c r="H610" s="22" t="s">
        <v>194</v>
      </c>
      <c r="I610" s="22" t="s">
        <v>155</v>
      </c>
      <c r="J610" s="22" t="s">
        <v>2853</v>
      </c>
      <c r="K610" s="24" t="s">
        <v>195</v>
      </c>
      <c r="L610" s="22"/>
      <c r="M610" s="22"/>
      <c r="N610" s="22"/>
      <c r="O610" s="22"/>
      <c r="P610" s="22"/>
      <c r="Q610" s="22"/>
      <c r="R610" s="22"/>
      <c r="S610" s="23" t="s">
        <v>2890</v>
      </c>
      <c r="T610" s="23"/>
      <c r="U610" s="23"/>
      <c r="V610" s="23"/>
      <c r="W610" s="69">
        <v>45809</v>
      </c>
      <c r="X610" s="69">
        <v>45810</v>
      </c>
      <c r="Y610" s="69">
        <v>45810</v>
      </c>
      <c r="Z610" s="31" t="str">
        <f t="shared" ca="1" si="44"/>
        <v>0 Tahun 4 Bulan 29 Hari</v>
      </c>
      <c r="AA610" s="23" t="s">
        <v>203</v>
      </c>
      <c r="AB610" s="32">
        <v>35350</v>
      </c>
      <c r="AC610" s="32" t="s">
        <v>2891</v>
      </c>
      <c r="AD610" s="22" t="str">
        <f t="shared" ca="1" si="39"/>
        <v xml:space="preserve">29 Tahun 0 Bulan </v>
      </c>
      <c r="AE610" s="23" t="s">
        <v>2851</v>
      </c>
      <c r="AF610" s="34"/>
      <c r="AG610" s="22" t="s">
        <v>2795</v>
      </c>
      <c r="AH610" s="58"/>
      <c r="AI610" s="58"/>
      <c r="AJ610" s="58"/>
      <c r="AK610" s="33" t="s">
        <v>676</v>
      </c>
      <c r="AL610" s="36"/>
    </row>
    <row r="611" spans="1:39" ht="14.45" customHeight="1" x14ac:dyDescent="0.25">
      <c r="A611" s="17">
        <v>17</v>
      </c>
      <c r="B611" s="18"/>
      <c r="C611" s="50" t="s">
        <v>5840</v>
      </c>
      <c r="D611" s="20" t="s">
        <v>2892</v>
      </c>
      <c r="E611" s="21" t="s">
        <v>56</v>
      </c>
      <c r="F611" s="22" t="s">
        <v>192</v>
      </c>
      <c r="G611" s="23" t="s">
        <v>193</v>
      </c>
      <c r="H611" s="22" t="s">
        <v>194</v>
      </c>
      <c r="I611" s="22" t="s">
        <v>155</v>
      </c>
      <c r="J611" s="22" t="s">
        <v>2853</v>
      </c>
      <c r="K611" s="24" t="s">
        <v>195</v>
      </c>
      <c r="L611" s="22"/>
      <c r="M611" s="22"/>
      <c r="N611" s="22"/>
      <c r="O611" s="22"/>
      <c r="P611" s="22"/>
      <c r="Q611" s="22"/>
      <c r="R611" s="22"/>
      <c r="S611" s="23" t="s">
        <v>2890</v>
      </c>
      <c r="T611" s="23"/>
      <c r="U611" s="23"/>
      <c r="V611" s="23"/>
      <c r="W611" s="69">
        <v>45809</v>
      </c>
      <c r="X611" s="69">
        <v>45810</v>
      </c>
      <c r="Y611" s="69">
        <v>45810</v>
      </c>
      <c r="Z611" s="31" t="str">
        <f t="shared" ca="1" si="44"/>
        <v>0 Tahun 4 Bulan 29 Hari</v>
      </c>
      <c r="AA611" s="23" t="s">
        <v>203</v>
      </c>
      <c r="AB611" s="32">
        <v>35755</v>
      </c>
      <c r="AC611" s="32" t="s">
        <v>2893</v>
      </c>
      <c r="AD611" s="22" t="str">
        <f t="shared" ca="1" si="39"/>
        <v xml:space="preserve">27 Tahun 11 Bulan </v>
      </c>
      <c r="AE611" s="23" t="s">
        <v>2851</v>
      </c>
      <c r="AF611" s="34"/>
      <c r="AG611" s="22" t="s">
        <v>2795</v>
      </c>
      <c r="AH611" s="58"/>
      <c r="AI611" s="58"/>
      <c r="AJ611" s="58"/>
      <c r="AK611" s="33"/>
      <c r="AL611" s="36"/>
      <c r="AM611" s="14"/>
    </row>
    <row r="612" spans="1:39" ht="14.45" customHeight="1" x14ac:dyDescent="0.25">
      <c r="A612" s="115">
        <v>18</v>
      </c>
      <c r="B612" s="18"/>
      <c r="C612" s="50" t="s">
        <v>5841</v>
      </c>
      <c r="D612" s="20" t="s">
        <v>2894</v>
      </c>
      <c r="E612" s="21" t="s">
        <v>40</v>
      </c>
      <c r="F612" s="22" t="s">
        <v>192</v>
      </c>
      <c r="G612" s="23" t="s">
        <v>193</v>
      </c>
      <c r="H612" s="22" t="s">
        <v>194</v>
      </c>
      <c r="I612" s="22" t="s">
        <v>155</v>
      </c>
      <c r="J612" s="22" t="s">
        <v>2853</v>
      </c>
      <c r="K612" s="24" t="s">
        <v>195</v>
      </c>
      <c r="L612" s="22"/>
      <c r="M612" s="22"/>
      <c r="N612" s="22"/>
      <c r="O612" s="22"/>
      <c r="P612" s="22"/>
      <c r="Q612" s="22"/>
      <c r="R612" s="22"/>
      <c r="S612" s="23" t="s">
        <v>2890</v>
      </c>
      <c r="T612" s="23"/>
      <c r="U612" s="23"/>
      <c r="V612" s="23"/>
      <c r="W612" s="69">
        <v>45809</v>
      </c>
      <c r="X612" s="69">
        <v>45810</v>
      </c>
      <c r="Y612" s="69">
        <v>45810</v>
      </c>
      <c r="Z612" s="31" t="str">
        <f t="shared" ca="1" si="44"/>
        <v>0 Tahun 4 Bulan 29 Hari</v>
      </c>
      <c r="AA612" s="23" t="s">
        <v>934</v>
      </c>
      <c r="AB612" s="32">
        <v>35811</v>
      </c>
      <c r="AC612" s="32" t="s">
        <v>2895</v>
      </c>
      <c r="AD612" s="22" t="str">
        <f t="shared" ca="1" si="39"/>
        <v xml:space="preserve">27 Tahun 9 Bulan </v>
      </c>
      <c r="AE612" s="23" t="s">
        <v>2851</v>
      </c>
      <c r="AF612" s="34"/>
      <c r="AG612" s="22" t="s">
        <v>2795</v>
      </c>
      <c r="AH612" s="58"/>
      <c r="AI612" s="58"/>
      <c r="AJ612" s="58"/>
      <c r="AK612" s="33"/>
      <c r="AL612" s="36"/>
      <c r="AM612" s="14"/>
    </row>
    <row r="613" spans="1:39" ht="14.45" customHeight="1" x14ac:dyDescent="0.25">
      <c r="A613" s="17">
        <v>19</v>
      </c>
      <c r="B613" s="18"/>
      <c r="C613" s="50" t="s">
        <v>5842</v>
      </c>
      <c r="D613" s="20" t="s">
        <v>2896</v>
      </c>
      <c r="E613" s="21" t="s">
        <v>56</v>
      </c>
      <c r="F613" s="22" t="s">
        <v>192</v>
      </c>
      <c r="G613" s="23" t="s">
        <v>193</v>
      </c>
      <c r="H613" s="22" t="s">
        <v>194</v>
      </c>
      <c r="I613" s="22" t="s">
        <v>155</v>
      </c>
      <c r="J613" s="22" t="s">
        <v>2853</v>
      </c>
      <c r="K613" s="24" t="s">
        <v>195</v>
      </c>
      <c r="L613" s="22"/>
      <c r="M613" s="22"/>
      <c r="N613" s="22"/>
      <c r="O613" s="22"/>
      <c r="P613" s="22"/>
      <c r="Q613" s="22"/>
      <c r="R613" s="22"/>
      <c r="S613" s="23" t="s">
        <v>2890</v>
      </c>
      <c r="T613" s="23"/>
      <c r="U613" s="23"/>
      <c r="V613" s="23"/>
      <c r="W613" s="69">
        <v>45809</v>
      </c>
      <c r="X613" s="69">
        <v>45810</v>
      </c>
      <c r="Y613" s="69">
        <v>45810</v>
      </c>
      <c r="Z613" s="31" t="str">
        <f t="shared" ca="1" si="44"/>
        <v>0 Tahun 4 Bulan 29 Hari</v>
      </c>
      <c r="AA613" s="23" t="s">
        <v>1913</v>
      </c>
      <c r="AB613" s="32">
        <v>36110</v>
      </c>
      <c r="AC613" s="32" t="s">
        <v>2897</v>
      </c>
      <c r="AD613" s="22" t="str">
        <f t="shared" ca="1" si="39"/>
        <v xml:space="preserve">26 Tahun 11 Bulan </v>
      </c>
      <c r="AE613" s="23" t="s">
        <v>2851</v>
      </c>
      <c r="AF613" s="34"/>
      <c r="AG613" s="22" t="s">
        <v>2795</v>
      </c>
      <c r="AH613" s="22"/>
      <c r="AI613" s="22"/>
      <c r="AJ613" s="22"/>
      <c r="AK613" s="34"/>
      <c r="AL613" s="36"/>
    </row>
    <row r="614" spans="1:39" ht="14.45" customHeight="1" x14ac:dyDescent="0.25">
      <c r="A614" s="115">
        <v>20</v>
      </c>
      <c r="B614" s="18"/>
      <c r="C614" s="50" t="s">
        <v>5843</v>
      </c>
      <c r="D614" s="20" t="s">
        <v>2898</v>
      </c>
      <c r="E614" s="21" t="s">
        <v>56</v>
      </c>
      <c r="F614" s="22" t="s">
        <v>192</v>
      </c>
      <c r="G614" s="23" t="s">
        <v>193</v>
      </c>
      <c r="H614" s="22" t="s">
        <v>194</v>
      </c>
      <c r="I614" s="22" t="s">
        <v>155</v>
      </c>
      <c r="J614" s="22" t="s">
        <v>2853</v>
      </c>
      <c r="K614" s="24" t="s">
        <v>195</v>
      </c>
      <c r="L614" s="22"/>
      <c r="M614" s="22"/>
      <c r="N614" s="22"/>
      <c r="O614" s="22"/>
      <c r="P614" s="22"/>
      <c r="Q614" s="22"/>
      <c r="R614" s="22"/>
      <c r="S614" s="23" t="s">
        <v>2890</v>
      </c>
      <c r="T614" s="23"/>
      <c r="U614" s="23"/>
      <c r="V614" s="23"/>
      <c r="W614" s="69">
        <v>45809</v>
      </c>
      <c r="X614" s="69">
        <v>45810</v>
      </c>
      <c r="Y614" s="69">
        <v>45810</v>
      </c>
      <c r="Z614" s="31" t="str">
        <f t="shared" ca="1" si="44"/>
        <v>0 Tahun 4 Bulan 29 Hari</v>
      </c>
      <c r="AA614" s="23" t="s">
        <v>733</v>
      </c>
      <c r="AB614" s="32">
        <v>36917</v>
      </c>
      <c r="AC614" s="32" t="s">
        <v>2899</v>
      </c>
      <c r="AD614" s="22" t="str">
        <f t="shared" ca="1" si="39"/>
        <v xml:space="preserve">24 Tahun 9 Bulan </v>
      </c>
      <c r="AE614" s="23" t="s">
        <v>2851</v>
      </c>
      <c r="AF614" s="34"/>
      <c r="AG614" s="22" t="s">
        <v>2795</v>
      </c>
      <c r="AH614" s="58" t="s">
        <v>2883</v>
      </c>
      <c r="AI614" s="58" t="s">
        <v>2884</v>
      </c>
      <c r="AJ614" s="58"/>
      <c r="AK614" s="33"/>
      <c r="AL614" s="36"/>
    </row>
    <row r="615" spans="1:39" ht="14.45" customHeight="1" x14ac:dyDescent="0.25">
      <c r="A615" s="17">
        <v>21</v>
      </c>
      <c r="B615" s="18">
        <v>1414</v>
      </c>
      <c r="C615" s="50" t="s">
        <v>2900</v>
      </c>
      <c r="D615" s="20" t="s">
        <v>2901</v>
      </c>
      <c r="E615" s="52" t="s">
        <v>56</v>
      </c>
      <c r="F615" s="22" t="s">
        <v>41</v>
      </c>
      <c r="G615" s="23" t="s">
        <v>102</v>
      </c>
      <c r="H615" s="22" t="s">
        <v>103</v>
      </c>
      <c r="I615" s="22" t="s">
        <v>44</v>
      </c>
      <c r="J615" s="22" t="s">
        <v>2788</v>
      </c>
      <c r="K615" s="24">
        <v>45870</v>
      </c>
      <c r="L615" s="181"/>
      <c r="M615" s="182"/>
      <c r="N615" s="182"/>
      <c r="O615" s="183"/>
      <c r="P615" s="185"/>
      <c r="Q615" s="186"/>
      <c r="R615" s="26"/>
      <c r="S615" s="23" t="s">
        <v>2836</v>
      </c>
      <c r="T615" s="23"/>
      <c r="U615" s="23"/>
      <c r="V615" s="23"/>
      <c r="W615" s="30">
        <v>40544</v>
      </c>
      <c r="X615" s="30">
        <v>44288</v>
      </c>
      <c r="Y615" s="30">
        <v>44288</v>
      </c>
      <c r="Z615" s="55" t="str">
        <f ca="1">DATEDIF(W615,TODAY(),"y")&amp;" Tahun "&amp;DATEDIF(W615,TODAY(),"ym")&amp;" Bulan "&amp;DATEDIF(W615,TODAY(),"md")&amp;" Hari"</f>
        <v>14 Tahun 9 Bulan 30 Hari</v>
      </c>
      <c r="AA615" s="55" t="s">
        <v>76</v>
      </c>
      <c r="AB615" s="56">
        <v>32201</v>
      </c>
      <c r="AC615" s="31" t="s">
        <v>2902</v>
      </c>
      <c r="AD615" s="57" t="str">
        <f t="shared" ca="1" si="39"/>
        <v xml:space="preserve">37 Tahun 8 Bulan </v>
      </c>
      <c r="AE615" s="33" t="s">
        <v>2794</v>
      </c>
      <c r="AF615" s="34"/>
      <c r="AG615" s="58" t="s">
        <v>2903</v>
      </c>
      <c r="AH615" s="22"/>
      <c r="AI615" s="22"/>
      <c r="AJ615" s="22"/>
      <c r="AK615" s="34"/>
      <c r="AL615" s="36"/>
    </row>
    <row r="616" spans="1:39" ht="14.45" customHeight="1" x14ac:dyDescent="0.25">
      <c r="A616" s="115">
        <v>22</v>
      </c>
      <c r="B616" s="76">
        <v>1359</v>
      </c>
      <c r="C616" s="50" t="s">
        <v>2904</v>
      </c>
      <c r="D616" s="20" t="s">
        <v>2905</v>
      </c>
      <c r="E616" s="58" t="s">
        <v>56</v>
      </c>
      <c r="F616" s="58" t="s">
        <v>41</v>
      </c>
      <c r="G616" s="89" t="s">
        <v>193</v>
      </c>
      <c r="H616" s="22" t="s">
        <v>194</v>
      </c>
      <c r="I616" s="22" t="s">
        <v>44</v>
      </c>
      <c r="J616" s="22" t="s">
        <v>2906</v>
      </c>
      <c r="K616" s="24">
        <v>45870</v>
      </c>
      <c r="L616" s="22"/>
      <c r="M616" s="22"/>
      <c r="N616" s="22"/>
      <c r="O616" s="22"/>
      <c r="P616" s="22"/>
      <c r="Q616" s="22"/>
      <c r="R616" s="22"/>
      <c r="S616" s="23" t="s">
        <v>2792</v>
      </c>
      <c r="T616" s="23">
        <v>2011</v>
      </c>
      <c r="U616" s="23"/>
      <c r="V616" s="23"/>
      <c r="W616" s="30">
        <v>43497</v>
      </c>
      <c r="X616" s="30">
        <v>43497</v>
      </c>
      <c r="Y616" s="30">
        <v>43497</v>
      </c>
      <c r="Z616" s="55" t="str">
        <f ca="1">DATEDIF(X616,TODAY(),"y")&amp;" Tahun "&amp;DATEDIF(X616,TODAY(),"ym")&amp;" Bulan "&amp;DATEDIF(X616,TODAY(),"md")&amp;" Hari"</f>
        <v>6 Tahun 8 Bulan 30 Hari</v>
      </c>
      <c r="AA616" s="55" t="s">
        <v>76</v>
      </c>
      <c r="AB616" s="56">
        <v>33253</v>
      </c>
      <c r="AC616" s="31" t="s">
        <v>2907</v>
      </c>
      <c r="AD616" s="57" t="str">
        <f t="shared" ref="AD616:AD679" ca="1" si="45">DATEDIF(AB616,TODAY(),"y")&amp;" Tahun "&amp;DATEDIF(AB616,TODAY(),"ym")&amp;" Bulan "</f>
        <v xml:space="preserve">34 Tahun 9 Bulan </v>
      </c>
      <c r="AE616" s="33" t="s">
        <v>2794</v>
      </c>
      <c r="AF616" s="71"/>
      <c r="AG616" s="58" t="s">
        <v>2903</v>
      </c>
      <c r="AH616" s="22"/>
      <c r="AI616" s="22"/>
      <c r="AJ616" s="22"/>
      <c r="AK616" s="33"/>
      <c r="AL616" s="36"/>
    </row>
    <row r="617" spans="1:39" ht="14.45" customHeight="1" x14ac:dyDescent="0.25">
      <c r="A617" s="17">
        <v>23</v>
      </c>
      <c r="B617" s="18"/>
      <c r="C617" s="50" t="s">
        <v>5844</v>
      </c>
      <c r="D617" s="20" t="s">
        <v>2908</v>
      </c>
      <c r="E617" s="21" t="s">
        <v>56</v>
      </c>
      <c r="F617" s="22" t="s">
        <v>192</v>
      </c>
      <c r="G617" s="23" t="s">
        <v>193</v>
      </c>
      <c r="H617" s="22" t="s">
        <v>194</v>
      </c>
      <c r="I617" s="22" t="s">
        <v>155</v>
      </c>
      <c r="J617" s="22" t="s">
        <v>2853</v>
      </c>
      <c r="K617" s="24" t="s">
        <v>195</v>
      </c>
      <c r="L617" s="22"/>
      <c r="M617" s="22"/>
      <c r="N617" s="22"/>
      <c r="O617" s="22"/>
      <c r="P617" s="22"/>
      <c r="Q617" s="22"/>
      <c r="R617" s="22"/>
      <c r="S617" s="23" t="s">
        <v>2890</v>
      </c>
      <c r="T617" s="23"/>
      <c r="U617" s="23"/>
      <c r="V617" s="23"/>
      <c r="W617" s="69">
        <v>45809</v>
      </c>
      <c r="X617" s="69">
        <v>45810</v>
      </c>
      <c r="Y617" s="69">
        <v>45810</v>
      </c>
      <c r="Z617" s="31" t="str">
        <f ca="1">DATEDIF(X617,TODAY(),"y")&amp;" Tahun "&amp;DATEDIF(X617,TODAY(),"ym")&amp;" Bulan "&amp;DATEDIF(X617,TODAY(),"md")&amp;" Hari"</f>
        <v>0 Tahun 4 Bulan 29 Hari</v>
      </c>
      <c r="AA617" s="23" t="s">
        <v>2909</v>
      </c>
      <c r="AB617" s="32">
        <v>37119</v>
      </c>
      <c r="AC617" s="32" t="s">
        <v>2910</v>
      </c>
      <c r="AD617" s="22" t="str">
        <f t="shared" ca="1" si="45"/>
        <v xml:space="preserve">24 Tahun 2 Bulan </v>
      </c>
      <c r="AE617" s="23" t="s">
        <v>2851</v>
      </c>
      <c r="AF617" s="34"/>
      <c r="AG617" s="58" t="s">
        <v>2903</v>
      </c>
      <c r="AH617" s="58"/>
      <c r="AI617" s="58"/>
      <c r="AJ617" s="58"/>
      <c r="AK617" s="33"/>
      <c r="AL617" s="36"/>
    </row>
    <row r="618" spans="1:39" ht="14.45" customHeight="1" x14ac:dyDescent="0.25">
      <c r="A618" s="115">
        <v>24</v>
      </c>
      <c r="B618" s="18"/>
      <c r="C618" s="50" t="s">
        <v>5845</v>
      </c>
      <c r="D618" s="20" t="s">
        <v>2911</v>
      </c>
      <c r="E618" s="21" t="s">
        <v>56</v>
      </c>
      <c r="F618" s="22" t="s">
        <v>192</v>
      </c>
      <c r="G618" s="23" t="s">
        <v>193</v>
      </c>
      <c r="H618" s="22" t="s">
        <v>194</v>
      </c>
      <c r="I618" s="22" t="s">
        <v>155</v>
      </c>
      <c r="J618" s="22" t="s">
        <v>2853</v>
      </c>
      <c r="K618" s="24" t="s">
        <v>195</v>
      </c>
      <c r="L618" s="22"/>
      <c r="M618" s="22"/>
      <c r="N618" s="22"/>
      <c r="O618" s="22"/>
      <c r="P618" s="22"/>
      <c r="Q618" s="22"/>
      <c r="R618" s="22"/>
      <c r="S618" s="23" t="s">
        <v>2836</v>
      </c>
      <c r="T618" s="23"/>
      <c r="U618" s="23"/>
      <c r="V618" s="23"/>
      <c r="W618" s="69">
        <v>45809</v>
      </c>
      <c r="X618" s="69">
        <v>45810</v>
      </c>
      <c r="Y618" s="69">
        <v>45810</v>
      </c>
      <c r="Z618" s="31" t="str">
        <f ca="1">DATEDIF(X618,TODAY(),"y")&amp;" Tahun "&amp;DATEDIF(X618,TODAY(),"ym")&amp;" Bulan "&amp;DATEDIF(X618,TODAY(),"md")&amp;" Hari"</f>
        <v>0 Tahun 4 Bulan 29 Hari</v>
      </c>
      <c r="AA618" s="23" t="s">
        <v>203</v>
      </c>
      <c r="AB618" s="32">
        <v>36026</v>
      </c>
      <c r="AC618" s="32" t="s">
        <v>2912</v>
      </c>
      <c r="AD618" s="22" t="str">
        <f t="shared" ca="1" si="45"/>
        <v xml:space="preserve">27 Tahun 2 Bulan </v>
      </c>
      <c r="AE618" s="23" t="s">
        <v>2851</v>
      </c>
      <c r="AF618" s="34"/>
      <c r="AG618" s="58" t="s">
        <v>2903</v>
      </c>
      <c r="AH618" s="22"/>
      <c r="AI618" s="22"/>
      <c r="AJ618" s="22"/>
      <c r="AK618" s="33" t="s">
        <v>200</v>
      </c>
      <c r="AL618" s="36"/>
    </row>
    <row r="619" spans="1:39" ht="14.45" customHeight="1" x14ac:dyDescent="0.25">
      <c r="A619" s="17">
        <v>25</v>
      </c>
      <c r="B619" s="18"/>
      <c r="C619" s="50" t="s">
        <v>5846</v>
      </c>
      <c r="D619" s="20" t="s">
        <v>2913</v>
      </c>
      <c r="E619" s="21" t="s">
        <v>56</v>
      </c>
      <c r="F619" s="22" t="s">
        <v>192</v>
      </c>
      <c r="G619" s="23" t="s">
        <v>193</v>
      </c>
      <c r="H619" s="22" t="s">
        <v>194</v>
      </c>
      <c r="I619" s="22" t="s">
        <v>155</v>
      </c>
      <c r="J619" s="22" t="s">
        <v>2853</v>
      </c>
      <c r="K619" s="24" t="s">
        <v>195</v>
      </c>
      <c r="L619" s="22"/>
      <c r="M619" s="22"/>
      <c r="N619" s="22"/>
      <c r="O619" s="22"/>
      <c r="P619" s="22"/>
      <c r="Q619" s="22"/>
      <c r="R619" s="22"/>
      <c r="S619" s="23" t="s">
        <v>2890</v>
      </c>
      <c r="T619" s="23"/>
      <c r="U619" s="23"/>
      <c r="V619" s="23"/>
      <c r="W619" s="69">
        <v>45809</v>
      </c>
      <c r="X619" s="69">
        <v>45810</v>
      </c>
      <c r="Y619" s="69">
        <v>45810</v>
      </c>
      <c r="Z619" s="31" t="str">
        <f ca="1">DATEDIF(X619,TODAY(),"y")&amp;" Tahun "&amp;DATEDIF(X619,TODAY(),"ym")&amp;" Bulan "&amp;DATEDIF(X619,TODAY(),"md")&amp;" Hari"</f>
        <v>0 Tahun 4 Bulan 29 Hari</v>
      </c>
      <c r="AA619" s="23" t="s">
        <v>2914</v>
      </c>
      <c r="AB619" s="32">
        <v>36686</v>
      </c>
      <c r="AC619" s="32" t="s">
        <v>2915</v>
      </c>
      <c r="AD619" s="22" t="str">
        <f t="shared" ca="1" si="45"/>
        <v xml:space="preserve">25 Tahun 4 Bulan </v>
      </c>
      <c r="AE619" s="23" t="s">
        <v>2851</v>
      </c>
      <c r="AF619" s="34"/>
      <c r="AG619" s="58" t="s">
        <v>2903</v>
      </c>
      <c r="AH619" s="22"/>
      <c r="AI619" s="22"/>
      <c r="AJ619" s="22"/>
      <c r="AK619" s="33" t="s">
        <v>200</v>
      </c>
      <c r="AL619" s="36"/>
    </row>
    <row r="620" spans="1:39" ht="14.45" customHeight="1" x14ac:dyDescent="0.25">
      <c r="A620" s="115">
        <v>26</v>
      </c>
      <c r="B620" s="18"/>
      <c r="C620" s="50" t="s">
        <v>5847</v>
      </c>
      <c r="D620" s="20" t="s">
        <v>5848</v>
      </c>
      <c r="E620" s="21" t="s">
        <v>40</v>
      </c>
      <c r="F620" s="22" t="s">
        <v>5691</v>
      </c>
      <c r="G620" s="23" t="s">
        <v>3872</v>
      </c>
      <c r="H620" s="22" t="s">
        <v>5692</v>
      </c>
      <c r="I620" s="22" t="s">
        <v>155</v>
      </c>
      <c r="J620" s="22" t="s">
        <v>5687</v>
      </c>
      <c r="K620" s="30"/>
      <c r="L620" s="22"/>
      <c r="M620" s="22"/>
      <c r="N620" s="22"/>
      <c r="O620" s="22"/>
      <c r="P620" s="22"/>
      <c r="Q620" s="22"/>
      <c r="R620" s="22"/>
      <c r="S620" s="23" t="s">
        <v>2916</v>
      </c>
      <c r="T620" s="23"/>
      <c r="U620" s="23"/>
      <c r="V620" s="23"/>
      <c r="W620" s="30">
        <v>45931</v>
      </c>
      <c r="X620" s="30">
        <v>45261</v>
      </c>
      <c r="Y620" s="30">
        <v>45261</v>
      </c>
      <c r="Z620" s="55" t="str">
        <f ca="1">DATEDIF(X620,TODAY(),"y")&amp;" Tahun "&amp;DATEDIF(X620,TODAY(),"ym")&amp;" Bulan "&amp;DATEDIF(X620,TODAY(),"md")&amp;" Hari"</f>
        <v>1 Tahun 10 Bulan 30 Hari</v>
      </c>
      <c r="AA620" s="31" t="s">
        <v>260</v>
      </c>
      <c r="AB620" s="32">
        <v>31322</v>
      </c>
      <c r="AC620" s="31" t="s">
        <v>5849</v>
      </c>
      <c r="AD620" s="57" t="str">
        <f t="shared" ca="1" si="45"/>
        <v xml:space="preserve">40 Tahun 0 Bulan </v>
      </c>
      <c r="AE620" s="33" t="s">
        <v>1341</v>
      </c>
      <c r="AF620" s="71"/>
      <c r="AG620" s="58" t="s">
        <v>2903</v>
      </c>
      <c r="AH620" s="22"/>
      <c r="AI620" s="22"/>
      <c r="AJ620" s="22"/>
      <c r="AK620" s="33" t="s">
        <v>200</v>
      </c>
      <c r="AL620" s="36"/>
    </row>
    <row r="621" spans="1:39" ht="14.45" customHeight="1" x14ac:dyDescent="0.25">
      <c r="A621" s="17">
        <v>27</v>
      </c>
      <c r="B621" s="18"/>
      <c r="C621" s="50" t="s">
        <v>2917</v>
      </c>
      <c r="D621" s="20" t="s">
        <v>2918</v>
      </c>
      <c r="E621" s="52" t="s">
        <v>40</v>
      </c>
      <c r="F621" s="22" t="s">
        <v>41</v>
      </c>
      <c r="G621" s="141" t="s">
        <v>115</v>
      </c>
      <c r="H621" s="22" t="s">
        <v>116</v>
      </c>
      <c r="I621" s="22" t="s">
        <v>44</v>
      </c>
      <c r="J621" s="22" t="s">
        <v>2919</v>
      </c>
      <c r="K621" s="24">
        <v>45505</v>
      </c>
      <c r="L621" s="25" t="s">
        <v>2920</v>
      </c>
      <c r="M621" s="26">
        <v>42943</v>
      </c>
      <c r="N621" s="26">
        <v>44857</v>
      </c>
      <c r="O621" s="27" t="s">
        <v>2790</v>
      </c>
      <c r="P621" s="28" t="s">
        <v>2921</v>
      </c>
      <c r="Q621" s="29">
        <v>43096</v>
      </c>
      <c r="R621" s="26">
        <v>44857</v>
      </c>
      <c r="S621" s="23" t="s">
        <v>2922</v>
      </c>
      <c r="T621" s="23"/>
      <c r="U621" s="23"/>
      <c r="V621" s="23"/>
      <c r="W621" s="30">
        <v>32933</v>
      </c>
      <c r="X621" s="30">
        <v>32933</v>
      </c>
      <c r="Y621" s="30">
        <v>32933</v>
      </c>
      <c r="Z621" s="55" t="str">
        <f ca="1">DATEDIF(W621,TODAY(),"y")&amp;" Tahun "&amp;DATEDIF(W621,TODAY(),"ym")&amp;" Bulan "&amp;DATEDIF(W621,TODAY(),"md")&amp;" Hari"</f>
        <v>35 Tahun 7 Bulan 30 Hari</v>
      </c>
      <c r="AA621" s="55" t="s">
        <v>76</v>
      </c>
      <c r="AB621" s="56">
        <v>25499</v>
      </c>
      <c r="AC621" s="31" t="s">
        <v>2923</v>
      </c>
      <c r="AD621" s="57" t="str">
        <f t="shared" ca="1" si="45"/>
        <v xml:space="preserve">56 Tahun 0 Bulan </v>
      </c>
      <c r="AE621" s="33" t="s">
        <v>2794</v>
      </c>
      <c r="AF621" s="34"/>
      <c r="AG621" s="58" t="s">
        <v>2924</v>
      </c>
      <c r="AH621" s="22"/>
      <c r="AI621" s="22"/>
      <c r="AJ621" s="22"/>
      <c r="AK621" s="33" t="s">
        <v>200</v>
      </c>
      <c r="AL621" s="36"/>
    </row>
    <row r="622" spans="1:39" ht="14.45" customHeight="1" x14ac:dyDescent="0.25">
      <c r="A622" s="115">
        <v>28</v>
      </c>
      <c r="B622" s="76"/>
      <c r="C622" s="50" t="s">
        <v>2925</v>
      </c>
      <c r="D622" s="20" t="s">
        <v>2926</v>
      </c>
      <c r="E622" s="52" t="s">
        <v>56</v>
      </c>
      <c r="F622" s="22" t="s">
        <v>41</v>
      </c>
      <c r="G622" s="23" t="s">
        <v>102</v>
      </c>
      <c r="H622" s="22" t="s">
        <v>103</v>
      </c>
      <c r="I622" s="22" t="s">
        <v>44</v>
      </c>
      <c r="J622" s="22" t="s">
        <v>2833</v>
      </c>
      <c r="K622" s="24">
        <v>45566</v>
      </c>
      <c r="L622" s="25" t="s">
        <v>2927</v>
      </c>
      <c r="M622" s="26">
        <v>41995</v>
      </c>
      <c r="N622" s="26">
        <v>43768</v>
      </c>
      <c r="O622" s="27" t="s">
        <v>2805</v>
      </c>
      <c r="P622" s="28" t="s">
        <v>2928</v>
      </c>
      <c r="Q622" s="29">
        <v>42244</v>
      </c>
      <c r="R622" s="26">
        <v>43768</v>
      </c>
      <c r="S622" s="59" t="s">
        <v>2836</v>
      </c>
      <c r="T622" s="59"/>
      <c r="U622" s="59"/>
      <c r="V622" s="59"/>
      <c r="W622" s="82">
        <v>40179</v>
      </c>
      <c r="X622" s="82">
        <v>41428</v>
      </c>
      <c r="Y622" s="82">
        <v>41435</v>
      </c>
      <c r="Z622" s="55" t="str">
        <f ca="1">DATEDIF(W622,TODAY(),"y")&amp;" Tahun "&amp;DATEDIF(W622,TODAY(),"ym")&amp;" Bulan "&amp;DATEDIF(W622,TODAY(),"md")&amp;" Hari"</f>
        <v>15 Tahun 9 Bulan 30 Hari</v>
      </c>
      <c r="AA622" s="55" t="s">
        <v>76</v>
      </c>
      <c r="AB622" s="56">
        <v>31320</v>
      </c>
      <c r="AC622" s="32" t="s">
        <v>2929</v>
      </c>
      <c r="AD622" s="57" t="str">
        <f t="shared" ca="1" si="45"/>
        <v xml:space="preserve">40 Tahun 1 Bulan </v>
      </c>
      <c r="AE622" s="33" t="s">
        <v>2794</v>
      </c>
      <c r="AF622" s="34"/>
      <c r="AG622" s="58" t="s">
        <v>2924</v>
      </c>
      <c r="AH622" s="22"/>
      <c r="AI622" s="22"/>
      <c r="AJ622" s="22"/>
      <c r="AK622" s="33" t="s">
        <v>200</v>
      </c>
      <c r="AL622" s="36"/>
    </row>
    <row r="623" spans="1:39" ht="14.45" customHeight="1" x14ac:dyDescent="0.25">
      <c r="A623" s="17">
        <v>1</v>
      </c>
      <c r="B623" s="18"/>
      <c r="C623" s="50" t="s">
        <v>5850</v>
      </c>
      <c r="D623" s="20" t="s">
        <v>2930</v>
      </c>
      <c r="E623" s="21" t="s">
        <v>56</v>
      </c>
      <c r="F623" s="22" t="s">
        <v>41</v>
      </c>
      <c r="G623" s="23" t="s">
        <v>57</v>
      </c>
      <c r="H623" s="22" t="s">
        <v>58</v>
      </c>
      <c r="I623" s="22" t="s">
        <v>44</v>
      </c>
      <c r="J623" s="22" t="s">
        <v>2919</v>
      </c>
      <c r="K623" s="24">
        <v>45200</v>
      </c>
      <c r="L623" s="25" t="s">
        <v>2931</v>
      </c>
      <c r="M623" s="26">
        <v>42173</v>
      </c>
      <c r="N623" s="26">
        <v>44017</v>
      </c>
      <c r="O623" s="27" t="s">
        <v>2805</v>
      </c>
      <c r="P623" s="28" t="s">
        <v>2932</v>
      </c>
      <c r="Q623" s="29">
        <v>42244</v>
      </c>
      <c r="R623" s="26">
        <v>44017</v>
      </c>
      <c r="S623" s="23" t="s">
        <v>2836</v>
      </c>
      <c r="T623" s="23"/>
      <c r="U623" s="23"/>
      <c r="V623" s="23"/>
      <c r="W623" s="30">
        <v>35855</v>
      </c>
      <c r="X623" s="30">
        <v>35855</v>
      </c>
      <c r="Y623" s="30">
        <v>35855</v>
      </c>
      <c r="Z623" s="31" t="str">
        <f ca="1">DATEDIF(W623,TODAY(),"y")&amp;" Tahun "&amp;DATEDIF(W623,TODAY(),"ym")&amp;" Bulan "&amp;DATEDIF(W623,TODAY(),"md")&amp;" Hari"</f>
        <v>27 Tahun 7 Bulan 30 Hari</v>
      </c>
      <c r="AA623" s="31" t="s">
        <v>76</v>
      </c>
      <c r="AB623" s="32">
        <v>28676</v>
      </c>
      <c r="AC623" s="32" t="s">
        <v>2933</v>
      </c>
      <c r="AD623" s="22" t="str">
        <f t="shared" ca="1" si="45"/>
        <v xml:space="preserve">47 Tahun 3 Bulan </v>
      </c>
      <c r="AE623" s="33" t="s">
        <v>2794</v>
      </c>
      <c r="AF623" s="34"/>
      <c r="AG623" s="58" t="s">
        <v>2924</v>
      </c>
      <c r="AH623" s="58"/>
      <c r="AI623" s="58"/>
      <c r="AJ623" s="58"/>
      <c r="AK623" s="33"/>
      <c r="AL623" s="36"/>
    </row>
    <row r="624" spans="1:39" ht="14.45" customHeight="1" x14ac:dyDescent="0.25">
      <c r="A624" s="17">
        <v>2</v>
      </c>
      <c r="B624" s="18"/>
      <c r="C624" s="50" t="s">
        <v>5851</v>
      </c>
      <c r="D624" s="20" t="s">
        <v>2934</v>
      </c>
      <c r="E624" s="52" t="s">
        <v>56</v>
      </c>
      <c r="F624" s="58" t="s">
        <v>238</v>
      </c>
      <c r="G624" s="23" t="s">
        <v>3872</v>
      </c>
      <c r="H624" s="6" t="s">
        <v>1078</v>
      </c>
      <c r="I624" s="6" t="s">
        <v>44</v>
      </c>
      <c r="J624" s="22" t="s">
        <v>2827</v>
      </c>
      <c r="K624" s="24"/>
      <c r="L624" s="22" t="s">
        <v>2935</v>
      </c>
      <c r="M624" s="22">
        <v>42943</v>
      </c>
      <c r="N624" s="22">
        <v>44753</v>
      </c>
      <c r="O624" s="22" t="s">
        <v>2790</v>
      </c>
      <c r="P624" s="22" t="s">
        <v>2936</v>
      </c>
      <c r="Q624" s="22">
        <v>43137</v>
      </c>
      <c r="R624" s="22">
        <v>44753</v>
      </c>
      <c r="S624" s="23" t="s">
        <v>2792</v>
      </c>
      <c r="T624" s="23"/>
      <c r="U624" s="23"/>
      <c r="V624" s="23"/>
      <c r="W624" s="30">
        <v>45047</v>
      </c>
      <c r="X624" s="30">
        <v>41030</v>
      </c>
      <c r="Y624" s="30">
        <v>41030</v>
      </c>
      <c r="Z624" s="55" t="str">
        <f ca="1">DATEDIF(X624,TODAY(),"y")&amp;" Tahun "&amp;DATEDIF(X624,TODAY(),"ym")&amp;" Bulan "&amp;DATEDIF(X624,TODAY(),"md")&amp;" Hari"</f>
        <v>13 Tahun 5 Bulan 30 Hari</v>
      </c>
      <c r="AA624" s="55" t="s">
        <v>2937</v>
      </c>
      <c r="AB624" s="56">
        <v>32700</v>
      </c>
      <c r="AC624" s="32" t="s">
        <v>2938</v>
      </c>
      <c r="AD624" s="57" t="str">
        <f t="shared" ca="1" si="45"/>
        <v xml:space="preserve">36 Tahun 3 Bulan </v>
      </c>
      <c r="AE624" s="33" t="s">
        <v>2794</v>
      </c>
      <c r="AF624" s="71"/>
      <c r="AG624" s="58" t="s">
        <v>2924</v>
      </c>
      <c r="AH624" s="58"/>
      <c r="AI624" s="58"/>
      <c r="AJ624" s="58"/>
      <c r="AK624" s="33"/>
      <c r="AL624" s="36"/>
    </row>
    <row r="625" spans="1:38" ht="14.45" customHeight="1" x14ac:dyDescent="0.25">
      <c r="A625" s="17">
        <v>3</v>
      </c>
      <c r="B625" s="18">
        <v>1403</v>
      </c>
      <c r="C625" s="132" t="s">
        <v>5852</v>
      </c>
      <c r="D625" s="20" t="s">
        <v>2939</v>
      </c>
      <c r="E625" s="22" t="s">
        <v>40</v>
      </c>
      <c r="F625" s="58" t="s">
        <v>238</v>
      </c>
      <c r="G625" s="33" t="s">
        <v>3872</v>
      </c>
      <c r="H625" s="6" t="s">
        <v>1078</v>
      </c>
      <c r="I625" s="6" t="s">
        <v>44</v>
      </c>
      <c r="J625" s="22" t="s">
        <v>2827</v>
      </c>
      <c r="K625" s="22"/>
      <c r="L625" s="25"/>
      <c r="M625" s="26"/>
      <c r="N625" s="26"/>
      <c r="O625" s="27"/>
      <c r="P625" s="28"/>
      <c r="Q625" s="43"/>
      <c r="R625" s="43"/>
      <c r="S625" s="23" t="s">
        <v>2792</v>
      </c>
      <c r="T625" s="33"/>
      <c r="U625" s="33"/>
      <c r="V625" s="33"/>
      <c r="W625" s="77">
        <v>45383</v>
      </c>
      <c r="X625" s="30">
        <v>44197</v>
      </c>
      <c r="Y625" s="30">
        <v>44197</v>
      </c>
      <c r="Z625" s="31" t="str">
        <f ca="1">DATEDIF(X625,TODAY(),"y")&amp;" Tahun "&amp;DATEDIF(X625,TODAY(),"ym")&amp;" Bulan "&amp;DATEDIF(X625,TODAY(),"md")&amp;" Hari"</f>
        <v>4 Tahun 9 Bulan 30 Hari</v>
      </c>
      <c r="AA625" s="31" t="s">
        <v>76</v>
      </c>
      <c r="AB625" s="32">
        <v>34899</v>
      </c>
      <c r="AC625" s="31" t="s">
        <v>2940</v>
      </c>
      <c r="AD625" s="22" t="str">
        <f t="shared" ca="1" si="45"/>
        <v xml:space="preserve">30 Tahun 3 Bulan </v>
      </c>
      <c r="AE625" s="33" t="s">
        <v>2794</v>
      </c>
      <c r="AF625" s="34"/>
      <c r="AG625" s="22" t="s">
        <v>2924</v>
      </c>
      <c r="AH625" s="22"/>
      <c r="AI625" s="22"/>
      <c r="AJ625" s="22"/>
      <c r="AK625" s="33" t="s">
        <v>200</v>
      </c>
      <c r="AL625" s="36"/>
    </row>
    <row r="626" spans="1:38" ht="14.45" customHeight="1" x14ac:dyDescent="0.25">
      <c r="A626" s="17">
        <v>4</v>
      </c>
      <c r="B626" s="18">
        <v>1402</v>
      </c>
      <c r="C626" s="187" t="s">
        <v>5853</v>
      </c>
      <c r="D626" s="51" t="s">
        <v>2941</v>
      </c>
      <c r="E626" s="58" t="s">
        <v>56</v>
      </c>
      <c r="F626" s="58" t="s">
        <v>238</v>
      </c>
      <c r="G626" s="85" t="s">
        <v>3872</v>
      </c>
      <c r="H626" s="6" t="s">
        <v>1078</v>
      </c>
      <c r="I626" s="6" t="s">
        <v>44</v>
      </c>
      <c r="J626" s="22" t="s">
        <v>2827</v>
      </c>
      <c r="K626" s="22"/>
      <c r="L626" s="25"/>
      <c r="M626" s="26"/>
      <c r="N626" s="26"/>
      <c r="O626" s="27"/>
      <c r="P626" s="28"/>
      <c r="Q626" s="43"/>
      <c r="R626" s="43"/>
      <c r="S626" s="59" t="s">
        <v>2792</v>
      </c>
      <c r="T626" s="85"/>
      <c r="U626" s="85"/>
      <c r="V626" s="85"/>
      <c r="W626" s="177">
        <v>45383</v>
      </c>
      <c r="X626" s="82">
        <v>44197</v>
      </c>
      <c r="Y626" s="82">
        <v>44197</v>
      </c>
      <c r="Z626" s="55" t="str">
        <f ca="1">DATEDIF(X626,TODAY(),"y")&amp;" Tahun "&amp;DATEDIF(X626,TODAY(),"ym")&amp;" Bulan "&amp;DATEDIF(X626,TODAY(),"md")&amp;" Hari"</f>
        <v>4 Tahun 9 Bulan 30 Hari</v>
      </c>
      <c r="AA626" s="66" t="s">
        <v>76</v>
      </c>
      <c r="AB626" s="83">
        <v>34002</v>
      </c>
      <c r="AC626" s="102" t="s">
        <v>2942</v>
      </c>
      <c r="AD626" s="57" t="str">
        <f t="shared" ca="1" si="45"/>
        <v xml:space="preserve">32 Tahun 8 Bulan </v>
      </c>
      <c r="AE626" s="33" t="s">
        <v>2794</v>
      </c>
      <c r="AF626" s="34"/>
      <c r="AG626" s="22" t="s">
        <v>2924</v>
      </c>
      <c r="AH626" s="22"/>
      <c r="AI626" s="22"/>
      <c r="AJ626" s="22"/>
      <c r="AK626" s="33" t="s">
        <v>200</v>
      </c>
      <c r="AL626" s="36"/>
    </row>
    <row r="627" spans="1:38" ht="14.45" customHeight="1" x14ac:dyDescent="0.25">
      <c r="A627" s="17">
        <v>5</v>
      </c>
      <c r="B627" s="18"/>
      <c r="C627" s="187" t="s">
        <v>2943</v>
      </c>
      <c r="D627" s="51" t="s">
        <v>5854</v>
      </c>
      <c r="E627" s="58" t="s">
        <v>40</v>
      </c>
      <c r="F627" s="22" t="s">
        <v>5691</v>
      </c>
      <c r="G627" s="85" t="s">
        <v>3872</v>
      </c>
      <c r="H627" s="60" t="s">
        <v>5692</v>
      </c>
      <c r="I627" s="87" t="s">
        <v>155</v>
      </c>
      <c r="J627" s="58" t="s">
        <v>5693</v>
      </c>
      <c r="K627" s="22"/>
      <c r="L627" s="25"/>
      <c r="M627" s="26"/>
      <c r="N627" s="26"/>
      <c r="O627" s="27"/>
      <c r="P627" s="28"/>
      <c r="Q627" s="43"/>
      <c r="R627" s="43"/>
      <c r="S627" s="59" t="s">
        <v>2575</v>
      </c>
      <c r="T627" s="85"/>
      <c r="U627" s="85"/>
      <c r="V627" s="85"/>
      <c r="W627" s="177">
        <v>45931</v>
      </c>
      <c r="X627" s="82">
        <v>45261</v>
      </c>
      <c r="Y627" s="82">
        <v>45261</v>
      </c>
      <c r="Z627" s="55" t="str">
        <f ca="1">DATEDIF(X627,TODAY(),"y")&amp;" Tahun "&amp;DATEDIF(X627,TODAY(),"ym")&amp;" Bulan "&amp;DATEDIF(X627,TODAY(),"md")&amp;" Hari"</f>
        <v>1 Tahun 10 Bulan 30 Hari</v>
      </c>
      <c r="AA627" s="66" t="s">
        <v>76</v>
      </c>
      <c r="AB627" s="83">
        <v>29058</v>
      </c>
      <c r="AC627" s="102" t="s">
        <v>5855</v>
      </c>
      <c r="AD627" s="57" t="str">
        <f t="shared" ca="1" si="45"/>
        <v xml:space="preserve">46 Tahun 3 Bulan </v>
      </c>
      <c r="AE627" s="33" t="s">
        <v>1341</v>
      </c>
      <c r="AF627" s="34"/>
      <c r="AG627" s="22" t="s">
        <v>2924</v>
      </c>
      <c r="AH627" s="22"/>
      <c r="AI627" s="22"/>
      <c r="AJ627" s="22"/>
      <c r="AK627" s="33" t="s">
        <v>200</v>
      </c>
      <c r="AL627" s="36"/>
    </row>
    <row r="628" spans="1:38" ht="14.45" customHeight="1" x14ac:dyDescent="0.25">
      <c r="A628" s="17">
        <v>6</v>
      </c>
      <c r="B628" s="18"/>
      <c r="C628" s="50" t="s">
        <v>2944</v>
      </c>
      <c r="D628" s="20" t="s">
        <v>2945</v>
      </c>
      <c r="E628" s="52" t="s">
        <v>56</v>
      </c>
      <c r="F628" s="87" t="s">
        <v>41</v>
      </c>
      <c r="G628" s="23" t="s">
        <v>137</v>
      </c>
      <c r="H628" s="22" t="s">
        <v>138</v>
      </c>
      <c r="I628" s="22" t="s">
        <v>44</v>
      </c>
      <c r="J628" s="22" t="s">
        <v>2788</v>
      </c>
      <c r="K628" s="24">
        <v>43009</v>
      </c>
      <c r="L628" s="25" t="s">
        <v>2946</v>
      </c>
      <c r="M628" s="26">
        <v>42943</v>
      </c>
      <c r="N628" s="26">
        <v>44604</v>
      </c>
      <c r="O628" s="27" t="s">
        <v>2790</v>
      </c>
      <c r="P628" s="28" t="s">
        <v>2947</v>
      </c>
      <c r="Q628" s="29">
        <v>43088</v>
      </c>
      <c r="R628" s="26">
        <v>44604</v>
      </c>
      <c r="S628" s="23" t="s">
        <v>2792</v>
      </c>
      <c r="T628" s="23"/>
      <c r="U628" s="23"/>
      <c r="V628" s="23"/>
      <c r="W628" s="30">
        <v>36586</v>
      </c>
      <c r="X628" s="30">
        <v>36586</v>
      </c>
      <c r="Y628" s="30">
        <v>36586</v>
      </c>
      <c r="Z628" s="55" t="str">
        <f ca="1">DATEDIF(W628,TODAY(),"y")&amp;" Tahun "&amp;DATEDIF(W628,TODAY(),"ym")&amp;" Bulan "&amp;DATEDIF(W628,TODAY(),"md")&amp;" Hari"</f>
        <v>25 Tahun 7 Bulan 30 Hari</v>
      </c>
      <c r="AA628" s="55" t="s">
        <v>76</v>
      </c>
      <c r="AB628" s="56">
        <v>26341</v>
      </c>
      <c r="AC628" s="32" t="s">
        <v>1352</v>
      </c>
      <c r="AD628" s="57" t="str">
        <f t="shared" ca="1" si="45"/>
        <v xml:space="preserve">53 Tahun 8 Bulan </v>
      </c>
      <c r="AE628" s="33" t="s">
        <v>2794</v>
      </c>
      <c r="AF628" s="71"/>
      <c r="AG628" s="22" t="s">
        <v>2948</v>
      </c>
      <c r="AH628" s="58"/>
      <c r="AI628" s="58"/>
      <c r="AJ628" s="58"/>
      <c r="AK628" s="33"/>
      <c r="AL628" s="36"/>
    </row>
    <row r="629" spans="1:38" ht="14.45" customHeight="1" x14ac:dyDescent="0.25">
      <c r="A629" s="17">
        <v>1</v>
      </c>
      <c r="B629" s="18"/>
      <c r="C629" s="50" t="s">
        <v>2949</v>
      </c>
      <c r="D629" s="20" t="s">
        <v>2950</v>
      </c>
      <c r="E629" s="52" t="s">
        <v>56</v>
      </c>
      <c r="F629" s="58" t="s">
        <v>41</v>
      </c>
      <c r="G629" s="23" t="s">
        <v>137</v>
      </c>
      <c r="H629" s="6" t="s">
        <v>138</v>
      </c>
      <c r="I629" s="6" t="s">
        <v>44</v>
      </c>
      <c r="J629" s="6" t="s">
        <v>2788</v>
      </c>
      <c r="K629" s="24">
        <v>42370</v>
      </c>
      <c r="L629" s="25" t="s">
        <v>2951</v>
      </c>
      <c r="M629" s="26">
        <v>42173</v>
      </c>
      <c r="N629" s="26">
        <v>44110</v>
      </c>
      <c r="O629" s="27" t="s">
        <v>2805</v>
      </c>
      <c r="P629" s="28" t="s">
        <v>2952</v>
      </c>
      <c r="Q629" s="29">
        <v>42275</v>
      </c>
      <c r="R629" s="26">
        <v>44110</v>
      </c>
      <c r="S629" s="23" t="s">
        <v>2792</v>
      </c>
      <c r="T629" s="59"/>
      <c r="U629" s="59"/>
      <c r="V629" s="59"/>
      <c r="W629" s="30">
        <v>32203</v>
      </c>
      <c r="X629" s="30">
        <v>32203</v>
      </c>
      <c r="Y629" s="30">
        <v>32203</v>
      </c>
      <c r="Z629" s="55" t="str">
        <f ca="1">DATEDIF(W629,TODAY(),"y")&amp;" Tahun "&amp;DATEDIF(W629,TODAY(),"ym")&amp;" Bulan "&amp;DATEDIF(W629,TODAY(),"md")&amp;" Hari"</f>
        <v>37 Tahun 7 Bulan 30 Hari</v>
      </c>
      <c r="AA629" s="66" t="s">
        <v>76</v>
      </c>
      <c r="AB629" s="56">
        <v>25117</v>
      </c>
      <c r="AC629" s="32" t="s">
        <v>2953</v>
      </c>
      <c r="AD629" s="57" t="str">
        <f t="shared" ca="1" si="45"/>
        <v xml:space="preserve">57 Tahun 0 Bulan </v>
      </c>
      <c r="AE629" s="33" t="s">
        <v>2794</v>
      </c>
      <c r="AF629" s="71"/>
      <c r="AG629" s="22" t="s">
        <v>2948</v>
      </c>
      <c r="AH629" s="58"/>
      <c r="AI629" s="58"/>
      <c r="AJ629" s="58"/>
      <c r="AK629" s="33"/>
      <c r="AL629" s="36"/>
    </row>
    <row r="630" spans="1:38" ht="14.45" customHeight="1" x14ac:dyDescent="0.25">
      <c r="A630" s="17">
        <v>2</v>
      </c>
      <c r="B630" s="18"/>
      <c r="C630" s="132" t="s">
        <v>2954</v>
      </c>
      <c r="D630" s="20" t="s">
        <v>2955</v>
      </c>
      <c r="E630" s="22" t="s">
        <v>40</v>
      </c>
      <c r="F630" s="22" t="s">
        <v>238</v>
      </c>
      <c r="G630" s="33" t="s">
        <v>3872</v>
      </c>
      <c r="H630" s="6" t="s">
        <v>1078</v>
      </c>
      <c r="I630" s="6" t="s">
        <v>44</v>
      </c>
      <c r="J630" s="22" t="s">
        <v>2956</v>
      </c>
      <c r="K630" s="22"/>
      <c r="L630" s="25" t="s">
        <v>2957</v>
      </c>
      <c r="M630" s="26">
        <v>43049</v>
      </c>
      <c r="N630" s="26">
        <v>44093</v>
      </c>
      <c r="O630" s="27" t="s">
        <v>2958</v>
      </c>
      <c r="P630" s="28" t="s">
        <v>2959</v>
      </c>
      <c r="Q630" s="43">
        <v>43185</v>
      </c>
      <c r="R630" s="43">
        <v>44093</v>
      </c>
      <c r="S630" s="23" t="s">
        <v>2960</v>
      </c>
      <c r="T630" s="33"/>
      <c r="U630" s="33"/>
      <c r="V630" s="33"/>
      <c r="W630" s="77">
        <v>45047</v>
      </c>
      <c r="X630" s="30">
        <v>41981</v>
      </c>
      <c r="Y630" s="30">
        <v>41981</v>
      </c>
      <c r="Z630" s="31" t="str">
        <f t="shared" ref="Z630:Z638" ca="1" si="46">DATEDIF(X630,TODAY(),"y")&amp;" Tahun "&amp;DATEDIF(X630,TODAY(),"ym")&amp;" Bulan "&amp;DATEDIF(X630,TODAY(),"md")&amp;" Hari"</f>
        <v>10 Tahun 10 Bulan 23 Hari</v>
      </c>
      <c r="AA630" s="31" t="s">
        <v>76</v>
      </c>
      <c r="AB630" s="32">
        <v>32039</v>
      </c>
      <c r="AC630" s="31" t="s">
        <v>2961</v>
      </c>
      <c r="AD630" s="22" t="str">
        <f t="shared" ca="1" si="45"/>
        <v xml:space="preserve">38 Tahun 1 Bulan </v>
      </c>
      <c r="AE630" s="33" t="s">
        <v>2962</v>
      </c>
      <c r="AF630" s="34"/>
      <c r="AG630" s="22" t="s">
        <v>2948</v>
      </c>
      <c r="AH630" s="58"/>
      <c r="AI630" s="58"/>
      <c r="AJ630" s="58"/>
      <c r="AK630" s="33"/>
      <c r="AL630" s="36"/>
    </row>
    <row r="631" spans="1:38" ht="14.45" customHeight="1" x14ac:dyDescent="0.25">
      <c r="A631" s="17">
        <v>3</v>
      </c>
      <c r="B631" s="18"/>
      <c r="C631" s="132" t="s">
        <v>2964</v>
      </c>
      <c r="D631" s="20" t="s">
        <v>2965</v>
      </c>
      <c r="E631" s="22" t="s">
        <v>40</v>
      </c>
      <c r="F631" s="22" t="s">
        <v>238</v>
      </c>
      <c r="G631" s="33" t="s">
        <v>3872</v>
      </c>
      <c r="H631" s="6" t="s">
        <v>1078</v>
      </c>
      <c r="I631" s="6" t="s">
        <v>44</v>
      </c>
      <c r="J631" s="22" t="s">
        <v>2956</v>
      </c>
      <c r="K631" s="22"/>
      <c r="L631" s="25" t="s">
        <v>2966</v>
      </c>
      <c r="M631" s="26">
        <v>43049</v>
      </c>
      <c r="N631" s="26">
        <v>43960</v>
      </c>
      <c r="O631" s="27" t="s">
        <v>2958</v>
      </c>
      <c r="P631" s="28" t="s">
        <v>2967</v>
      </c>
      <c r="Q631" s="43">
        <v>43185</v>
      </c>
      <c r="R631" s="43">
        <v>43960</v>
      </c>
      <c r="S631" s="23" t="s">
        <v>2960</v>
      </c>
      <c r="T631" s="33"/>
      <c r="U631" s="33"/>
      <c r="V631" s="33"/>
      <c r="W631" s="77">
        <v>45047</v>
      </c>
      <c r="X631" s="30">
        <v>41981</v>
      </c>
      <c r="Y631" s="30">
        <v>41981</v>
      </c>
      <c r="Z631" s="31" t="str">
        <f t="shared" ca="1" si="46"/>
        <v>10 Tahun 10 Bulan 23 Hari</v>
      </c>
      <c r="AA631" s="31" t="s">
        <v>76</v>
      </c>
      <c r="AB631" s="32">
        <v>33733</v>
      </c>
      <c r="AC631" s="31" t="s">
        <v>2968</v>
      </c>
      <c r="AD631" s="22" t="str">
        <f t="shared" ca="1" si="45"/>
        <v xml:space="preserve">33 Tahun 5 Bulan </v>
      </c>
      <c r="AE631" s="33" t="s">
        <v>2962</v>
      </c>
      <c r="AF631" s="34"/>
      <c r="AG631" s="22" t="s">
        <v>2948</v>
      </c>
      <c r="AH631" s="22"/>
      <c r="AI631" s="22"/>
      <c r="AJ631" s="22"/>
      <c r="AK631" s="33"/>
      <c r="AL631" s="36"/>
    </row>
    <row r="632" spans="1:38" ht="14.45" customHeight="1" x14ac:dyDescent="0.25">
      <c r="A632" s="17">
        <v>4</v>
      </c>
      <c r="B632" s="18"/>
      <c r="C632" s="50" t="s">
        <v>2969</v>
      </c>
      <c r="D632" s="20" t="s">
        <v>2970</v>
      </c>
      <c r="E632" s="22" t="s">
        <v>56</v>
      </c>
      <c r="F632" s="22" t="s">
        <v>238</v>
      </c>
      <c r="G632" s="33" t="s">
        <v>3872</v>
      </c>
      <c r="H632" s="22" t="s">
        <v>1078</v>
      </c>
      <c r="I632" s="58" t="s">
        <v>44</v>
      </c>
      <c r="J632" s="22" t="s">
        <v>2827</v>
      </c>
      <c r="K632" s="30"/>
      <c r="L632" s="25" t="s">
        <v>2971</v>
      </c>
      <c r="M632" s="26">
        <v>42118</v>
      </c>
      <c r="N632" s="26">
        <v>43989</v>
      </c>
      <c r="O632" s="27" t="s">
        <v>2805</v>
      </c>
      <c r="P632" s="28" t="s">
        <v>2972</v>
      </c>
      <c r="Q632" s="29">
        <v>42254</v>
      </c>
      <c r="R632" s="26">
        <v>43989</v>
      </c>
      <c r="S632" s="33" t="s">
        <v>2792</v>
      </c>
      <c r="T632" s="33"/>
      <c r="U632" s="33"/>
      <c r="V632" s="33"/>
      <c r="W632" s="30">
        <v>45047</v>
      </c>
      <c r="X632" s="30">
        <v>42095</v>
      </c>
      <c r="Y632" s="30">
        <v>42114</v>
      </c>
      <c r="Z632" s="31" t="str">
        <f t="shared" ca="1" si="46"/>
        <v>10 Tahun 6 Bulan 30 Hari</v>
      </c>
      <c r="AA632" s="31" t="s">
        <v>297</v>
      </c>
      <c r="AB632" s="32">
        <v>34127</v>
      </c>
      <c r="AC632" s="31" t="s">
        <v>2973</v>
      </c>
      <c r="AD632" s="22" t="str">
        <f t="shared" ca="1" si="45"/>
        <v xml:space="preserve">32 Tahun 4 Bulan </v>
      </c>
      <c r="AE632" s="33" t="s">
        <v>2794</v>
      </c>
      <c r="AF632" s="34"/>
      <c r="AG632" s="22" t="s">
        <v>2948</v>
      </c>
      <c r="AH632" s="58"/>
      <c r="AI632" s="58"/>
      <c r="AJ632" s="58"/>
      <c r="AK632" s="33" t="s">
        <v>314</v>
      </c>
      <c r="AL632" s="36"/>
    </row>
    <row r="633" spans="1:38" ht="14.45" customHeight="1" x14ac:dyDescent="0.25">
      <c r="A633" s="17">
        <v>5</v>
      </c>
      <c r="B633" s="18"/>
      <c r="C633" s="132" t="s">
        <v>2974</v>
      </c>
      <c r="D633" s="20" t="s">
        <v>2975</v>
      </c>
      <c r="E633" s="22" t="s">
        <v>56</v>
      </c>
      <c r="F633" s="22" t="s">
        <v>41</v>
      </c>
      <c r="G633" s="33" t="s">
        <v>1547</v>
      </c>
      <c r="H633" s="58" t="s">
        <v>1548</v>
      </c>
      <c r="I633" s="58" t="s">
        <v>44</v>
      </c>
      <c r="J633" s="58" t="s">
        <v>2976</v>
      </c>
      <c r="K633" s="22"/>
      <c r="L633" s="25" t="s">
        <v>2977</v>
      </c>
      <c r="M633" s="26">
        <v>42118</v>
      </c>
      <c r="N633" s="26">
        <v>44178</v>
      </c>
      <c r="O633" s="27" t="s">
        <v>2805</v>
      </c>
      <c r="P633" s="28" t="s">
        <v>2978</v>
      </c>
      <c r="Q633" s="43">
        <v>42254</v>
      </c>
      <c r="R633" s="43">
        <v>44178</v>
      </c>
      <c r="S633" s="23" t="s">
        <v>2792</v>
      </c>
      <c r="T633" s="33"/>
      <c r="U633" s="33"/>
      <c r="V633" s="33"/>
      <c r="W633" s="77">
        <v>44621</v>
      </c>
      <c r="X633" s="30">
        <v>42095</v>
      </c>
      <c r="Y633" s="30">
        <v>42114</v>
      </c>
      <c r="Z633" s="31" t="str">
        <f t="shared" ca="1" si="46"/>
        <v>10 Tahun 6 Bulan 30 Hari</v>
      </c>
      <c r="AA633" s="31" t="s">
        <v>2979</v>
      </c>
      <c r="AB633" s="32">
        <v>34316</v>
      </c>
      <c r="AC633" s="31" t="s">
        <v>2980</v>
      </c>
      <c r="AD633" s="22" t="str">
        <f t="shared" ca="1" si="45"/>
        <v xml:space="preserve">31 Tahun 10 Bulan </v>
      </c>
      <c r="AE633" s="33" t="s">
        <v>2851</v>
      </c>
      <c r="AF633" s="34"/>
      <c r="AG633" s="22" t="s">
        <v>2948</v>
      </c>
      <c r="AH633" s="22"/>
      <c r="AI633" s="22"/>
      <c r="AJ633" s="22"/>
      <c r="AK633" s="33" t="s">
        <v>485</v>
      </c>
      <c r="AL633" s="36"/>
    </row>
    <row r="634" spans="1:38" ht="14.45" customHeight="1" x14ac:dyDescent="0.25">
      <c r="A634" s="17">
        <v>6</v>
      </c>
      <c r="B634" s="18"/>
      <c r="C634" s="132" t="s">
        <v>2981</v>
      </c>
      <c r="D634" s="20" t="s">
        <v>2982</v>
      </c>
      <c r="E634" s="22" t="s">
        <v>56</v>
      </c>
      <c r="F634" s="22" t="s">
        <v>238</v>
      </c>
      <c r="G634" s="33" t="s">
        <v>3872</v>
      </c>
      <c r="H634" s="22" t="s">
        <v>1078</v>
      </c>
      <c r="I634" s="58" t="s">
        <v>44</v>
      </c>
      <c r="J634" s="22" t="s">
        <v>2956</v>
      </c>
      <c r="K634" s="22"/>
      <c r="L634" s="25"/>
      <c r="M634" s="26"/>
      <c r="N634" s="26"/>
      <c r="O634" s="27"/>
      <c r="P634" s="28"/>
      <c r="Q634" s="43"/>
      <c r="R634" s="43"/>
      <c r="S634" s="23" t="s">
        <v>2983</v>
      </c>
      <c r="T634" s="33"/>
      <c r="U634" s="33"/>
      <c r="V634" s="33"/>
      <c r="W634" s="77">
        <v>45383</v>
      </c>
      <c r="X634" s="30">
        <v>44410</v>
      </c>
      <c r="Y634" s="30">
        <v>44410</v>
      </c>
      <c r="Z634" s="31" t="str">
        <f t="shared" ca="1" si="46"/>
        <v>4 Tahun 2 Bulan 29 Hari</v>
      </c>
      <c r="AA634" s="31" t="s">
        <v>2984</v>
      </c>
      <c r="AB634" s="32">
        <v>36148</v>
      </c>
      <c r="AC634" s="31" t="s">
        <v>2985</v>
      </c>
      <c r="AD634" s="22" t="str">
        <f t="shared" ca="1" si="45"/>
        <v xml:space="preserve">26 Tahun 10 Bulan </v>
      </c>
      <c r="AE634" s="33" t="s">
        <v>2986</v>
      </c>
      <c r="AF634" s="34"/>
      <c r="AG634" s="22" t="s">
        <v>2948</v>
      </c>
      <c r="AH634" s="22"/>
      <c r="AI634" s="22"/>
      <c r="AJ634" s="22"/>
      <c r="AK634" s="33" t="s">
        <v>485</v>
      </c>
      <c r="AL634" s="36"/>
    </row>
    <row r="635" spans="1:38" ht="14.45" customHeight="1" x14ac:dyDescent="0.25">
      <c r="A635" s="17">
        <v>7</v>
      </c>
      <c r="B635" s="18"/>
      <c r="C635" s="132" t="s">
        <v>2987</v>
      </c>
      <c r="D635" s="20" t="s">
        <v>2988</v>
      </c>
      <c r="E635" s="22" t="s">
        <v>56</v>
      </c>
      <c r="F635" s="22" t="s">
        <v>238</v>
      </c>
      <c r="G635" s="33" t="s">
        <v>3872</v>
      </c>
      <c r="H635" s="22" t="s">
        <v>1078</v>
      </c>
      <c r="I635" s="58" t="s">
        <v>44</v>
      </c>
      <c r="J635" s="22" t="s">
        <v>2956</v>
      </c>
      <c r="K635" s="22"/>
      <c r="L635" s="25"/>
      <c r="M635" s="26"/>
      <c r="N635" s="26"/>
      <c r="O635" s="27"/>
      <c r="P635" s="28"/>
      <c r="Q635" s="43"/>
      <c r="R635" s="43"/>
      <c r="S635" s="23" t="s">
        <v>2983</v>
      </c>
      <c r="T635" s="33"/>
      <c r="U635" s="33"/>
      <c r="V635" s="33"/>
      <c r="W635" s="77">
        <v>45383</v>
      </c>
      <c r="X635" s="30">
        <v>44410</v>
      </c>
      <c r="Y635" s="30">
        <v>44410</v>
      </c>
      <c r="Z635" s="31" t="str">
        <f t="shared" ca="1" si="46"/>
        <v>4 Tahun 2 Bulan 29 Hari</v>
      </c>
      <c r="AA635" s="31" t="s">
        <v>171</v>
      </c>
      <c r="AB635" s="32">
        <v>36214</v>
      </c>
      <c r="AC635" s="31" t="s">
        <v>2989</v>
      </c>
      <c r="AD635" s="22" t="str">
        <f t="shared" ca="1" si="45"/>
        <v xml:space="preserve">26 Tahun 8 Bulan </v>
      </c>
      <c r="AE635" s="33" t="s">
        <v>2986</v>
      </c>
      <c r="AF635" s="34"/>
      <c r="AG635" s="22" t="s">
        <v>2948</v>
      </c>
      <c r="AH635" s="22"/>
      <c r="AI635" s="22"/>
      <c r="AJ635" s="22"/>
      <c r="AK635" s="33"/>
      <c r="AL635" s="36"/>
    </row>
    <row r="636" spans="1:38" ht="14.45" customHeight="1" x14ac:dyDescent="0.25">
      <c r="A636" s="17">
        <v>1</v>
      </c>
      <c r="B636" s="18"/>
      <c r="C636" s="50" t="s">
        <v>5856</v>
      </c>
      <c r="D636" s="20" t="s">
        <v>2990</v>
      </c>
      <c r="E636" s="21" t="s">
        <v>56</v>
      </c>
      <c r="F636" s="22" t="s">
        <v>192</v>
      </c>
      <c r="G636" s="23" t="s">
        <v>1547</v>
      </c>
      <c r="H636" s="22" t="s">
        <v>1548</v>
      </c>
      <c r="I636" s="22" t="s">
        <v>155</v>
      </c>
      <c r="J636" s="22" t="s">
        <v>2956</v>
      </c>
      <c r="K636" s="24" t="s">
        <v>195</v>
      </c>
      <c r="L636" s="22"/>
      <c r="M636" s="22"/>
      <c r="N636" s="22"/>
      <c r="O636" s="22"/>
      <c r="P636" s="22"/>
      <c r="Q636" s="22"/>
      <c r="R636" s="22"/>
      <c r="S636" s="23" t="s">
        <v>2960</v>
      </c>
      <c r="T636" s="23"/>
      <c r="U636" s="23"/>
      <c r="V636" s="23"/>
      <c r="W636" s="69">
        <v>45809</v>
      </c>
      <c r="X636" s="69">
        <v>45810</v>
      </c>
      <c r="Y636" s="69">
        <v>45810</v>
      </c>
      <c r="Z636" s="31" t="str">
        <f t="shared" ca="1" si="46"/>
        <v>0 Tahun 4 Bulan 29 Hari</v>
      </c>
      <c r="AA636" s="23" t="s">
        <v>1045</v>
      </c>
      <c r="AB636" s="32">
        <v>34411</v>
      </c>
      <c r="AC636" s="32" t="s">
        <v>2991</v>
      </c>
      <c r="AD636" s="22" t="str">
        <f t="shared" ca="1" si="45"/>
        <v xml:space="preserve">31 Tahun 7 Bulan </v>
      </c>
      <c r="AE636" s="23" t="s">
        <v>2958</v>
      </c>
      <c r="AF636" s="34"/>
      <c r="AG636" s="22" t="s">
        <v>2948</v>
      </c>
      <c r="AH636" s="58"/>
      <c r="AI636" s="58"/>
      <c r="AJ636" s="58"/>
      <c r="AK636" s="33"/>
      <c r="AL636" s="36"/>
    </row>
    <row r="637" spans="1:38" ht="14.45" customHeight="1" x14ac:dyDescent="0.25">
      <c r="A637" s="17">
        <v>2</v>
      </c>
      <c r="B637" s="18"/>
      <c r="C637" s="50" t="s">
        <v>5857</v>
      </c>
      <c r="D637" s="20" t="s">
        <v>2992</v>
      </c>
      <c r="E637" s="21" t="s">
        <v>56</v>
      </c>
      <c r="F637" s="22" t="s">
        <v>192</v>
      </c>
      <c r="G637" s="23" t="s">
        <v>1547</v>
      </c>
      <c r="H637" s="22" t="s">
        <v>1548</v>
      </c>
      <c r="I637" s="22" t="s">
        <v>155</v>
      </c>
      <c r="J637" s="22" t="s">
        <v>2956</v>
      </c>
      <c r="K637" s="24" t="s">
        <v>195</v>
      </c>
      <c r="L637" s="22"/>
      <c r="M637" s="22"/>
      <c r="N637" s="22"/>
      <c r="O637" s="22"/>
      <c r="P637" s="22"/>
      <c r="Q637" s="22"/>
      <c r="R637" s="22"/>
      <c r="S637" s="23" t="s">
        <v>2983</v>
      </c>
      <c r="T637" s="23"/>
      <c r="U637" s="23"/>
      <c r="V637" s="23"/>
      <c r="W637" s="69">
        <v>45809</v>
      </c>
      <c r="X637" s="69">
        <v>45810</v>
      </c>
      <c r="Y637" s="69">
        <v>45810</v>
      </c>
      <c r="Z637" s="31" t="str">
        <f t="shared" ca="1" si="46"/>
        <v>0 Tahun 4 Bulan 29 Hari</v>
      </c>
      <c r="AA637" s="23" t="s">
        <v>733</v>
      </c>
      <c r="AB637" s="32">
        <v>36712</v>
      </c>
      <c r="AC637" s="32" t="s">
        <v>2993</v>
      </c>
      <c r="AD637" s="22" t="str">
        <f t="shared" ca="1" si="45"/>
        <v xml:space="preserve">25 Tahun 3 Bulan </v>
      </c>
      <c r="AE637" s="23" t="s">
        <v>2958</v>
      </c>
      <c r="AF637" s="34"/>
      <c r="AG637" s="22" t="s">
        <v>2948</v>
      </c>
      <c r="AH637" s="58"/>
      <c r="AI637" s="58"/>
      <c r="AJ637" s="58"/>
      <c r="AK637" s="33"/>
      <c r="AL637" s="36"/>
    </row>
    <row r="638" spans="1:38" ht="14.45" customHeight="1" x14ac:dyDescent="0.25">
      <c r="A638" s="17">
        <v>3</v>
      </c>
      <c r="B638" s="18"/>
      <c r="C638" s="50" t="s">
        <v>5858</v>
      </c>
      <c r="D638" s="20" t="s">
        <v>2994</v>
      </c>
      <c r="E638" s="21" t="s">
        <v>56</v>
      </c>
      <c r="F638" s="22" t="s">
        <v>192</v>
      </c>
      <c r="G638" s="23" t="s">
        <v>1547</v>
      </c>
      <c r="H638" s="22" t="s">
        <v>1548</v>
      </c>
      <c r="I638" s="22" t="s">
        <v>155</v>
      </c>
      <c r="J638" s="22" t="s">
        <v>2956</v>
      </c>
      <c r="K638" s="24" t="s">
        <v>195</v>
      </c>
      <c r="L638" s="22"/>
      <c r="M638" s="22"/>
      <c r="N638" s="22"/>
      <c r="O638" s="22"/>
      <c r="P638" s="22"/>
      <c r="Q638" s="22"/>
      <c r="R638" s="22"/>
      <c r="S638" s="23" t="s">
        <v>2983</v>
      </c>
      <c r="T638" s="23"/>
      <c r="U638" s="23"/>
      <c r="V638" s="23"/>
      <c r="W638" s="69">
        <v>45809</v>
      </c>
      <c r="X638" s="69">
        <v>45810</v>
      </c>
      <c r="Y638" s="69">
        <v>45810</v>
      </c>
      <c r="Z638" s="31" t="str">
        <f t="shared" ca="1" si="46"/>
        <v>0 Tahun 4 Bulan 29 Hari</v>
      </c>
      <c r="AA638" s="23" t="s">
        <v>1516</v>
      </c>
      <c r="AB638" s="32">
        <v>37095</v>
      </c>
      <c r="AC638" s="32" t="s">
        <v>2995</v>
      </c>
      <c r="AD638" s="22" t="str">
        <f t="shared" ca="1" si="45"/>
        <v xml:space="preserve">24 Tahun 3 Bulan </v>
      </c>
      <c r="AE638" s="23" t="s">
        <v>2958</v>
      </c>
      <c r="AF638" s="34"/>
      <c r="AG638" s="22" t="s">
        <v>2948</v>
      </c>
      <c r="AH638" s="22"/>
      <c r="AI638" s="22"/>
      <c r="AJ638" s="22"/>
      <c r="AK638" s="33" t="s">
        <v>2963</v>
      </c>
      <c r="AL638" s="36"/>
    </row>
    <row r="639" spans="1:38" ht="14.45" customHeight="1" x14ac:dyDescent="0.25">
      <c r="A639" s="17">
        <v>4</v>
      </c>
      <c r="B639" s="18"/>
      <c r="C639" s="50" t="s">
        <v>2996</v>
      </c>
      <c r="D639" s="20" t="s">
        <v>2997</v>
      </c>
      <c r="E639" s="21" t="s">
        <v>40</v>
      </c>
      <c r="F639" s="22" t="s">
        <v>41</v>
      </c>
      <c r="G639" s="23" t="s">
        <v>42</v>
      </c>
      <c r="H639" s="22" t="s">
        <v>43</v>
      </c>
      <c r="I639" s="6" t="s">
        <v>44</v>
      </c>
      <c r="J639" s="6" t="s">
        <v>148</v>
      </c>
      <c r="K639" s="24">
        <v>45870</v>
      </c>
      <c r="L639" s="25" t="s">
        <v>2998</v>
      </c>
      <c r="M639" s="26">
        <v>43203</v>
      </c>
      <c r="N639" s="26">
        <v>45030</v>
      </c>
      <c r="O639" s="27" t="s">
        <v>84</v>
      </c>
      <c r="P639" s="53" t="s">
        <v>2999</v>
      </c>
      <c r="Q639" s="26">
        <v>43256</v>
      </c>
      <c r="R639" s="29">
        <v>45030</v>
      </c>
      <c r="S639" s="23" t="s">
        <v>267</v>
      </c>
      <c r="T639" s="23">
        <v>2020</v>
      </c>
      <c r="U639" s="23"/>
      <c r="V639" s="23"/>
      <c r="W639" s="30">
        <v>36220</v>
      </c>
      <c r="X639" s="30">
        <v>36220</v>
      </c>
      <c r="Y639" s="30">
        <v>41730</v>
      </c>
      <c r="Z639" s="31" t="str">
        <f t="shared" ref="Z639:Z657" ca="1" si="47">DATEDIF(W639,TODAY(),"y")&amp;" Tahun "&amp;DATEDIF(W639,TODAY(),"ym")&amp;" Bulan "&amp;DATEDIF(W639,TODAY(),"md")&amp;" Hari"</f>
        <v>26 Tahun 7 Bulan 30 Hari</v>
      </c>
      <c r="AA639" s="31" t="s">
        <v>76</v>
      </c>
      <c r="AB639" s="32">
        <v>27864</v>
      </c>
      <c r="AC639" s="31" t="s">
        <v>3000</v>
      </c>
      <c r="AD639" s="22" t="str">
        <f t="shared" ca="1" si="45"/>
        <v xml:space="preserve">49 Tahun 6 Bulan </v>
      </c>
      <c r="AE639" s="33" t="s">
        <v>1151</v>
      </c>
      <c r="AF639" s="34" t="s">
        <v>3001</v>
      </c>
      <c r="AG639" s="22" t="s">
        <v>3002</v>
      </c>
      <c r="AH639" s="22"/>
      <c r="AI639" s="22"/>
      <c r="AJ639" s="22"/>
      <c r="AK639" s="33" t="s">
        <v>2963</v>
      </c>
      <c r="AL639" s="36"/>
    </row>
    <row r="640" spans="1:38" ht="14.45" customHeight="1" x14ac:dyDescent="0.25">
      <c r="A640" s="17">
        <v>5</v>
      </c>
      <c r="B640" s="18"/>
      <c r="C640" s="50" t="s">
        <v>3003</v>
      </c>
      <c r="D640" s="20" t="s">
        <v>3004</v>
      </c>
      <c r="E640" s="21" t="s">
        <v>40</v>
      </c>
      <c r="F640" s="22" t="s">
        <v>41</v>
      </c>
      <c r="G640" s="23" t="s">
        <v>42</v>
      </c>
      <c r="H640" s="22" t="s">
        <v>43</v>
      </c>
      <c r="I640" s="22" t="s">
        <v>44</v>
      </c>
      <c r="J640" s="6" t="s">
        <v>148</v>
      </c>
      <c r="K640" s="24">
        <v>45566</v>
      </c>
      <c r="L640" s="25" t="s">
        <v>3005</v>
      </c>
      <c r="M640" s="26">
        <v>41429</v>
      </c>
      <c r="N640" s="26">
        <v>43392</v>
      </c>
      <c r="O640" s="27" t="s">
        <v>148</v>
      </c>
      <c r="P640" s="28" t="s">
        <v>3006</v>
      </c>
      <c r="Q640" s="29">
        <v>42212</v>
      </c>
      <c r="R640" s="26">
        <v>43392</v>
      </c>
      <c r="S640" s="23" t="s">
        <v>84</v>
      </c>
      <c r="T640" s="23">
        <v>2021</v>
      </c>
      <c r="U640" s="23"/>
      <c r="V640" s="23"/>
      <c r="W640" s="30">
        <v>32174</v>
      </c>
      <c r="X640" s="30">
        <v>32174</v>
      </c>
      <c r="Y640" s="30">
        <v>42856</v>
      </c>
      <c r="Z640" s="31" t="str">
        <f t="shared" ca="1" si="47"/>
        <v>37 Tahun 8 Bulan 30 Hari</v>
      </c>
      <c r="AA640" s="31" t="s">
        <v>76</v>
      </c>
      <c r="AB640" s="32">
        <v>24399</v>
      </c>
      <c r="AC640" s="31" t="s">
        <v>3007</v>
      </c>
      <c r="AD640" s="22" t="str">
        <f t="shared" ca="1" si="45"/>
        <v xml:space="preserve">59 Tahun 0 Bulan </v>
      </c>
      <c r="AE640" s="33" t="s">
        <v>1158</v>
      </c>
      <c r="AF640" s="34"/>
      <c r="AG640" s="22" t="s">
        <v>3002</v>
      </c>
      <c r="AH640" s="22"/>
      <c r="AI640" s="22"/>
      <c r="AJ640" s="22"/>
      <c r="AK640" s="33" t="s">
        <v>314</v>
      </c>
      <c r="AL640" s="36"/>
    </row>
    <row r="641" spans="1:39" ht="14.45" customHeight="1" x14ac:dyDescent="0.25">
      <c r="A641" s="17">
        <v>6</v>
      </c>
      <c r="B641" s="18"/>
      <c r="C641" s="50" t="s">
        <v>3008</v>
      </c>
      <c r="D641" s="20" t="s">
        <v>3009</v>
      </c>
      <c r="E641" s="21" t="s">
        <v>56</v>
      </c>
      <c r="F641" s="22" t="s">
        <v>41</v>
      </c>
      <c r="G641" s="23" t="s">
        <v>137</v>
      </c>
      <c r="H641" s="22" t="s">
        <v>138</v>
      </c>
      <c r="I641" s="22" t="s">
        <v>44</v>
      </c>
      <c r="J641" s="6" t="s">
        <v>3010</v>
      </c>
      <c r="K641" s="24">
        <v>43252</v>
      </c>
      <c r="L641" s="53" t="s">
        <v>3011</v>
      </c>
      <c r="M641" s="26">
        <v>42969</v>
      </c>
      <c r="N641" s="26">
        <v>44604</v>
      </c>
      <c r="O641" s="27" t="s">
        <v>1214</v>
      </c>
      <c r="P641" s="53" t="s">
        <v>3012</v>
      </c>
      <c r="Q641" s="26">
        <v>43136</v>
      </c>
      <c r="R641" s="26">
        <v>44604</v>
      </c>
      <c r="S641" s="23" t="s">
        <v>3013</v>
      </c>
      <c r="T641" s="23"/>
      <c r="U641" s="23"/>
      <c r="V641" s="23"/>
      <c r="W641" s="30">
        <v>34759</v>
      </c>
      <c r="X641" s="30">
        <v>34759</v>
      </c>
      <c r="Y641" s="22"/>
      <c r="Z641" s="31" t="str">
        <f t="shared" ca="1" si="47"/>
        <v>30 Tahun 7 Bulan 30 Hari</v>
      </c>
      <c r="AA641" s="31" t="s">
        <v>76</v>
      </c>
      <c r="AB641" s="32">
        <v>25904</v>
      </c>
      <c r="AC641" s="31" t="s">
        <v>3014</v>
      </c>
      <c r="AD641" s="22" t="str">
        <f t="shared" ca="1" si="45"/>
        <v xml:space="preserve">54 Tahun 10 Bulan </v>
      </c>
      <c r="AE641" s="33" t="s">
        <v>1106</v>
      </c>
      <c r="AF641" s="34"/>
      <c r="AG641" s="22" t="s">
        <v>3002</v>
      </c>
      <c r="AH641" s="22"/>
      <c r="AI641" s="22"/>
      <c r="AJ641" s="22"/>
      <c r="AK641" s="33" t="s">
        <v>573</v>
      </c>
      <c r="AL641" s="36"/>
    </row>
    <row r="642" spans="1:39" ht="14.45" customHeight="1" x14ac:dyDescent="0.25">
      <c r="A642" s="17">
        <v>7</v>
      </c>
      <c r="B642" s="18"/>
      <c r="C642" s="50" t="s">
        <v>3015</v>
      </c>
      <c r="D642" s="20" t="s">
        <v>3016</v>
      </c>
      <c r="E642" s="21" t="s">
        <v>40</v>
      </c>
      <c r="F642" s="22" t="s">
        <v>41</v>
      </c>
      <c r="G642" s="23" t="s">
        <v>137</v>
      </c>
      <c r="H642" s="22" t="s">
        <v>138</v>
      </c>
      <c r="I642" s="6" t="s">
        <v>44</v>
      </c>
      <c r="J642" s="6" t="s">
        <v>1148</v>
      </c>
      <c r="K642" s="24">
        <v>44835</v>
      </c>
      <c r="L642" s="25" t="s">
        <v>3017</v>
      </c>
      <c r="M642" s="26">
        <v>42369</v>
      </c>
      <c r="N642" s="26">
        <v>43998</v>
      </c>
      <c r="O642" s="27" t="s">
        <v>84</v>
      </c>
      <c r="P642" s="53" t="s">
        <v>3018</v>
      </c>
      <c r="Q642" s="26">
        <v>43004</v>
      </c>
      <c r="R642" s="26">
        <v>43998</v>
      </c>
      <c r="S642" s="23" t="s">
        <v>84</v>
      </c>
      <c r="T642" s="23"/>
      <c r="U642" s="23"/>
      <c r="V642" s="23"/>
      <c r="W642" s="30">
        <v>38808</v>
      </c>
      <c r="X642" s="30">
        <v>38808</v>
      </c>
      <c r="Y642" s="30">
        <v>42125</v>
      </c>
      <c r="Z642" s="31" t="str">
        <f t="shared" ca="1" si="47"/>
        <v>19 Tahun 6 Bulan 30 Hari</v>
      </c>
      <c r="AA642" s="31" t="s">
        <v>76</v>
      </c>
      <c r="AB642" s="32">
        <v>26466</v>
      </c>
      <c r="AC642" s="31" t="s">
        <v>3019</v>
      </c>
      <c r="AD642" s="22" t="str">
        <f t="shared" ca="1" si="45"/>
        <v xml:space="preserve">53 Tahun 4 Bulan </v>
      </c>
      <c r="AE642" s="33" t="s">
        <v>1106</v>
      </c>
      <c r="AF642" s="34"/>
      <c r="AG642" s="22" t="s">
        <v>3002</v>
      </c>
      <c r="AH642" s="22"/>
      <c r="AI642" s="22"/>
      <c r="AJ642" s="22"/>
      <c r="AK642" s="33" t="s">
        <v>485</v>
      </c>
      <c r="AL642" s="36"/>
    </row>
    <row r="643" spans="1:39" ht="14.45" customHeight="1" x14ac:dyDescent="0.25">
      <c r="A643" s="17">
        <v>8</v>
      </c>
      <c r="B643" s="142"/>
      <c r="C643" s="143" t="s">
        <v>3020</v>
      </c>
      <c r="D643" s="45" t="s">
        <v>3021</v>
      </c>
      <c r="E643" s="46" t="s">
        <v>40</v>
      </c>
      <c r="F643" s="6" t="s">
        <v>41</v>
      </c>
      <c r="G643" s="8" t="s">
        <v>193</v>
      </c>
      <c r="H643" s="6" t="s">
        <v>194</v>
      </c>
      <c r="I643" s="6" t="s">
        <v>155</v>
      </c>
      <c r="J643" s="6" t="s">
        <v>3022</v>
      </c>
      <c r="K643" s="24">
        <v>45017</v>
      </c>
      <c r="L643" s="149"/>
      <c r="M643" s="145"/>
      <c r="N643" s="145"/>
      <c r="O643" s="146"/>
      <c r="P643" s="150"/>
      <c r="Q643" s="147"/>
      <c r="R643" s="145"/>
      <c r="S643" s="15" t="s">
        <v>3023</v>
      </c>
      <c r="T643" s="15"/>
      <c r="U643" s="15"/>
      <c r="V643" s="15"/>
      <c r="W643" s="10">
        <v>39083</v>
      </c>
      <c r="X643" s="10">
        <v>35217</v>
      </c>
      <c r="Z643" s="11" t="str">
        <f t="shared" ca="1" si="47"/>
        <v>18 Tahun 9 Bulan 30 Hari</v>
      </c>
      <c r="AA643" s="11" t="s">
        <v>76</v>
      </c>
      <c r="AB643" s="48">
        <v>27395</v>
      </c>
      <c r="AC643" s="11" t="s">
        <v>3024</v>
      </c>
      <c r="AD643" s="6" t="str">
        <f t="shared" ca="1" si="45"/>
        <v xml:space="preserve">50 Tahun 9 Bulan </v>
      </c>
      <c r="AE643" s="8" t="s">
        <v>3025</v>
      </c>
      <c r="AG643" s="22" t="s">
        <v>3002</v>
      </c>
      <c r="AH643" s="22"/>
      <c r="AI643" s="22"/>
      <c r="AJ643" s="22"/>
      <c r="AK643" s="33" t="s">
        <v>485</v>
      </c>
      <c r="AL643" s="36"/>
    </row>
    <row r="644" spans="1:39" ht="14.45" customHeight="1" x14ac:dyDescent="0.25">
      <c r="A644" s="17">
        <v>9</v>
      </c>
      <c r="B644" s="72"/>
      <c r="C644" s="143" t="s">
        <v>3026</v>
      </c>
      <c r="D644" s="45" t="s">
        <v>3027</v>
      </c>
      <c r="E644" s="46" t="s">
        <v>40</v>
      </c>
      <c r="F644" s="6" t="s">
        <v>41</v>
      </c>
      <c r="G644" s="15" t="s">
        <v>42</v>
      </c>
      <c r="H644" s="22" t="s">
        <v>43</v>
      </c>
      <c r="I644" s="22" t="s">
        <v>44</v>
      </c>
      <c r="J644" s="6" t="s">
        <v>148</v>
      </c>
      <c r="K644" s="24">
        <v>45505</v>
      </c>
      <c r="L644" s="149" t="s">
        <v>3028</v>
      </c>
      <c r="M644" s="145">
        <v>43202</v>
      </c>
      <c r="N644" s="145">
        <v>44934</v>
      </c>
      <c r="O644" s="146" t="s">
        <v>1155</v>
      </c>
      <c r="P644" s="144" t="s">
        <v>3029</v>
      </c>
      <c r="Q644" s="145">
        <v>43367</v>
      </c>
      <c r="R644" s="145">
        <v>44934</v>
      </c>
      <c r="S644" s="15" t="s">
        <v>84</v>
      </c>
      <c r="T644" s="15">
        <v>2021</v>
      </c>
      <c r="U644" s="15"/>
      <c r="V644" s="15"/>
      <c r="W644" s="10">
        <v>35125</v>
      </c>
      <c r="X644" s="10">
        <v>35125</v>
      </c>
      <c r="Z644" s="11" t="str">
        <f t="shared" ca="1" si="47"/>
        <v>29 Tahun 7 Bulan 30 Hari</v>
      </c>
      <c r="AA644" s="11" t="s">
        <v>164</v>
      </c>
      <c r="AB644" s="48">
        <v>27402</v>
      </c>
      <c r="AC644" s="48" t="s">
        <v>3030</v>
      </c>
      <c r="AD644" s="6" t="str">
        <f t="shared" ca="1" si="45"/>
        <v xml:space="preserve">50 Tahun 9 Bulan </v>
      </c>
      <c r="AE644" s="8" t="s">
        <v>1106</v>
      </c>
      <c r="AG644" s="22" t="s">
        <v>3002</v>
      </c>
      <c r="AH644" s="22"/>
      <c r="AI644" s="22"/>
      <c r="AJ644" s="22"/>
      <c r="AK644" s="33" t="s">
        <v>200</v>
      </c>
      <c r="AL644" s="36"/>
    </row>
    <row r="645" spans="1:39" ht="14.45" customHeight="1" x14ac:dyDescent="0.25">
      <c r="A645" s="17">
        <v>10</v>
      </c>
      <c r="B645" s="18"/>
      <c r="C645" s="50" t="s">
        <v>3031</v>
      </c>
      <c r="D645" s="20" t="s">
        <v>3032</v>
      </c>
      <c r="E645" s="21" t="s">
        <v>56</v>
      </c>
      <c r="F645" s="22" t="s">
        <v>41</v>
      </c>
      <c r="G645" s="23" t="s">
        <v>42</v>
      </c>
      <c r="H645" s="22" t="s">
        <v>43</v>
      </c>
      <c r="I645" s="22" t="s">
        <v>44</v>
      </c>
      <c r="J645" s="22" t="s">
        <v>148</v>
      </c>
      <c r="K645" s="24">
        <v>45505</v>
      </c>
      <c r="L645" s="53" t="s">
        <v>3033</v>
      </c>
      <c r="M645" s="26">
        <v>43117</v>
      </c>
      <c r="N645" s="26">
        <v>45121</v>
      </c>
      <c r="O645" s="27" t="s">
        <v>148</v>
      </c>
      <c r="P645" s="53" t="s">
        <v>3034</v>
      </c>
      <c r="Q645" s="26">
        <v>43367</v>
      </c>
      <c r="R645" s="26">
        <v>45121</v>
      </c>
      <c r="S645" s="23" t="s">
        <v>84</v>
      </c>
      <c r="T645" s="23">
        <v>2021</v>
      </c>
      <c r="U645" s="23"/>
      <c r="V645" s="23"/>
      <c r="W645" s="30">
        <v>35855</v>
      </c>
      <c r="X645" s="30">
        <v>35855</v>
      </c>
      <c r="Y645" s="30">
        <v>41122</v>
      </c>
      <c r="Z645" s="31" t="str">
        <f t="shared" ca="1" si="47"/>
        <v>27 Tahun 7 Bulan 30 Hari</v>
      </c>
      <c r="AA645" s="31" t="s">
        <v>128</v>
      </c>
      <c r="AB645" s="32">
        <v>27589</v>
      </c>
      <c r="AC645" s="31" t="s">
        <v>3035</v>
      </c>
      <c r="AD645" s="22" t="str">
        <f t="shared" ca="1" si="45"/>
        <v xml:space="preserve">50 Tahun 3 Bulan </v>
      </c>
      <c r="AE645" s="33" t="s">
        <v>1106</v>
      </c>
      <c r="AF645" s="34"/>
      <c r="AG645" s="22" t="s">
        <v>3002</v>
      </c>
      <c r="AH645" s="22"/>
      <c r="AI645" s="22"/>
      <c r="AJ645" s="22"/>
      <c r="AK645" s="33" t="s">
        <v>200</v>
      </c>
      <c r="AL645" s="36"/>
    </row>
    <row r="646" spans="1:39" ht="14.45" customHeight="1" x14ac:dyDescent="0.25">
      <c r="A646" s="17">
        <v>11</v>
      </c>
      <c r="B646" s="18"/>
      <c r="C646" s="50" t="s">
        <v>3036</v>
      </c>
      <c r="D646" s="20" t="s">
        <v>3037</v>
      </c>
      <c r="E646" s="21" t="s">
        <v>56</v>
      </c>
      <c r="F646" s="22" t="s">
        <v>41</v>
      </c>
      <c r="G646" s="23" t="s">
        <v>137</v>
      </c>
      <c r="H646" s="22" t="s">
        <v>138</v>
      </c>
      <c r="I646" s="22" t="s">
        <v>44</v>
      </c>
      <c r="J646" s="22" t="s">
        <v>3010</v>
      </c>
      <c r="K646" s="24">
        <v>44470</v>
      </c>
      <c r="L646" s="53" t="s">
        <v>3038</v>
      </c>
      <c r="M646" s="26">
        <v>42969</v>
      </c>
      <c r="N646" s="26">
        <v>44584</v>
      </c>
      <c r="O646" s="27" t="s">
        <v>1214</v>
      </c>
      <c r="P646" s="53" t="s">
        <v>3039</v>
      </c>
      <c r="Q646" s="26">
        <v>43129</v>
      </c>
      <c r="R646" s="26">
        <v>44584</v>
      </c>
      <c r="S646" s="23" t="s">
        <v>3013</v>
      </c>
      <c r="T646" s="23"/>
      <c r="U646" s="23"/>
      <c r="V646" s="23"/>
      <c r="W646" s="30">
        <v>36220</v>
      </c>
      <c r="X646" s="30">
        <v>36220</v>
      </c>
      <c r="Y646" s="22"/>
      <c r="Z646" s="31" t="str">
        <f t="shared" ca="1" si="47"/>
        <v>26 Tahun 7 Bulan 30 Hari</v>
      </c>
      <c r="AA646" s="31" t="s">
        <v>76</v>
      </c>
      <c r="AB646" s="32">
        <v>27782</v>
      </c>
      <c r="AC646" s="31" t="s">
        <v>3040</v>
      </c>
      <c r="AD646" s="22" t="str">
        <f t="shared" ca="1" si="45"/>
        <v xml:space="preserve">49 Tahun 9 Bulan </v>
      </c>
      <c r="AE646" s="33" t="s">
        <v>1106</v>
      </c>
      <c r="AF646" s="34"/>
      <c r="AG646" s="22" t="s">
        <v>3002</v>
      </c>
      <c r="AH646" s="22"/>
      <c r="AI646" s="22"/>
      <c r="AJ646" s="22"/>
      <c r="AK646" s="33" t="s">
        <v>200</v>
      </c>
      <c r="AL646" s="36"/>
    </row>
    <row r="647" spans="1:39" ht="14.45" customHeight="1" x14ac:dyDescent="0.25">
      <c r="A647" s="17">
        <v>1</v>
      </c>
      <c r="B647" s="142"/>
      <c r="C647" s="143" t="s">
        <v>3041</v>
      </c>
      <c r="D647" s="45" t="s">
        <v>3042</v>
      </c>
      <c r="E647" s="46" t="s">
        <v>56</v>
      </c>
      <c r="F647" s="6" t="s">
        <v>41</v>
      </c>
      <c r="G647" s="15" t="s">
        <v>193</v>
      </c>
      <c r="H647" s="22" t="s">
        <v>194</v>
      </c>
      <c r="I647" s="22" t="s">
        <v>155</v>
      </c>
      <c r="J647" s="22" t="s">
        <v>1338</v>
      </c>
      <c r="K647" s="24">
        <v>44835</v>
      </c>
      <c r="L647" s="149"/>
      <c r="M647" s="145"/>
      <c r="N647" s="145"/>
      <c r="O647" s="146"/>
      <c r="P647" s="150"/>
      <c r="Q647" s="147"/>
      <c r="R647" s="145"/>
      <c r="S647" s="15" t="s">
        <v>202</v>
      </c>
      <c r="T647" s="15"/>
      <c r="U647" s="188"/>
      <c r="V647" s="188"/>
      <c r="W647" s="10">
        <v>39356</v>
      </c>
      <c r="X647" s="10">
        <v>35765</v>
      </c>
      <c r="Y647" s="10">
        <v>44038</v>
      </c>
      <c r="Z647" s="11" t="str">
        <f t="shared" ca="1" si="47"/>
        <v>18 Tahun 0 Bulan 30 Hari</v>
      </c>
      <c r="AA647" s="11" t="s">
        <v>76</v>
      </c>
      <c r="AB647" s="48">
        <v>28192</v>
      </c>
      <c r="AC647" s="11" t="s">
        <v>3043</v>
      </c>
      <c r="AD647" s="6" t="str">
        <f t="shared" ca="1" si="45"/>
        <v xml:space="preserve">48 Tahun 7 Bulan </v>
      </c>
      <c r="AE647" s="8" t="s">
        <v>1341</v>
      </c>
      <c r="AG647" s="22" t="s">
        <v>3002</v>
      </c>
      <c r="AH647" s="22"/>
      <c r="AI647" s="22"/>
      <c r="AJ647" s="22"/>
      <c r="AK647" s="33"/>
      <c r="AL647" s="36"/>
      <c r="AM647" s="14"/>
    </row>
    <row r="648" spans="1:39" ht="14.45" customHeight="1" x14ac:dyDescent="0.25">
      <c r="A648" s="17">
        <v>2</v>
      </c>
      <c r="B648" s="18"/>
      <c r="C648" s="50" t="s">
        <v>3044</v>
      </c>
      <c r="D648" s="20" t="s">
        <v>3045</v>
      </c>
      <c r="E648" s="21" t="s">
        <v>40</v>
      </c>
      <c r="F648" s="22" t="s">
        <v>41</v>
      </c>
      <c r="G648" s="23" t="s">
        <v>137</v>
      </c>
      <c r="H648" s="22" t="s">
        <v>138</v>
      </c>
      <c r="I648" s="22" t="s">
        <v>44</v>
      </c>
      <c r="J648" s="22" t="s">
        <v>1148</v>
      </c>
      <c r="K648" s="24">
        <v>45200</v>
      </c>
      <c r="L648" s="25" t="s">
        <v>3046</v>
      </c>
      <c r="M648" s="26">
        <v>43202</v>
      </c>
      <c r="N648" s="26">
        <v>44951</v>
      </c>
      <c r="O648" s="27" t="s">
        <v>1155</v>
      </c>
      <c r="P648" s="53" t="s">
        <v>3047</v>
      </c>
      <c r="Q648" s="26">
        <v>43132</v>
      </c>
      <c r="R648" s="26">
        <v>43314</v>
      </c>
      <c r="S648" s="23" t="s">
        <v>84</v>
      </c>
      <c r="T648" s="23"/>
      <c r="U648" s="23"/>
      <c r="V648" s="23"/>
      <c r="W648" s="30">
        <v>39448</v>
      </c>
      <c r="X648" s="30">
        <v>39448</v>
      </c>
      <c r="Y648" s="30">
        <v>39753</v>
      </c>
      <c r="Z648" s="31" t="str">
        <f t="shared" ca="1" si="47"/>
        <v>17 Tahun 9 Bulan 30 Hari</v>
      </c>
      <c r="AA648" s="31" t="s">
        <v>260</v>
      </c>
      <c r="AB648" s="32">
        <v>28880</v>
      </c>
      <c r="AC648" s="31" t="s">
        <v>3048</v>
      </c>
      <c r="AD648" s="22" t="str">
        <f t="shared" ca="1" si="45"/>
        <v xml:space="preserve">46 Tahun 9 Bulan </v>
      </c>
      <c r="AE648" s="33" t="s">
        <v>1106</v>
      </c>
      <c r="AF648" s="34"/>
      <c r="AG648" s="22" t="s">
        <v>3002</v>
      </c>
      <c r="AH648" s="22"/>
      <c r="AI648" s="22"/>
      <c r="AJ648" s="22"/>
      <c r="AK648" s="33"/>
      <c r="AL648" s="36"/>
      <c r="AM648" s="14"/>
    </row>
    <row r="649" spans="1:39" ht="14.45" customHeight="1" x14ac:dyDescent="0.25">
      <c r="A649" s="17">
        <v>3</v>
      </c>
      <c r="B649" s="18"/>
      <c r="C649" s="50" t="s">
        <v>3049</v>
      </c>
      <c r="D649" s="20" t="s">
        <v>3050</v>
      </c>
      <c r="E649" s="21" t="s">
        <v>56</v>
      </c>
      <c r="F649" s="22" t="s">
        <v>41</v>
      </c>
      <c r="G649" s="23" t="s">
        <v>42</v>
      </c>
      <c r="H649" s="22" t="s">
        <v>43</v>
      </c>
      <c r="I649" s="22" t="s">
        <v>44</v>
      </c>
      <c r="J649" s="22" t="s">
        <v>148</v>
      </c>
      <c r="K649" s="24">
        <v>45566</v>
      </c>
      <c r="L649" s="53" t="s">
        <v>3051</v>
      </c>
      <c r="M649" s="26">
        <v>43145</v>
      </c>
      <c r="N649" s="26">
        <v>45048</v>
      </c>
      <c r="O649" s="27" t="s">
        <v>148</v>
      </c>
      <c r="P649" s="53" t="s">
        <v>3052</v>
      </c>
      <c r="Q649" s="26">
        <v>43367</v>
      </c>
      <c r="R649" s="26">
        <v>45048</v>
      </c>
      <c r="S649" s="23" t="s">
        <v>84</v>
      </c>
      <c r="T649" s="23"/>
      <c r="U649" s="23"/>
      <c r="V649" s="23"/>
      <c r="W649" s="30">
        <v>37956</v>
      </c>
      <c r="X649" s="30">
        <v>37956</v>
      </c>
      <c r="Y649" s="30">
        <v>42339</v>
      </c>
      <c r="Z649" s="31" t="str">
        <f t="shared" ca="1" si="47"/>
        <v>21 Tahun 10 Bulan 30 Hari</v>
      </c>
      <c r="AA649" s="31" t="s">
        <v>1540</v>
      </c>
      <c r="AB649" s="32">
        <v>28977</v>
      </c>
      <c r="AC649" s="31" t="s">
        <v>3053</v>
      </c>
      <c r="AD649" s="22" t="str">
        <f t="shared" ca="1" si="45"/>
        <v xml:space="preserve">46 Tahun 5 Bulan </v>
      </c>
      <c r="AE649" s="33" t="s">
        <v>1158</v>
      </c>
      <c r="AF649" s="34"/>
      <c r="AG649" s="22" t="s">
        <v>3002</v>
      </c>
      <c r="AH649" s="22"/>
      <c r="AI649" s="22"/>
      <c r="AJ649" s="22"/>
      <c r="AK649" s="33"/>
      <c r="AM649" s="14"/>
    </row>
    <row r="650" spans="1:39" ht="14.45" customHeight="1" x14ac:dyDescent="0.25">
      <c r="A650" s="17">
        <v>4</v>
      </c>
      <c r="B650" s="18"/>
      <c r="C650" s="50" t="s">
        <v>3054</v>
      </c>
      <c r="D650" s="20" t="s">
        <v>3055</v>
      </c>
      <c r="E650" s="21" t="s">
        <v>56</v>
      </c>
      <c r="F650" s="22" t="s">
        <v>41</v>
      </c>
      <c r="G650" s="23" t="s">
        <v>137</v>
      </c>
      <c r="H650" s="22" t="s">
        <v>138</v>
      </c>
      <c r="I650" s="22" t="s">
        <v>44</v>
      </c>
      <c r="J650" s="22" t="s">
        <v>3056</v>
      </c>
      <c r="K650" s="24">
        <v>45505</v>
      </c>
      <c r="L650" s="53" t="s">
        <v>3057</v>
      </c>
      <c r="M650" s="26">
        <v>42969</v>
      </c>
      <c r="N650" s="26">
        <v>44589</v>
      </c>
      <c r="O650" s="27" t="s">
        <v>1214</v>
      </c>
      <c r="P650" s="53" t="s">
        <v>3058</v>
      </c>
      <c r="Q650" s="26">
        <v>43213</v>
      </c>
      <c r="R650" s="29">
        <v>44589</v>
      </c>
      <c r="S650" s="23" t="s">
        <v>3013</v>
      </c>
      <c r="T650" s="23"/>
      <c r="U650" s="23"/>
      <c r="V650" s="23"/>
      <c r="W650" s="30">
        <v>39783</v>
      </c>
      <c r="X650" s="30">
        <v>39845</v>
      </c>
      <c r="Y650" s="30">
        <v>41674</v>
      </c>
      <c r="Z650" s="31" t="str">
        <f t="shared" ca="1" si="47"/>
        <v>16 Tahun 10 Bulan 30 Hari</v>
      </c>
      <c r="AA650" s="31" t="s">
        <v>1540</v>
      </c>
      <c r="AB650" s="32">
        <v>29248</v>
      </c>
      <c r="AC650" s="32" t="s">
        <v>3059</v>
      </c>
      <c r="AD650" s="22" t="str">
        <f t="shared" ca="1" si="45"/>
        <v xml:space="preserve">45 Tahun 9 Bulan </v>
      </c>
      <c r="AE650" s="33" t="s">
        <v>1106</v>
      </c>
      <c r="AG650" s="22" t="s">
        <v>3002</v>
      </c>
      <c r="AH650" s="22"/>
      <c r="AI650" s="22"/>
      <c r="AJ650" s="22"/>
      <c r="AK650" s="33"/>
      <c r="AL650" s="36"/>
      <c r="AM650" s="14"/>
    </row>
    <row r="651" spans="1:39" ht="14.45" customHeight="1" x14ac:dyDescent="0.25">
      <c r="A651" s="17">
        <v>5</v>
      </c>
      <c r="B651" s="78"/>
      <c r="C651" s="50" t="s">
        <v>3060</v>
      </c>
      <c r="D651" s="20" t="s">
        <v>3061</v>
      </c>
      <c r="E651" s="21" t="s">
        <v>56</v>
      </c>
      <c r="F651" s="22" t="s">
        <v>41</v>
      </c>
      <c r="G651" s="23" t="s">
        <v>137</v>
      </c>
      <c r="H651" s="22" t="s">
        <v>138</v>
      </c>
      <c r="I651" s="22" t="s">
        <v>44</v>
      </c>
      <c r="J651" s="22" t="s">
        <v>3062</v>
      </c>
      <c r="K651" s="24">
        <v>44835</v>
      </c>
      <c r="L651" s="53" t="s">
        <v>3063</v>
      </c>
      <c r="M651" s="26">
        <v>42969</v>
      </c>
      <c r="N651" s="26">
        <v>44824</v>
      </c>
      <c r="O651" s="27" t="s">
        <v>1214</v>
      </c>
      <c r="P651" s="28" t="s">
        <v>3064</v>
      </c>
      <c r="Q651" s="29">
        <v>42015</v>
      </c>
      <c r="R651" s="26">
        <v>42998</v>
      </c>
      <c r="S651" s="23" t="s">
        <v>3065</v>
      </c>
      <c r="T651" s="23"/>
      <c r="U651" s="23"/>
      <c r="V651" s="23"/>
      <c r="W651" s="30">
        <v>38353</v>
      </c>
      <c r="X651" s="30">
        <v>38353</v>
      </c>
      <c r="Y651" s="30">
        <v>43887</v>
      </c>
      <c r="Z651" s="31" t="str">
        <f t="shared" ca="1" si="47"/>
        <v>20 Tahun 9 Bulan 30 Hari</v>
      </c>
      <c r="AA651" s="31" t="s">
        <v>50</v>
      </c>
      <c r="AB651" s="32">
        <v>29849</v>
      </c>
      <c r="AC651" s="31" t="s">
        <v>3066</v>
      </c>
      <c r="AD651" s="22" t="str">
        <f t="shared" ca="1" si="45"/>
        <v xml:space="preserve">44 Tahun 1 Bulan </v>
      </c>
      <c r="AE651" s="33" t="s">
        <v>1158</v>
      </c>
      <c r="AF651" s="34"/>
      <c r="AG651" s="22" t="s">
        <v>3002</v>
      </c>
    </row>
    <row r="652" spans="1:39" ht="14.45" customHeight="1" x14ac:dyDescent="0.25">
      <c r="A652" s="17">
        <v>6</v>
      </c>
      <c r="B652" s="18"/>
      <c r="C652" s="50" t="s">
        <v>3067</v>
      </c>
      <c r="D652" s="20" t="s">
        <v>3068</v>
      </c>
      <c r="E652" s="21" t="s">
        <v>40</v>
      </c>
      <c r="F652" s="22" t="s">
        <v>41</v>
      </c>
      <c r="G652" s="23" t="s">
        <v>137</v>
      </c>
      <c r="H652" s="22" t="s">
        <v>138</v>
      </c>
      <c r="I652" s="22" t="s">
        <v>44</v>
      </c>
      <c r="J652" s="22" t="s">
        <v>1166</v>
      </c>
      <c r="K652" s="24">
        <v>45200</v>
      </c>
      <c r="L652" s="53" t="s">
        <v>3069</v>
      </c>
      <c r="M652" s="26">
        <v>43117</v>
      </c>
      <c r="N652" s="26">
        <v>45234</v>
      </c>
      <c r="O652" s="27" t="s">
        <v>148</v>
      </c>
      <c r="P652" s="28" t="s">
        <v>3070</v>
      </c>
      <c r="Q652" s="29">
        <v>43192</v>
      </c>
      <c r="R652" s="26">
        <v>45234</v>
      </c>
      <c r="S652" s="23" t="s">
        <v>1167</v>
      </c>
      <c r="T652" s="23"/>
      <c r="U652" s="23"/>
      <c r="V652" s="23"/>
      <c r="W652" s="30">
        <v>39448</v>
      </c>
      <c r="X652" s="30">
        <v>39448</v>
      </c>
      <c r="Y652" s="22"/>
      <c r="Z652" s="55" t="str">
        <f t="shared" ca="1" si="47"/>
        <v>17 Tahun 9 Bulan 30 Hari</v>
      </c>
      <c r="AA652" s="31" t="s">
        <v>3071</v>
      </c>
      <c r="AB652" s="32">
        <v>30624</v>
      </c>
      <c r="AC652" s="32" t="s">
        <v>3072</v>
      </c>
      <c r="AD652" s="57" t="str">
        <f t="shared" ca="1" si="45"/>
        <v xml:space="preserve">41 Tahun 11 Bulan </v>
      </c>
      <c r="AE652" s="33" t="s">
        <v>1106</v>
      </c>
      <c r="AF652" s="34"/>
      <c r="AG652" s="22" t="s">
        <v>3002</v>
      </c>
      <c r="AM652" s="14"/>
    </row>
    <row r="653" spans="1:39" ht="14.45" customHeight="1" x14ac:dyDescent="0.25">
      <c r="A653" s="17">
        <v>7</v>
      </c>
      <c r="B653" s="18"/>
      <c r="C653" s="50" t="s">
        <v>3073</v>
      </c>
      <c r="D653" s="20" t="s">
        <v>3074</v>
      </c>
      <c r="E653" s="21" t="s">
        <v>40</v>
      </c>
      <c r="F653" s="22" t="s">
        <v>41</v>
      </c>
      <c r="G653" s="23" t="s">
        <v>137</v>
      </c>
      <c r="H653" s="22" t="s">
        <v>138</v>
      </c>
      <c r="I653" s="22" t="s">
        <v>44</v>
      </c>
      <c r="J653" s="22" t="s">
        <v>1166</v>
      </c>
      <c r="K653" s="24">
        <v>45200</v>
      </c>
      <c r="L653" s="53" t="s">
        <v>3075</v>
      </c>
      <c r="M653" s="26">
        <v>43117</v>
      </c>
      <c r="N653" s="26">
        <v>45111</v>
      </c>
      <c r="O653" s="27" t="s">
        <v>148</v>
      </c>
      <c r="P653" s="53" t="s">
        <v>3076</v>
      </c>
      <c r="Q653" s="26">
        <v>43132</v>
      </c>
      <c r="R653" s="26">
        <v>43314</v>
      </c>
      <c r="S653" s="23" t="s">
        <v>1172</v>
      </c>
      <c r="T653" s="23"/>
      <c r="U653" s="23"/>
      <c r="V653" s="23"/>
      <c r="W653" s="30">
        <v>39783</v>
      </c>
      <c r="X653" s="30">
        <v>39845</v>
      </c>
      <c r="Y653" s="30">
        <v>39904</v>
      </c>
      <c r="Z653" s="31" t="str">
        <f t="shared" ca="1" si="47"/>
        <v>16 Tahun 10 Bulan 30 Hari</v>
      </c>
      <c r="AA653" s="31" t="s">
        <v>1527</v>
      </c>
      <c r="AB653" s="32">
        <v>31232</v>
      </c>
      <c r="AC653" s="32" t="s">
        <v>3077</v>
      </c>
      <c r="AD653" s="22" t="str">
        <f t="shared" ca="1" si="45"/>
        <v xml:space="preserve">40 Tahun 3 Bulan </v>
      </c>
      <c r="AE653" s="33" t="s">
        <v>1106</v>
      </c>
      <c r="AF653" s="34"/>
      <c r="AG653" s="22" t="s">
        <v>3002</v>
      </c>
      <c r="AH653" s="22"/>
      <c r="AI653" s="22"/>
      <c r="AJ653" s="22"/>
      <c r="AK653" s="33"/>
      <c r="AL653" s="36"/>
      <c r="AM653" s="14"/>
    </row>
    <row r="654" spans="1:39" ht="14.45" customHeight="1" x14ac:dyDescent="0.25">
      <c r="A654" s="17">
        <v>8</v>
      </c>
      <c r="B654" s="18"/>
      <c r="C654" s="50" t="s">
        <v>3078</v>
      </c>
      <c r="D654" s="20" t="s">
        <v>3079</v>
      </c>
      <c r="E654" s="21" t="s">
        <v>56</v>
      </c>
      <c r="F654" s="22" t="s">
        <v>41</v>
      </c>
      <c r="G654" s="23" t="s">
        <v>137</v>
      </c>
      <c r="H654" s="22" t="s">
        <v>138</v>
      </c>
      <c r="I654" s="22" t="s">
        <v>44</v>
      </c>
      <c r="J654" s="22" t="s">
        <v>1166</v>
      </c>
      <c r="K654" s="24">
        <v>45017</v>
      </c>
      <c r="L654" s="53" t="s">
        <v>3080</v>
      </c>
      <c r="M654" s="26">
        <v>43117</v>
      </c>
      <c r="N654" s="26">
        <v>45219</v>
      </c>
      <c r="O654" s="27" t="s">
        <v>148</v>
      </c>
      <c r="P654" s="53" t="s">
        <v>3081</v>
      </c>
      <c r="Q654" s="26">
        <v>43367</v>
      </c>
      <c r="R654" s="26">
        <v>45219</v>
      </c>
      <c r="S654" s="23" t="s">
        <v>84</v>
      </c>
      <c r="T654" s="23"/>
      <c r="U654" s="23"/>
      <c r="V654" s="23"/>
      <c r="W654" s="30">
        <v>39448</v>
      </c>
      <c r="X654" s="30">
        <v>39448</v>
      </c>
      <c r="Y654" s="22"/>
      <c r="Z654" s="31" t="str">
        <f t="shared" ca="1" si="47"/>
        <v>17 Tahun 9 Bulan 30 Hari</v>
      </c>
      <c r="AA654" s="31" t="s">
        <v>76</v>
      </c>
      <c r="AB654" s="32">
        <v>31340</v>
      </c>
      <c r="AC654" s="32" t="s">
        <v>3082</v>
      </c>
      <c r="AD654" s="22" t="str">
        <f t="shared" ca="1" si="45"/>
        <v xml:space="preserve">40 Tahun 0 Bulan </v>
      </c>
      <c r="AE654" s="33" t="s">
        <v>1106</v>
      </c>
      <c r="AF654" s="34"/>
      <c r="AG654" s="22" t="s">
        <v>3002</v>
      </c>
      <c r="AH654" s="22"/>
      <c r="AI654" s="22"/>
      <c r="AJ654" s="22"/>
      <c r="AK654" s="33"/>
      <c r="AL654" s="36"/>
      <c r="AM654" s="14"/>
    </row>
    <row r="655" spans="1:39" ht="14.45" customHeight="1" x14ac:dyDescent="0.25">
      <c r="A655" s="17">
        <v>9</v>
      </c>
      <c r="B655" s="18"/>
      <c r="C655" s="50" t="s">
        <v>3083</v>
      </c>
      <c r="D655" s="20" t="s">
        <v>3084</v>
      </c>
      <c r="E655" s="21" t="s">
        <v>40</v>
      </c>
      <c r="F655" s="22" t="s">
        <v>41</v>
      </c>
      <c r="G655" s="23" t="s">
        <v>137</v>
      </c>
      <c r="H655" s="22" t="s">
        <v>138</v>
      </c>
      <c r="I655" s="22" t="s">
        <v>44</v>
      </c>
      <c r="J655" s="22" t="s">
        <v>1148</v>
      </c>
      <c r="K655" s="24">
        <v>45200</v>
      </c>
      <c r="L655" s="53" t="s">
        <v>3085</v>
      </c>
      <c r="M655" s="26">
        <v>43117</v>
      </c>
      <c r="N655" s="26">
        <v>45222</v>
      </c>
      <c r="O655" s="27" t="s">
        <v>148</v>
      </c>
      <c r="P655" s="53" t="s">
        <v>3086</v>
      </c>
      <c r="Q655" s="26">
        <v>43367</v>
      </c>
      <c r="R655" s="26">
        <v>45222</v>
      </c>
      <c r="S655" s="33" t="s">
        <v>84</v>
      </c>
      <c r="T655" s="33">
        <v>2021</v>
      </c>
      <c r="U655" s="33"/>
      <c r="V655" s="33"/>
      <c r="W655" s="30">
        <v>39783</v>
      </c>
      <c r="X655" s="30">
        <v>39845</v>
      </c>
      <c r="Y655" s="22"/>
      <c r="Z655" s="31" t="str">
        <f t="shared" ca="1" si="47"/>
        <v>16 Tahun 10 Bulan 30 Hari</v>
      </c>
      <c r="AA655" s="31" t="s">
        <v>50</v>
      </c>
      <c r="AB655" s="32">
        <v>31343</v>
      </c>
      <c r="AC655" s="31" t="s">
        <v>3087</v>
      </c>
      <c r="AD655" s="22" t="str">
        <f t="shared" ca="1" si="45"/>
        <v xml:space="preserve">40 Tahun 0 Bulan </v>
      </c>
      <c r="AE655" s="33" t="s">
        <v>1106</v>
      </c>
      <c r="AF655" s="34"/>
      <c r="AG655" s="22" t="s">
        <v>3002</v>
      </c>
    </row>
    <row r="656" spans="1:39" s="47" customFormat="1" ht="14.25" customHeight="1" x14ac:dyDescent="0.25">
      <c r="A656" s="17">
        <v>10</v>
      </c>
      <c r="B656" s="18"/>
      <c r="C656" s="50" t="s">
        <v>3088</v>
      </c>
      <c r="D656" s="20" t="s">
        <v>3089</v>
      </c>
      <c r="E656" s="21" t="s">
        <v>56</v>
      </c>
      <c r="F656" s="22" t="s">
        <v>41</v>
      </c>
      <c r="G656" s="23" t="s">
        <v>137</v>
      </c>
      <c r="H656" s="22" t="s">
        <v>138</v>
      </c>
      <c r="I656" s="22" t="s">
        <v>44</v>
      </c>
      <c r="J656" s="22" t="s">
        <v>3056</v>
      </c>
      <c r="K656" s="24">
        <v>45200</v>
      </c>
      <c r="L656" s="25" t="s">
        <v>3090</v>
      </c>
      <c r="M656" s="26">
        <v>41990</v>
      </c>
      <c r="N656" s="26">
        <v>43829</v>
      </c>
      <c r="O656" s="27" t="s">
        <v>1324</v>
      </c>
      <c r="P656" s="28" t="s">
        <v>3091</v>
      </c>
      <c r="Q656" s="29">
        <v>42108</v>
      </c>
      <c r="R656" s="26">
        <v>43829</v>
      </c>
      <c r="S656" s="23" t="s">
        <v>3013</v>
      </c>
      <c r="T656" s="23"/>
      <c r="U656" s="23"/>
      <c r="V656" s="23"/>
      <c r="W656" s="30">
        <v>39783</v>
      </c>
      <c r="X656" s="30">
        <v>39845</v>
      </c>
      <c r="Y656" s="22"/>
      <c r="Z656" s="31" t="str">
        <f t="shared" ca="1" si="47"/>
        <v>16 Tahun 10 Bulan 30 Hari</v>
      </c>
      <c r="AA656" s="31" t="s">
        <v>1279</v>
      </c>
      <c r="AB656" s="32">
        <v>31411</v>
      </c>
      <c r="AC656" s="32" t="s">
        <v>3092</v>
      </c>
      <c r="AD656" s="22" t="str">
        <f t="shared" ca="1" si="45"/>
        <v xml:space="preserve">39 Tahun 10 Bulan </v>
      </c>
      <c r="AE656" s="33" t="s">
        <v>1106</v>
      </c>
      <c r="AF656" s="34"/>
      <c r="AG656" s="22" t="s">
        <v>3002</v>
      </c>
      <c r="AH656" s="22"/>
      <c r="AI656" s="22"/>
      <c r="AJ656" s="22"/>
      <c r="AK656" s="33"/>
      <c r="AL656" s="36"/>
      <c r="AM656" s="14"/>
    </row>
    <row r="657" spans="1:39" ht="14.45" customHeight="1" x14ac:dyDescent="0.25">
      <c r="A657" s="17">
        <v>11</v>
      </c>
      <c r="B657" s="18"/>
      <c r="C657" s="50" t="s">
        <v>3093</v>
      </c>
      <c r="D657" s="20" t="s">
        <v>3094</v>
      </c>
      <c r="E657" s="21" t="s">
        <v>56</v>
      </c>
      <c r="F657" s="22" t="s">
        <v>41</v>
      </c>
      <c r="G657" s="23" t="s">
        <v>137</v>
      </c>
      <c r="H657" s="22" t="s">
        <v>138</v>
      </c>
      <c r="I657" s="22" t="s">
        <v>44</v>
      </c>
      <c r="J657" s="22" t="s">
        <v>1166</v>
      </c>
      <c r="K657" s="24">
        <v>45017</v>
      </c>
      <c r="L657" s="53" t="s">
        <v>3095</v>
      </c>
      <c r="M657" s="26">
        <v>43117</v>
      </c>
      <c r="N657" s="26">
        <v>45234</v>
      </c>
      <c r="O657" s="27" t="s">
        <v>148</v>
      </c>
      <c r="P657" s="53" t="s">
        <v>3096</v>
      </c>
      <c r="Q657" s="26">
        <v>43367</v>
      </c>
      <c r="R657" s="26">
        <v>45234</v>
      </c>
      <c r="S657" s="23" t="s">
        <v>1172</v>
      </c>
      <c r="T657" s="23"/>
      <c r="U657" s="23"/>
      <c r="V657" s="23"/>
      <c r="W657" s="30">
        <v>39448</v>
      </c>
      <c r="X657" s="30">
        <v>39448</v>
      </c>
      <c r="Y657" s="22"/>
      <c r="Z657" s="31" t="str">
        <f t="shared" ca="1" si="47"/>
        <v>17 Tahun 9 Bulan 30 Hari</v>
      </c>
      <c r="AA657" s="31" t="s">
        <v>76</v>
      </c>
      <c r="AB657" s="32">
        <v>31513</v>
      </c>
      <c r="AC657" s="32" t="s">
        <v>3097</v>
      </c>
      <c r="AD657" s="22" t="str">
        <f t="shared" ca="1" si="45"/>
        <v xml:space="preserve">39 Tahun 6 Bulan </v>
      </c>
      <c r="AE657" s="33" t="s">
        <v>1106</v>
      </c>
      <c r="AF657" s="34"/>
      <c r="AG657" s="22" t="s">
        <v>3002</v>
      </c>
      <c r="AH657" s="22"/>
      <c r="AI657" s="22"/>
      <c r="AJ657" s="22"/>
      <c r="AK657" s="33"/>
      <c r="AL657" s="36"/>
      <c r="AM657" s="14"/>
    </row>
    <row r="658" spans="1:39" ht="14.45" customHeight="1" x14ac:dyDescent="0.25">
      <c r="A658" s="17">
        <v>12</v>
      </c>
      <c r="B658" s="18"/>
      <c r="C658" s="19" t="s">
        <v>3098</v>
      </c>
      <c r="D658" s="20" t="s">
        <v>3099</v>
      </c>
      <c r="E658" s="22" t="s">
        <v>40</v>
      </c>
      <c r="F658" s="22" t="s">
        <v>41</v>
      </c>
      <c r="G658" s="89" t="s">
        <v>102</v>
      </c>
      <c r="H658" s="22" t="s">
        <v>103</v>
      </c>
      <c r="I658" s="58" t="s">
        <v>44</v>
      </c>
      <c r="J658" s="22" t="s">
        <v>1166</v>
      </c>
      <c r="K658" s="24">
        <v>45566</v>
      </c>
      <c r="L658" s="53" t="s">
        <v>3100</v>
      </c>
      <c r="M658" s="26">
        <v>43238</v>
      </c>
      <c r="N658" s="26">
        <v>45241</v>
      </c>
      <c r="O658" s="53" t="s">
        <v>148</v>
      </c>
      <c r="P658" s="189" t="s">
        <v>3101</v>
      </c>
      <c r="Q658" s="26">
        <v>43367</v>
      </c>
      <c r="R658" s="26">
        <v>45241</v>
      </c>
      <c r="S658" s="23" t="s">
        <v>1172</v>
      </c>
      <c r="T658" s="23"/>
      <c r="U658" s="23"/>
      <c r="V658" s="23"/>
      <c r="W658" s="30">
        <v>40513</v>
      </c>
      <c r="X658" s="30">
        <v>42522</v>
      </c>
      <c r="Y658" s="30">
        <v>42583</v>
      </c>
      <c r="Z658" s="31" t="str">
        <f ca="1">DATEDIF(X658,TODAY(),"y")&amp;" Tahun "&amp;DATEDIF(X658,TODAY(),"ym")&amp;" Bulan "&amp;DATEDIF(X658,TODAY(),"md")&amp;" Hari"</f>
        <v>9 Tahun 4 Bulan 30 Hari</v>
      </c>
      <c r="AA658" s="31" t="s">
        <v>76</v>
      </c>
      <c r="AB658" s="32">
        <v>32823</v>
      </c>
      <c r="AC658" s="31" t="s">
        <v>3102</v>
      </c>
      <c r="AD658" s="22" t="str">
        <f t="shared" ca="1" si="45"/>
        <v xml:space="preserve">35 Tahun 11 Bulan </v>
      </c>
      <c r="AE658" s="33" t="s">
        <v>1106</v>
      </c>
      <c r="AF658" s="34"/>
      <c r="AG658" s="22" t="s">
        <v>3002</v>
      </c>
      <c r="AH658" s="22"/>
      <c r="AI658" s="22"/>
      <c r="AJ658" s="22"/>
      <c r="AK658" s="33"/>
      <c r="AL658" s="36"/>
    </row>
    <row r="659" spans="1:39" ht="14.45" customHeight="1" x14ac:dyDescent="0.25">
      <c r="A659" s="17">
        <v>13</v>
      </c>
      <c r="B659" s="18"/>
      <c r="C659" s="19" t="s">
        <v>3104</v>
      </c>
      <c r="D659" s="20" t="s">
        <v>3105</v>
      </c>
      <c r="E659" s="21" t="s">
        <v>56</v>
      </c>
      <c r="F659" s="22" t="s">
        <v>41</v>
      </c>
      <c r="G659" s="23" t="s">
        <v>227</v>
      </c>
      <c r="H659" s="22" t="s">
        <v>228</v>
      </c>
      <c r="I659" s="22" t="s">
        <v>44</v>
      </c>
      <c r="J659" s="22" t="s">
        <v>1559</v>
      </c>
      <c r="K659" s="24">
        <v>45689</v>
      </c>
      <c r="L659" s="25" t="s">
        <v>3106</v>
      </c>
      <c r="M659" s="26">
        <v>42926</v>
      </c>
      <c r="N659" s="26">
        <v>44616</v>
      </c>
      <c r="O659" s="27" t="s">
        <v>1155</v>
      </c>
      <c r="P659" s="53" t="s">
        <v>3107</v>
      </c>
      <c r="Q659" s="29">
        <v>43052</v>
      </c>
      <c r="R659" s="26">
        <v>44616</v>
      </c>
      <c r="S659" s="23" t="s">
        <v>1172</v>
      </c>
      <c r="T659" s="23"/>
      <c r="U659" s="23"/>
      <c r="V659" s="23"/>
      <c r="W659" s="30">
        <v>40513</v>
      </c>
      <c r="X659" s="30">
        <v>40664</v>
      </c>
      <c r="Y659" s="30">
        <v>40664</v>
      </c>
      <c r="Z659" s="31" t="str">
        <f ca="1">DATEDIF(W659,TODAY(),"y")&amp;" Tahun "&amp;DATEDIF(W659,TODAY(),"ym")&amp;" Bulan "&amp;DATEDIF(W659,TODAY(),"md")&amp;" Hari"</f>
        <v>14 Tahun 10 Bulan 30 Hari</v>
      </c>
      <c r="AA659" s="31" t="s">
        <v>76</v>
      </c>
      <c r="AB659" s="32">
        <v>32928</v>
      </c>
      <c r="AC659" s="31" t="s">
        <v>3108</v>
      </c>
      <c r="AD659" s="22" t="str">
        <f t="shared" ca="1" si="45"/>
        <v xml:space="preserve">35 Tahun 8 Bulan </v>
      </c>
      <c r="AE659" s="33" t="s">
        <v>1106</v>
      </c>
      <c r="AF659" s="34"/>
      <c r="AG659" s="22" t="s">
        <v>3002</v>
      </c>
      <c r="AH659" s="22"/>
      <c r="AI659" s="22"/>
      <c r="AJ659" s="22"/>
      <c r="AK659" s="33"/>
      <c r="AL659" s="36"/>
    </row>
    <row r="660" spans="1:39" ht="14.45" customHeight="1" x14ac:dyDescent="0.25">
      <c r="A660" s="17">
        <v>14</v>
      </c>
      <c r="B660" s="18"/>
      <c r="C660" s="139" t="s">
        <v>3109</v>
      </c>
      <c r="D660" s="137" t="s">
        <v>3110</v>
      </c>
      <c r="E660" s="21" t="s">
        <v>40</v>
      </c>
      <c r="F660" s="22" t="s">
        <v>41</v>
      </c>
      <c r="G660" s="23" t="s">
        <v>227</v>
      </c>
      <c r="H660" s="22" t="s">
        <v>228</v>
      </c>
      <c r="I660" s="22" t="s">
        <v>44</v>
      </c>
      <c r="J660" s="22" t="s">
        <v>1148</v>
      </c>
      <c r="K660" s="24">
        <v>45200</v>
      </c>
      <c r="L660" s="25" t="s">
        <v>3111</v>
      </c>
      <c r="M660" s="26">
        <v>41429</v>
      </c>
      <c r="N660" s="26">
        <v>43270</v>
      </c>
      <c r="O660" s="27" t="s">
        <v>148</v>
      </c>
      <c r="P660" s="28" t="s">
        <v>3112</v>
      </c>
      <c r="Q660" s="29">
        <v>41905</v>
      </c>
      <c r="R660" s="26">
        <v>43270</v>
      </c>
      <c r="S660" s="23" t="s">
        <v>84</v>
      </c>
      <c r="T660" s="33"/>
      <c r="U660" s="33"/>
      <c r="V660" s="33"/>
      <c r="W660" s="95">
        <v>41244</v>
      </c>
      <c r="X660" s="30">
        <v>41334</v>
      </c>
      <c r="Y660" s="22"/>
      <c r="Z660" s="31" t="str">
        <f ca="1">DATEDIF(W660,TODAY(),"y")&amp;" Tahun "&amp;DATEDIF(W660,TODAY(),"ym")&amp;" Bulan "&amp;DATEDIF(W660,TODAY(),"md")&amp;" Hari"</f>
        <v>12 Tahun 10 Bulan 30 Hari</v>
      </c>
      <c r="AA660" s="31" t="s">
        <v>128</v>
      </c>
      <c r="AB660" s="32">
        <v>33043</v>
      </c>
      <c r="AC660" s="31" t="s">
        <v>3113</v>
      </c>
      <c r="AD660" s="22" t="str">
        <f t="shared" ca="1" si="45"/>
        <v xml:space="preserve">35 Tahun 4 Bulan </v>
      </c>
      <c r="AE660" s="33" t="s">
        <v>1106</v>
      </c>
      <c r="AF660" s="34"/>
      <c r="AG660" s="22" t="s">
        <v>3002</v>
      </c>
      <c r="AH660" s="22"/>
      <c r="AI660" s="22"/>
      <c r="AJ660" s="22"/>
      <c r="AK660" s="33"/>
      <c r="AL660" s="36"/>
      <c r="AM660" s="14"/>
    </row>
    <row r="661" spans="1:39" ht="14.45" customHeight="1" x14ac:dyDescent="0.25">
      <c r="A661" s="17">
        <v>15</v>
      </c>
      <c r="B661" s="78">
        <v>1387</v>
      </c>
      <c r="C661" s="50" t="s">
        <v>5859</v>
      </c>
      <c r="D661" s="20" t="s">
        <v>3114</v>
      </c>
      <c r="E661" s="58" t="s">
        <v>56</v>
      </c>
      <c r="F661" s="58" t="s">
        <v>41</v>
      </c>
      <c r="G661" s="23" t="s">
        <v>227</v>
      </c>
      <c r="H661" s="22" t="s">
        <v>228</v>
      </c>
      <c r="I661" s="22" t="s">
        <v>44</v>
      </c>
      <c r="J661" s="22" t="s">
        <v>1148</v>
      </c>
      <c r="K661" s="24">
        <v>45200</v>
      </c>
      <c r="L661" s="25"/>
      <c r="M661" s="26"/>
      <c r="N661" s="26"/>
      <c r="O661" s="27"/>
      <c r="P661" s="28"/>
      <c r="Q661" s="29"/>
      <c r="R661" s="26"/>
      <c r="S661" s="23" t="s">
        <v>84</v>
      </c>
      <c r="T661" s="23"/>
      <c r="U661" s="23"/>
      <c r="V661" s="23"/>
      <c r="W661" s="30">
        <v>44166</v>
      </c>
      <c r="X661" s="30">
        <v>44197</v>
      </c>
      <c r="Y661" s="30">
        <v>44197</v>
      </c>
      <c r="Z661" s="55" t="str">
        <f ca="1">DATEDIF(X661,TODAY(),"y")&amp;" Tahun "&amp;DATEDIF(X661,TODAY(),"ym")&amp;" Bulan "&amp;DATEDIF(X661,TODAY(),"md")&amp;" Hari"</f>
        <v>4 Tahun 9 Bulan 30 Hari</v>
      </c>
      <c r="AA661" s="55" t="s">
        <v>76</v>
      </c>
      <c r="AB661" s="56">
        <v>32740</v>
      </c>
      <c r="AC661" s="32" t="s">
        <v>3115</v>
      </c>
      <c r="AD661" s="57" t="str">
        <f t="shared" ca="1" si="45"/>
        <v xml:space="preserve">36 Tahun 2 Bulan </v>
      </c>
      <c r="AE661" s="33" t="s">
        <v>1106</v>
      </c>
      <c r="AF661" s="71"/>
      <c r="AG661" s="22" t="s">
        <v>3002</v>
      </c>
      <c r="AH661" s="22"/>
      <c r="AI661" s="22"/>
      <c r="AJ661" s="22"/>
      <c r="AK661" s="33"/>
      <c r="AL661" s="36"/>
      <c r="AM661" s="14"/>
    </row>
    <row r="662" spans="1:39" ht="14.45" customHeight="1" x14ac:dyDescent="0.25">
      <c r="A662" s="17">
        <v>16</v>
      </c>
      <c r="B662" s="78"/>
      <c r="C662" s="50" t="s">
        <v>3116</v>
      </c>
      <c r="D662" s="20" t="s">
        <v>3117</v>
      </c>
      <c r="E662" s="21" t="s">
        <v>40</v>
      </c>
      <c r="F662" s="22" t="s">
        <v>41</v>
      </c>
      <c r="G662" s="23" t="s">
        <v>1547</v>
      </c>
      <c r="H662" s="22" t="s">
        <v>2878</v>
      </c>
      <c r="I662" s="22" t="s">
        <v>155</v>
      </c>
      <c r="J662" s="22" t="s">
        <v>3022</v>
      </c>
      <c r="K662" s="24">
        <v>43739</v>
      </c>
      <c r="L662" s="25"/>
      <c r="M662" s="26"/>
      <c r="N662" s="26"/>
      <c r="O662" s="27"/>
      <c r="P662" s="28"/>
      <c r="Q662" s="29"/>
      <c r="R662" s="26"/>
      <c r="S662" s="23" t="s">
        <v>1339</v>
      </c>
      <c r="T662" s="23"/>
      <c r="U662" s="23"/>
      <c r="V662" s="23"/>
      <c r="W662" s="30">
        <v>39783</v>
      </c>
      <c r="X662" s="30">
        <v>35765</v>
      </c>
      <c r="Y662" s="30">
        <v>43166</v>
      </c>
      <c r="Z662" s="31" t="str">
        <f ca="1">DATEDIF(W662,TODAY(),"y")&amp;" Tahun "&amp;DATEDIF(W662,TODAY(),"ym")&amp;" Bulan "&amp;DATEDIF(W662,TODAY(),"md")&amp;" Hari"</f>
        <v>16 Tahun 10 Bulan 30 Hari</v>
      </c>
      <c r="AA662" s="31" t="s">
        <v>76</v>
      </c>
      <c r="AB662" s="32">
        <v>28841</v>
      </c>
      <c r="AC662" s="31" t="s">
        <v>3118</v>
      </c>
      <c r="AD662" s="22" t="str">
        <f t="shared" ca="1" si="45"/>
        <v xml:space="preserve">46 Tahun 10 Bulan </v>
      </c>
      <c r="AE662" s="33" t="s">
        <v>2520</v>
      </c>
      <c r="AF662" s="34"/>
      <c r="AG662" s="22" t="s">
        <v>3002</v>
      </c>
      <c r="AH662" s="22"/>
      <c r="AI662" s="22"/>
      <c r="AJ662" s="22"/>
      <c r="AK662" s="33"/>
      <c r="AL662" s="36"/>
      <c r="AM662" s="14"/>
    </row>
    <row r="663" spans="1:39" ht="14.45" customHeight="1" x14ac:dyDescent="0.25">
      <c r="A663" s="17">
        <v>17</v>
      </c>
      <c r="B663" s="18"/>
      <c r="C663" s="50" t="s">
        <v>5860</v>
      </c>
      <c r="D663" s="20" t="s">
        <v>3119</v>
      </c>
      <c r="E663" s="21" t="s">
        <v>56</v>
      </c>
      <c r="F663" s="22" t="s">
        <v>238</v>
      </c>
      <c r="G663" s="33" t="s">
        <v>3872</v>
      </c>
      <c r="H663" s="22" t="s">
        <v>1078</v>
      </c>
      <c r="I663" s="22" t="s">
        <v>44</v>
      </c>
      <c r="J663" s="22" t="s">
        <v>1293</v>
      </c>
      <c r="K663" s="30"/>
      <c r="L663" s="53" t="s">
        <v>3120</v>
      </c>
      <c r="M663" s="26">
        <v>43145</v>
      </c>
      <c r="N663" s="26">
        <v>45242</v>
      </c>
      <c r="O663" s="27" t="s">
        <v>148</v>
      </c>
      <c r="P663" s="53" t="s">
        <v>3121</v>
      </c>
      <c r="Q663" s="26">
        <v>43367</v>
      </c>
      <c r="R663" s="26">
        <v>45242</v>
      </c>
      <c r="S663" s="23" t="s">
        <v>1167</v>
      </c>
      <c r="T663" s="23"/>
      <c r="U663" s="23"/>
      <c r="V663" s="23"/>
      <c r="W663" s="77">
        <v>45047</v>
      </c>
      <c r="X663" s="30">
        <v>39085</v>
      </c>
      <c r="Y663" s="30">
        <v>43887</v>
      </c>
      <c r="Z663" s="31" t="str">
        <f t="shared" ref="Z663:Z684" ca="1" si="48">DATEDIF(X663,TODAY(),"y")&amp;" Tahun "&amp;DATEDIF(X663,TODAY(),"ym")&amp;" Bulan "&amp;DATEDIF(X663,TODAY(),"md")&amp;" Hari"</f>
        <v>18 Tahun 9 Bulan 28 Hari</v>
      </c>
      <c r="AA663" s="31" t="s">
        <v>76</v>
      </c>
      <c r="AB663" s="32">
        <v>30632</v>
      </c>
      <c r="AC663" s="31" t="s">
        <v>3122</v>
      </c>
      <c r="AD663" s="22" t="str">
        <f t="shared" ca="1" si="45"/>
        <v xml:space="preserve">41 Tahun 11 Bulan </v>
      </c>
      <c r="AE663" s="33" t="s">
        <v>1106</v>
      </c>
      <c r="AF663" s="34"/>
      <c r="AG663" s="22" t="s">
        <v>3002</v>
      </c>
      <c r="AH663" s="22"/>
      <c r="AI663" s="22"/>
      <c r="AJ663" s="22"/>
      <c r="AK663" s="33"/>
      <c r="AL663" s="36"/>
      <c r="AM663" s="14"/>
    </row>
    <row r="664" spans="1:39" ht="14.45" customHeight="1" x14ac:dyDescent="0.25">
      <c r="A664" s="17">
        <v>18</v>
      </c>
      <c r="B664" s="18"/>
      <c r="C664" s="50" t="s">
        <v>5861</v>
      </c>
      <c r="D664" s="20" t="s">
        <v>3123</v>
      </c>
      <c r="E664" s="21" t="s">
        <v>56</v>
      </c>
      <c r="F664" s="22" t="s">
        <v>238</v>
      </c>
      <c r="G664" s="33" t="s">
        <v>3872</v>
      </c>
      <c r="H664" s="22" t="s">
        <v>1078</v>
      </c>
      <c r="I664" s="22" t="s">
        <v>44</v>
      </c>
      <c r="J664" s="22" t="s">
        <v>1293</v>
      </c>
      <c r="K664" s="22"/>
      <c r="L664" s="53" t="s">
        <v>3124</v>
      </c>
      <c r="M664" s="26">
        <v>43145</v>
      </c>
      <c r="N664" s="26">
        <v>45209</v>
      </c>
      <c r="O664" s="27" t="s">
        <v>148</v>
      </c>
      <c r="P664" s="53" t="s">
        <v>3125</v>
      </c>
      <c r="Q664" s="26">
        <v>43367</v>
      </c>
      <c r="R664" s="26">
        <v>45209</v>
      </c>
      <c r="S664" s="23" t="s">
        <v>1167</v>
      </c>
      <c r="T664" s="23"/>
      <c r="U664" s="23"/>
      <c r="V664" s="23"/>
      <c r="W664" s="77">
        <v>45047</v>
      </c>
      <c r="X664" s="30">
        <v>39085</v>
      </c>
      <c r="Y664" s="30">
        <v>40371</v>
      </c>
      <c r="Z664" s="31" t="str">
        <f t="shared" ca="1" si="48"/>
        <v>18 Tahun 9 Bulan 28 Hari</v>
      </c>
      <c r="AA664" s="31" t="s">
        <v>76</v>
      </c>
      <c r="AB664" s="32">
        <v>30234</v>
      </c>
      <c r="AC664" s="32" t="s">
        <v>3126</v>
      </c>
      <c r="AD664" s="22" t="str">
        <f t="shared" ca="1" si="45"/>
        <v xml:space="preserve">43 Tahun 0 Bulan </v>
      </c>
      <c r="AE664" s="33" t="s">
        <v>1106</v>
      </c>
      <c r="AF664" s="34"/>
      <c r="AG664" s="22" t="s">
        <v>3002</v>
      </c>
      <c r="AH664" s="22"/>
      <c r="AI664" s="22"/>
      <c r="AJ664" s="22"/>
      <c r="AK664" s="33"/>
      <c r="AL664" s="36"/>
      <c r="AM664" s="14"/>
    </row>
    <row r="665" spans="1:39" ht="14.45" customHeight="1" x14ac:dyDescent="0.25">
      <c r="A665" s="17">
        <v>19</v>
      </c>
      <c r="B665" s="18"/>
      <c r="C665" s="50" t="s">
        <v>5862</v>
      </c>
      <c r="D665" s="20" t="s">
        <v>3127</v>
      </c>
      <c r="E665" s="21" t="s">
        <v>56</v>
      </c>
      <c r="F665" s="22" t="s">
        <v>238</v>
      </c>
      <c r="G665" s="33" t="s">
        <v>3872</v>
      </c>
      <c r="H665" s="22" t="s">
        <v>1078</v>
      </c>
      <c r="I665" s="22" t="s">
        <v>44</v>
      </c>
      <c r="J665" s="22" t="s">
        <v>1293</v>
      </c>
      <c r="K665" s="22"/>
      <c r="L665" s="25" t="s">
        <v>3128</v>
      </c>
      <c r="M665" s="26">
        <v>42926</v>
      </c>
      <c r="N665" s="26">
        <v>44635</v>
      </c>
      <c r="O665" s="27" t="s">
        <v>1155</v>
      </c>
      <c r="P665" s="53" t="s">
        <v>3129</v>
      </c>
      <c r="Q665" s="26">
        <v>42984</v>
      </c>
      <c r="R665" s="29">
        <v>44635</v>
      </c>
      <c r="S665" s="33" t="s">
        <v>1172</v>
      </c>
      <c r="T665" s="33"/>
      <c r="U665" s="33"/>
      <c r="V665" s="33"/>
      <c r="W665" s="77">
        <v>45047</v>
      </c>
      <c r="X665" s="30">
        <v>39752</v>
      </c>
      <c r="Y665" s="30">
        <v>39752</v>
      </c>
      <c r="Z665" s="31" t="str">
        <f t="shared" ca="1" si="48"/>
        <v>17 Tahun 0 Bulan 0 Hari</v>
      </c>
      <c r="AA665" s="31" t="s">
        <v>76</v>
      </c>
      <c r="AB665" s="32">
        <v>30387</v>
      </c>
      <c r="AC665" s="31" t="s">
        <v>3130</v>
      </c>
      <c r="AD665" s="22" t="str">
        <f t="shared" ca="1" si="45"/>
        <v xml:space="preserve">42 Tahun 7 Bulan </v>
      </c>
      <c r="AE665" s="33" t="s">
        <v>1106</v>
      </c>
      <c r="AF665" s="34"/>
      <c r="AG665" s="22" t="s">
        <v>3002</v>
      </c>
      <c r="AH665" s="22"/>
      <c r="AI665" s="22"/>
      <c r="AJ665" s="22"/>
      <c r="AK665" s="33"/>
      <c r="AL665" s="36"/>
      <c r="AM665" s="14"/>
    </row>
    <row r="666" spans="1:39" ht="14.45" customHeight="1" x14ac:dyDescent="0.25">
      <c r="A666" s="17">
        <v>20</v>
      </c>
      <c r="B666" s="18"/>
      <c r="C666" s="50" t="s">
        <v>3131</v>
      </c>
      <c r="D666" s="20" t="s">
        <v>3132</v>
      </c>
      <c r="E666" s="21" t="s">
        <v>40</v>
      </c>
      <c r="F666" s="22" t="s">
        <v>238</v>
      </c>
      <c r="G666" s="22" t="s">
        <v>3872</v>
      </c>
      <c r="H666" s="22" t="s">
        <v>1078</v>
      </c>
      <c r="I666" s="22" t="s">
        <v>44</v>
      </c>
      <c r="J666" s="22" t="s">
        <v>1293</v>
      </c>
      <c r="K666" s="22"/>
      <c r="L666" s="25" t="s">
        <v>3133</v>
      </c>
      <c r="M666" s="26">
        <v>43046</v>
      </c>
      <c r="N666" s="26">
        <v>44680</v>
      </c>
      <c r="O666" s="27" t="s">
        <v>148</v>
      </c>
      <c r="P666" s="53" t="s">
        <v>3134</v>
      </c>
      <c r="Q666" s="26">
        <v>43367</v>
      </c>
      <c r="R666" s="26">
        <v>44680</v>
      </c>
      <c r="S666" s="33" t="s">
        <v>1172</v>
      </c>
      <c r="T666" s="33"/>
      <c r="U666" s="33"/>
      <c r="V666" s="33"/>
      <c r="W666" s="77">
        <v>45047</v>
      </c>
      <c r="X666" s="30">
        <v>40695</v>
      </c>
      <c r="Y666" s="30">
        <v>42339</v>
      </c>
      <c r="Z666" s="31" t="str">
        <f t="shared" ca="1" si="48"/>
        <v>14 Tahun 4 Bulan 30 Hari</v>
      </c>
      <c r="AA666" s="31" t="s">
        <v>141</v>
      </c>
      <c r="AB666" s="32">
        <v>32627</v>
      </c>
      <c r="AC666" s="31" t="s">
        <v>3135</v>
      </c>
      <c r="AD666" s="22" t="str">
        <f t="shared" ca="1" si="45"/>
        <v xml:space="preserve">36 Tahun 6 Bulan </v>
      </c>
      <c r="AE666" s="33" t="s">
        <v>1106</v>
      </c>
      <c r="AF666" s="34"/>
      <c r="AG666" s="22" t="s">
        <v>3002</v>
      </c>
      <c r="AH666" s="22"/>
      <c r="AI666" s="22"/>
      <c r="AJ666" s="22"/>
      <c r="AK666" s="33"/>
      <c r="AL666" s="22" t="s">
        <v>3103</v>
      </c>
      <c r="AM666" s="14"/>
    </row>
    <row r="667" spans="1:39" ht="14.45" customHeight="1" x14ac:dyDescent="0.25">
      <c r="A667" s="17">
        <v>21</v>
      </c>
      <c r="B667" s="78"/>
      <c r="C667" s="50" t="s">
        <v>6163</v>
      </c>
      <c r="D667" s="20" t="s">
        <v>5863</v>
      </c>
      <c r="E667" s="21" t="s">
        <v>56</v>
      </c>
      <c r="F667" s="22" t="s">
        <v>238</v>
      </c>
      <c r="G667" s="23" t="s">
        <v>3872</v>
      </c>
      <c r="H667" s="22" t="s">
        <v>1078</v>
      </c>
      <c r="I667" s="22" t="s">
        <v>44</v>
      </c>
      <c r="J667" s="22" t="s">
        <v>3187</v>
      </c>
      <c r="K667" s="151"/>
      <c r="L667" s="28" t="s">
        <v>3136</v>
      </c>
      <c r="M667" s="26">
        <v>41990</v>
      </c>
      <c r="N667" s="26">
        <v>43478</v>
      </c>
      <c r="O667" s="27" t="s">
        <v>1324</v>
      </c>
      <c r="P667" s="28" t="s">
        <v>3137</v>
      </c>
      <c r="Q667" s="29">
        <v>42107</v>
      </c>
      <c r="R667" s="26">
        <v>43478</v>
      </c>
      <c r="S667" s="33" t="s">
        <v>3013</v>
      </c>
      <c r="T667" s="33"/>
      <c r="U667" s="33"/>
      <c r="V667" s="33"/>
      <c r="W667" s="77">
        <v>45931</v>
      </c>
      <c r="X667" s="30">
        <v>41030</v>
      </c>
      <c r="Y667" s="30">
        <v>41518</v>
      </c>
      <c r="Z667" s="31" t="str">
        <f t="shared" ca="1" si="48"/>
        <v>13 Tahun 5 Bulan 30 Hari</v>
      </c>
      <c r="AA667" s="31" t="s">
        <v>76</v>
      </c>
      <c r="AB667" s="32">
        <v>32521</v>
      </c>
      <c r="AC667" s="31" t="s">
        <v>5864</v>
      </c>
      <c r="AD667" s="22" t="str">
        <f t="shared" ca="1" si="45"/>
        <v xml:space="preserve">36 Tahun 9 Bulan </v>
      </c>
      <c r="AE667" s="33" t="s">
        <v>1106</v>
      </c>
      <c r="AF667" s="34"/>
      <c r="AG667" s="22" t="s">
        <v>3002</v>
      </c>
      <c r="AH667" s="22"/>
      <c r="AI667" s="22"/>
      <c r="AJ667" s="22"/>
      <c r="AK667" s="33" t="s">
        <v>18</v>
      </c>
      <c r="AL667" s="36"/>
      <c r="AM667" s="14"/>
    </row>
    <row r="668" spans="1:39" ht="14.45" customHeight="1" x14ac:dyDescent="0.25">
      <c r="A668" s="17">
        <v>22</v>
      </c>
      <c r="B668" s="78"/>
      <c r="C668" s="50" t="s">
        <v>3138</v>
      </c>
      <c r="D668" s="20" t="s">
        <v>3139</v>
      </c>
      <c r="E668" s="22" t="s">
        <v>40</v>
      </c>
      <c r="F668" s="22" t="s">
        <v>238</v>
      </c>
      <c r="G668" s="23" t="s">
        <v>3872</v>
      </c>
      <c r="H668" s="22" t="s">
        <v>1078</v>
      </c>
      <c r="I668" s="22" t="s">
        <v>44</v>
      </c>
      <c r="J668" s="22" t="s">
        <v>1293</v>
      </c>
      <c r="K668" s="30"/>
      <c r="L668" s="25" t="s">
        <v>3140</v>
      </c>
      <c r="M668" s="26">
        <v>42131</v>
      </c>
      <c r="N668" s="26">
        <v>44083</v>
      </c>
      <c r="O668" s="27" t="s">
        <v>148</v>
      </c>
      <c r="P668" s="28" t="s">
        <v>1206</v>
      </c>
      <c r="Q668" s="43"/>
      <c r="R668" s="43"/>
      <c r="S668" s="23" t="s">
        <v>1172</v>
      </c>
      <c r="T668" s="23"/>
      <c r="U668" s="23"/>
      <c r="V668" s="23"/>
      <c r="W668" s="30">
        <v>45047</v>
      </c>
      <c r="X668" s="30">
        <v>42370</v>
      </c>
      <c r="Y668" s="30">
        <v>42401</v>
      </c>
      <c r="Z668" s="31" t="str">
        <f t="shared" ca="1" si="48"/>
        <v>9 Tahun 9 Bulan 30 Hari</v>
      </c>
      <c r="AA668" s="31" t="s">
        <v>2050</v>
      </c>
      <c r="AB668" s="32">
        <v>33856</v>
      </c>
      <c r="AC668" s="31" t="s">
        <v>3141</v>
      </c>
      <c r="AD668" s="22" t="str">
        <f t="shared" ca="1" si="45"/>
        <v xml:space="preserve">33 Tahun 1 Bulan </v>
      </c>
      <c r="AE668" s="33" t="s">
        <v>1106</v>
      </c>
      <c r="AF668" s="34"/>
      <c r="AG668" s="22" t="s">
        <v>3002</v>
      </c>
      <c r="AH668" s="22"/>
      <c r="AI668" s="22"/>
      <c r="AJ668" s="22"/>
      <c r="AK668" s="34"/>
      <c r="AL668" s="36"/>
    </row>
    <row r="669" spans="1:39" ht="14.45" customHeight="1" x14ac:dyDescent="0.25">
      <c r="A669" s="17">
        <v>24</v>
      </c>
      <c r="B669" s="78"/>
      <c r="C669" s="50" t="s">
        <v>3142</v>
      </c>
      <c r="D669" s="62" t="s">
        <v>3143</v>
      </c>
      <c r="E669" s="21" t="s">
        <v>56</v>
      </c>
      <c r="F669" s="22" t="s">
        <v>238</v>
      </c>
      <c r="G669" s="23" t="s">
        <v>3872</v>
      </c>
      <c r="H669" s="22" t="s">
        <v>305</v>
      </c>
      <c r="I669" s="22" t="s">
        <v>44</v>
      </c>
      <c r="J669" s="22" t="s">
        <v>1104</v>
      </c>
      <c r="K669" s="30"/>
      <c r="L669" s="25"/>
      <c r="M669" s="29"/>
      <c r="N669" s="26"/>
      <c r="O669" s="27"/>
      <c r="P669" s="28"/>
      <c r="Q669" s="29"/>
      <c r="R669" s="26"/>
      <c r="S669" s="23" t="s">
        <v>84</v>
      </c>
      <c r="T669" s="23"/>
      <c r="U669" s="23"/>
      <c r="V669" s="23"/>
      <c r="W669" s="30">
        <v>45383</v>
      </c>
      <c r="X669" s="30">
        <v>45383</v>
      </c>
      <c r="Y669" s="30">
        <v>45383</v>
      </c>
      <c r="Z669" s="31" t="str">
        <f t="shared" ca="1" si="48"/>
        <v>1 Tahun 6 Bulan 30 Hari</v>
      </c>
      <c r="AA669" s="31" t="s">
        <v>2305</v>
      </c>
      <c r="AB669" s="32">
        <v>35190</v>
      </c>
      <c r="AC669" s="31" t="s">
        <v>3144</v>
      </c>
      <c r="AD669" s="22" t="str">
        <f t="shared" ca="1" si="45"/>
        <v xml:space="preserve">29 Tahun 5 Bulan </v>
      </c>
      <c r="AE669" s="33" t="s">
        <v>1106</v>
      </c>
      <c r="AF669" s="34"/>
      <c r="AG669" s="22" t="s">
        <v>3002</v>
      </c>
      <c r="AH669" s="58"/>
      <c r="AI669" s="58"/>
      <c r="AJ669" s="58"/>
      <c r="AK669" s="85" t="s">
        <v>676</v>
      </c>
      <c r="AL669" s="36"/>
    </row>
    <row r="670" spans="1:39" ht="14.45" customHeight="1" x14ac:dyDescent="0.25">
      <c r="A670" s="17">
        <v>25</v>
      </c>
      <c r="B670" s="78"/>
      <c r="C670" s="50" t="s">
        <v>3145</v>
      </c>
      <c r="D670" s="62" t="s">
        <v>3146</v>
      </c>
      <c r="E670" s="21" t="s">
        <v>56</v>
      </c>
      <c r="F670" s="22" t="s">
        <v>238</v>
      </c>
      <c r="G670" s="23" t="s">
        <v>3872</v>
      </c>
      <c r="H670" s="22" t="s">
        <v>305</v>
      </c>
      <c r="I670" s="22" t="s">
        <v>44</v>
      </c>
      <c r="J670" s="22" t="s">
        <v>1104</v>
      </c>
      <c r="K670" s="30"/>
      <c r="L670" s="25"/>
      <c r="M670" s="29"/>
      <c r="N670" s="26"/>
      <c r="O670" s="27"/>
      <c r="P670" s="28"/>
      <c r="Q670" s="29"/>
      <c r="R670" s="26"/>
      <c r="S670" s="23" t="s">
        <v>84</v>
      </c>
      <c r="T670" s="23"/>
      <c r="U670" s="23"/>
      <c r="V670" s="23"/>
      <c r="W670" s="30">
        <v>45383</v>
      </c>
      <c r="X670" s="30">
        <v>45383</v>
      </c>
      <c r="Y670" s="30">
        <v>45383</v>
      </c>
      <c r="Z670" s="31" t="str">
        <f t="shared" ca="1" si="48"/>
        <v>1 Tahun 6 Bulan 30 Hari</v>
      </c>
      <c r="AA670" s="31" t="s">
        <v>806</v>
      </c>
      <c r="AB670" s="32">
        <v>35525</v>
      </c>
      <c r="AC670" s="31" t="s">
        <v>3147</v>
      </c>
      <c r="AD670" s="22" t="str">
        <f t="shared" ca="1" si="45"/>
        <v xml:space="preserve">28 Tahun 6 Bulan </v>
      </c>
      <c r="AE670" s="33" t="s">
        <v>1106</v>
      </c>
      <c r="AF670" s="34"/>
      <c r="AG670" s="22" t="s">
        <v>3002</v>
      </c>
      <c r="AH670" s="22"/>
      <c r="AI670" s="22"/>
      <c r="AJ670" s="22"/>
      <c r="AK670" s="33"/>
      <c r="AL670" s="36"/>
    </row>
    <row r="671" spans="1:39" ht="14.45" customHeight="1" x14ac:dyDescent="0.25">
      <c r="A671" s="17">
        <v>26</v>
      </c>
      <c r="B671" s="78"/>
      <c r="C671" s="50" t="s">
        <v>3148</v>
      </c>
      <c r="D671" s="62" t="s">
        <v>3149</v>
      </c>
      <c r="E671" s="21" t="s">
        <v>56</v>
      </c>
      <c r="F671" s="22" t="s">
        <v>238</v>
      </c>
      <c r="G671" s="23" t="s">
        <v>3872</v>
      </c>
      <c r="H671" s="22" t="s">
        <v>305</v>
      </c>
      <c r="I671" s="22" t="s">
        <v>44</v>
      </c>
      <c r="J671" s="22" t="s">
        <v>1104</v>
      </c>
      <c r="K671" s="30"/>
      <c r="L671" s="25"/>
      <c r="M671" s="29"/>
      <c r="N671" s="26"/>
      <c r="O671" s="27"/>
      <c r="P671" s="28"/>
      <c r="Q671" s="29"/>
      <c r="R671" s="26"/>
      <c r="S671" s="23" t="s">
        <v>84</v>
      </c>
      <c r="T671" s="23"/>
      <c r="U671" s="23"/>
      <c r="V671" s="23"/>
      <c r="W671" s="30">
        <v>45383</v>
      </c>
      <c r="X671" s="30">
        <v>45383</v>
      </c>
      <c r="Y671" s="30">
        <v>45383</v>
      </c>
      <c r="Z671" s="31" t="str">
        <f t="shared" ca="1" si="48"/>
        <v>1 Tahun 6 Bulan 30 Hari</v>
      </c>
      <c r="AA671" s="31" t="s">
        <v>3150</v>
      </c>
      <c r="AB671" s="32">
        <v>32071</v>
      </c>
      <c r="AC671" s="31" t="s">
        <v>3151</v>
      </c>
      <c r="AD671" s="22" t="str">
        <f t="shared" ca="1" si="45"/>
        <v xml:space="preserve">38 Tahun 0 Bulan </v>
      </c>
      <c r="AE671" s="33" t="s">
        <v>1106</v>
      </c>
      <c r="AF671" s="34"/>
      <c r="AG671" s="22" t="s">
        <v>3002</v>
      </c>
      <c r="AH671" s="22"/>
      <c r="AI671" s="22"/>
      <c r="AJ671" s="22"/>
      <c r="AK671" s="33" t="s">
        <v>314</v>
      </c>
      <c r="AL671" s="36"/>
    </row>
    <row r="672" spans="1:39" ht="14.45" customHeight="1" x14ac:dyDescent="0.25">
      <c r="A672" s="17">
        <v>27</v>
      </c>
      <c r="B672" s="78"/>
      <c r="C672" s="50" t="s">
        <v>3152</v>
      </c>
      <c r="D672" s="62" t="s">
        <v>3153</v>
      </c>
      <c r="E672" s="21" t="s">
        <v>40</v>
      </c>
      <c r="F672" s="22" t="s">
        <v>238</v>
      </c>
      <c r="G672" s="23" t="s">
        <v>3872</v>
      </c>
      <c r="H672" s="22" t="s">
        <v>305</v>
      </c>
      <c r="I672" s="22" t="s">
        <v>44</v>
      </c>
      <c r="J672" s="22" t="s">
        <v>1104</v>
      </c>
      <c r="K672" s="30"/>
      <c r="L672" s="25"/>
      <c r="M672" s="29"/>
      <c r="N672" s="26"/>
      <c r="O672" s="27"/>
      <c r="P672" s="28"/>
      <c r="Q672" s="29"/>
      <c r="R672" s="26"/>
      <c r="S672" s="23" t="s">
        <v>84</v>
      </c>
      <c r="T672" s="23"/>
      <c r="U672" s="23"/>
      <c r="V672" s="23"/>
      <c r="W672" s="30">
        <v>45383</v>
      </c>
      <c r="X672" s="30">
        <v>45383</v>
      </c>
      <c r="Y672" s="30">
        <v>45383</v>
      </c>
      <c r="Z672" s="31" t="str">
        <f t="shared" ca="1" si="48"/>
        <v>1 Tahun 6 Bulan 30 Hari</v>
      </c>
      <c r="AA672" s="31" t="s">
        <v>3154</v>
      </c>
      <c r="AB672" s="32">
        <v>35095</v>
      </c>
      <c r="AC672" s="31" t="s">
        <v>3155</v>
      </c>
      <c r="AD672" s="22" t="str">
        <f t="shared" ca="1" si="45"/>
        <v xml:space="preserve">29 Tahun 9 Bulan </v>
      </c>
      <c r="AE672" s="33" t="s">
        <v>1106</v>
      </c>
      <c r="AF672" s="34"/>
      <c r="AG672" s="22" t="s">
        <v>3002</v>
      </c>
      <c r="AH672" s="22"/>
      <c r="AI672" s="22"/>
      <c r="AJ672" s="22"/>
      <c r="AK672" s="33" t="s">
        <v>314</v>
      </c>
      <c r="AL672" s="36"/>
      <c r="AM672" s="14"/>
    </row>
    <row r="673" spans="1:39" ht="14.45" customHeight="1" x14ac:dyDescent="0.25">
      <c r="A673" s="17">
        <v>28</v>
      </c>
      <c r="B673" s="78"/>
      <c r="C673" s="50" t="s">
        <v>3156</v>
      </c>
      <c r="D673" s="62" t="s">
        <v>3157</v>
      </c>
      <c r="E673" s="21" t="s">
        <v>40</v>
      </c>
      <c r="F673" s="22" t="s">
        <v>238</v>
      </c>
      <c r="G673" s="23" t="s">
        <v>3872</v>
      </c>
      <c r="H673" s="22" t="s">
        <v>305</v>
      </c>
      <c r="I673" s="22" t="s">
        <v>44</v>
      </c>
      <c r="J673" s="22" t="s">
        <v>1104</v>
      </c>
      <c r="K673" s="30"/>
      <c r="L673" s="25"/>
      <c r="M673" s="29"/>
      <c r="N673" s="26"/>
      <c r="O673" s="27"/>
      <c r="P673" s="28"/>
      <c r="Q673" s="29"/>
      <c r="R673" s="26"/>
      <c r="S673" s="23" t="s">
        <v>84</v>
      </c>
      <c r="T673" s="23"/>
      <c r="U673" s="23"/>
      <c r="V673" s="23"/>
      <c r="W673" s="30">
        <v>45383</v>
      </c>
      <c r="X673" s="30">
        <v>45383</v>
      </c>
      <c r="Y673" s="30">
        <v>45383</v>
      </c>
      <c r="Z673" s="31" t="str">
        <f t="shared" ca="1" si="48"/>
        <v>1 Tahun 6 Bulan 30 Hari</v>
      </c>
      <c r="AA673" s="31" t="s">
        <v>197</v>
      </c>
      <c r="AB673" s="32">
        <v>34241</v>
      </c>
      <c r="AC673" s="31" t="s">
        <v>3158</v>
      </c>
      <c r="AD673" s="22" t="str">
        <f t="shared" ca="1" si="45"/>
        <v xml:space="preserve">32 Tahun 1 Bulan </v>
      </c>
      <c r="AE673" s="33" t="s">
        <v>1106</v>
      </c>
      <c r="AF673" s="34"/>
      <c r="AG673" s="22" t="s">
        <v>3002</v>
      </c>
      <c r="AH673" s="22"/>
      <c r="AI673" s="22"/>
      <c r="AJ673" s="22"/>
      <c r="AK673" s="33" t="s">
        <v>314</v>
      </c>
      <c r="AL673" s="36"/>
      <c r="AM673" s="14"/>
    </row>
    <row r="674" spans="1:39" ht="14.45" customHeight="1" x14ac:dyDescent="0.25">
      <c r="A674" s="17">
        <v>30</v>
      </c>
      <c r="B674" s="78"/>
      <c r="C674" s="50" t="s">
        <v>3159</v>
      </c>
      <c r="D674" s="62" t="s">
        <v>3160</v>
      </c>
      <c r="E674" s="21" t="s">
        <v>56</v>
      </c>
      <c r="F674" s="22" t="s">
        <v>238</v>
      </c>
      <c r="G674" s="23" t="s">
        <v>3872</v>
      </c>
      <c r="H674" s="22" t="s">
        <v>305</v>
      </c>
      <c r="I674" s="22" t="s">
        <v>44</v>
      </c>
      <c r="J674" s="22" t="s">
        <v>1104</v>
      </c>
      <c r="K674" s="30"/>
      <c r="L674" s="25"/>
      <c r="M674" s="29"/>
      <c r="N674" s="26"/>
      <c r="O674" s="27"/>
      <c r="P674" s="28"/>
      <c r="Q674" s="29"/>
      <c r="R674" s="26"/>
      <c r="S674" s="23" t="s">
        <v>84</v>
      </c>
      <c r="T674" s="23"/>
      <c r="U674" s="23"/>
      <c r="V674" s="23"/>
      <c r="W674" s="30">
        <v>45383</v>
      </c>
      <c r="X674" s="30">
        <v>45383</v>
      </c>
      <c r="Y674" s="30">
        <v>45383</v>
      </c>
      <c r="Z674" s="31" t="str">
        <f t="shared" ca="1" si="48"/>
        <v>1 Tahun 6 Bulan 30 Hari</v>
      </c>
      <c r="AA674" s="31" t="s">
        <v>1048</v>
      </c>
      <c r="AB674" s="32">
        <v>34147</v>
      </c>
      <c r="AC674" s="31" t="s">
        <v>3161</v>
      </c>
      <c r="AD674" s="22" t="str">
        <f t="shared" ca="1" si="45"/>
        <v xml:space="preserve">32 Tahun 4 Bulan </v>
      </c>
      <c r="AE674" s="33" t="s">
        <v>1106</v>
      </c>
      <c r="AF674" s="34"/>
      <c r="AG674" s="22" t="s">
        <v>3002</v>
      </c>
      <c r="AH674" s="22"/>
      <c r="AI674" s="22"/>
      <c r="AJ674" s="22"/>
      <c r="AK674" s="33" t="s">
        <v>314</v>
      </c>
      <c r="AL674" s="36"/>
      <c r="AM674" s="14"/>
    </row>
    <row r="675" spans="1:39" ht="14.45" customHeight="1" x14ac:dyDescent="0.25">
      <c r="A675" s="17">
        <v>31</v>
      </c>
      <c r="B675" s="78"/>
      <c r="C675" s="50" t="s">
        <v>3162</v>
      </c>
      <c r="D675" s="62" t="s">
        <v>3163</v>
      </c>
      <c r="E675" s="21" t="s">
        <v>56</v>
      </c>
      <c r="F675" s="22" t="s">
        <v>238</v>
      </c>
      <c r="G675" s="23" t="s">
        <v>3872</v>
      </c>
      <c r="H675" s="22" t="s">
        <v>305</v>
      </c>
      <c r="I675" s="22" t="s">
        <v>44</v>
      </c>
      <c r="J675" s="22" t="s">
        <v>1104</v>
      </c>
      <c r="K675" s="30"/>
      <c r="L675" s="25"/>
      <c r="M675" s="29"/>
      <c r="N675" s="26"/>
      <c r="O675" s="27"/>
      <c r="P675" s="28"/>
      <c r="Q675" s="29"/>
      <c r="R675" s="26"/>
      <c r="S675" s="23" t="s">
        <v>84</v>
      </c>
      <c r="T675" s="23"/>
      <c r="U675" s="23"/>
      <c r="V675" s="23"/>
      <c r="W675" s="30">
        <v>45383</v>
      </c>
      <c r="X675" s="30">
        <v>45383</v>
      </c>
      <c r="Y675" s="30">
        <v>45383</v>
      </c>
      <c r="Z675" s="31" t="str">
        <f t="shared" ca="1" si="48"/>
        <v>1 Tahun 6 Bulan 30 Hari</v>
      </c>
      <c r="AA675" s="31" t="s">
        <v>2598</v>
      </c>
      <c r="AB675" s="32">
        <v>34547</v>
      </c>
      <c r="AC675" s="31" t="s">
        <v>3164</v>
      </c>
      <c r="AD675" s="22" t="str">
        <f t="shared" ca="1" si="45"/>
        <v xml:space="preserve">31 Tahun 2 Bulan </v>
      </c>
      <c r="AE675" s="33" t="s">
        <v>1106</v>
      </c>
      <c r="AF675" s="34"/>
      <c r="AG675" s="22" t="s">
        <v>3002</v>
      </c>
      <c r="AH675" s="22"/>
      <c r="AI675" s="22"/>
      <c r="AJ675" s="22"/>
      <c r="AK675" s="33"/>
      <c r="AL675" s="36"/>
    </row>
    <row r="676" spans="1:39" ht="14.45" customHeight="1" x14ac:dyDescent="0.25">
      <c r="A676" s="17">
        <v>32</v>
      </c>
      <c r="B676" s="78"/>
      <c r="C676" s="50" t="s">
        <v>3165</v>
      </c>
      <c r="D676" s="62" t="s">
        <v>3166</v>
      </c>
      <c r="E676" s="21" t="s">
        <v>56</v>
      </c>
      <c r="F676" s="22" t="s">
        <v>238</v>
      </c>
      <c r="G676" s="23" t="s">
        <v>3872</v>
      </c>
      <c r="H676" s="22" t="s">
        <v>1078</v>
      </c>
      <c r="I676" s="22" t="s">
        <v>44</v>
      </c>
      <c r="J676" s="22" t="s">
        <v>1293</v>
      </c>
      <c r="K676" s="30"/>
      <c r="L676" s="25"/>
      <c r="M676" s="29"/>
      <c r="N676" s="26"/>
      <c r="O676" s="27"/>
      <c r="P676" s="28"/>
      <c r="Q676" s="29"/>
      <c r="R676" s="26"/>
      <c r="S676" s="23" t="s">
        <v>1172</v>
      </c>
      <c r="T676" s="23"/>
      <c r="U676" s="23"/>
      <c r="V676" s="23"/>
      <c r="W676" s="30">
        <v>45383</v>
      </c>
      <c r="X676" s="30">
        <v>45383</v>
      </c>
      <c r="Y676" s="30">
        <v>45383</v>
      </c>
      <c r="Z676" s="31" t="str">
        <f t="shared" ca="1" si="48"/>
        <v>1 Tahun 6 Bulan 30 Hari</v>
      </c>
      <c r="AA676" s="31" t="s">
        <v>203</v>
      </c>
      <c r="AB676" s="32">
        <v>34184</v>
      </c>
      <c r="AC676" s="31" t="s">
        <v>3167</v>
      </c>
      <c r="AD676" s="22" t="str">
        <f t="shared" ca="1" si="45"/>
        <v xml:space="preserve">32 Tahun 2 Bulan </v>
      </c>
      <c r="AE676" s="33" t="s">
        <v>1106</v>
      </c>
      <c r="AF676" s="34"/>
      <c r="AG676" s="22" t="s">
        <v>3002</v>
      </c>
      <c r="AH676" s="22"/>
      <c r="AI676" s="22"/>
      <c r="AJ676" s="22"/>
      <c r="AK676" s="33" t="s">
        <v>314</v>
      </c>
      <c r="AL676" s="36"/>
    </row>
    <row r="677" spans="1:39" ht="14.45" customHeight="1" x14ac:dyDescent="0.25">
      <c r="A677" s="17">
        <v>33</v>
      </c>
      <c r="B677" s="52"/>
      <c r="C677" s="50" t="s">
        <v>3168</v>
      </c>
      <c r="D677" s="20" t="s">
        <v>3169</v>
      </c>
      <c r="E677" s="52" t="s">
        <v>56</v>
      </c>
      <c r="F677" s="22" t="s">
        <v>41</v>
      </c>
      <c r="G677" s="23" t="s">
        <v>227</v>
      </c>
      <c r="H677" s="22" t="s">
        <v>228</v>
      </c>
      <c r="I677" s="22" t="s">
        <v>44</v>
      </c>
      <c r="J677" s="22" t="s">
        <v>1104</v>
      </c>
      <c r="K677" s="77">
        <v>44621</v>
      </c>
      <c r="L677" s="25"/>
      <c r="M677" s="26"/>
      <c r="N677" s="26"/>
      <c r="O677" s="27"/>
      <c r="P677" s="28"/>
      <c r="Q677" s="29"/>
      <c r="R677" s="26"/>
      <c r="S677" s="23" t="s">
        <v>84</v>
      </c>
      <c r="T677" s="23">
        <v>2020</v>
      </c>
      <c r="U677" s="23"/>
      <c r="V677" s="23"/>
      <c r="W677" s="77">
        <v>44621</v>
      </c>
      <c r="X677" s="77">
        <v>44621</v>
      </c>
      <c r="Y677" s="77">
        <v>44621</v>
      </c>
      <c r="Z677" s="55" t="str">
        <f t="shared" ca="1" si="48"/>
        <v>3 Tahun 7 Bulan 30 Hari</v>
      </c>
      <c r="AA677" s="55" t="s">
        <v>97</v>
      </c>
      <c r="AB677" s="56">
        <v>35225</v>
      </c>
      <c r="AC677" s="32" t="s">
        <v>3170</v>
      </c>
      <c r="AD677" s="57" t="str">
        <f t="shared" ca="1" si="45"/>
        <v xml:space="preserve">29 Tahun 4 Bulan </v>
      </c>
      <c r="AE677" s="33" t="s">
        <v>3171</v>
      </c>
      <c r="AF677" s="71"/>
      <c r="AG677" s="22" t="s">
        <v>3002</v>
      </c>
      <c r="AH677" s="22"/>
      <c r="AI677" s="22"/>
      <c r="AJ677" s="22"/>
      <c r="AK677" s="33" t="s">
        <v>485</v>
      </c>
      <c r="AL677" s="36"/>
    </row>
    <row r="678" spans="1:39" ht="14.45" customHeight="1" x14ac:dyDescent="0.25">
      <c r="A678" s="17">
        <v>34</v>
      </c>
      <c r="B678" s="52"/>
      <c r="C678" s="50" t="s">
        <v>3172</v>
      </c>
      <c r="D678" s="20" t="s">
        <v>3173</v>
      </c>
      <c r="E678" s="52" t="s">
        <v>40</v>
      </c>
      <c r="F678" s="22" t="s">
        <v>41</v>
      </c>
      <c r="G678" s="23" t="s">
        <v>227</v>
      </c>
      <c r="H678" s="22" t="s">
        <v>228</v>
      </c>
      <c r="I678" s="22" t="s">
        <v>44</v>
      </c>
      <c r="J678" s="22" t="s">
        <v>1104</v>
      </c>
      <c r="K678" s="77">
        <v>44621</v>
      </c>
      <c r="L678" s="25"/>
      <c r="M678" s="26"/>
      <c r="N678" s="26"/>
      <c r="O678" s="27"/>
      <c r="P678" s="28"/>
      <c r="Q678" s="29"/>
      <c r="R678" s="26"/>
      <c r="S678" s="23" t="s">
        <v>84</v>
      </c>
      <c r="T678" s="23">
        <v>2014</v>
      </c>
      <c r="U678" s="23"/>
      <c r="V678" s="23"/>
      <c r="W678" s="77">
        <v>44621</v>
      </c>
      <c r="X678" s="77">
        <v>44621</v>
      </c>
      <c r="Y678" s="77">
        <v>44621</v>
      </c>
      <c r="Z678" s="55" t="str">
        <f t="shared" ca="1" si="48"/>
        <v>3 Tahun 7 Bulan 30 Hari</v>
      </c>
      <c r="AA678" s="55" t="s">
        <v>1331</v>
      </c>
      <c r="AB678" s="56">
        <v>33110</v>
      </c>
      <c r="AC678" s="32" t="s">
        <v>3174</v>
      </c>
      <c r="AD678" s="57" t="str">
        <f t="shared" ca="1" si="45"/>
        <v xml:space="preserve">35 Tahun 2 Bulan </v>
      </c>
      <c r="AE678" s="33" t="s">
        <v>3171</v>
      </c>
      <c r="AF678" s="71"/>
      <c r="AG678" s="22" t="s">
        <v>3002</v>
      </c>
      <c r="AH678" s="22"/>
      <c r="AI678" s="22"/>
      <c r="AJ678" s="22"/>
      <c r="AK678" s="33" t="s">
        <v>485</v>
      </c>
      <c r="AL678" s="36"/>
    </row>
    <row r="679" spans="1:39" ht="14.45" customHeight="1" x14ac:dyDescent="0.25">
      <c r="A679" s="17">
        <v>35</v>
      </c>
      <c r="B679" s="78"/>
      <c r="C679" s="50" t="s">
        <v>3175</v>
      </c>
      <c r="D679" s="62" t="s">
        <v>3176</v>
      </c>
      <c r="E679" s="21" t="s">
        <v>40</v>
      </c>
      <c r="F679" s="22" t="s">
        <v>238</v>
      </c>
      <c r="G679" s="23" t="s">
        <v>3872</v>
      </c>
      <c r="H679" s="22" t="s">
        <v>305</v>
      </c>
      <c r="I679" s="22" t="s">
        <v>44</v>
      </c>
      <c r="J679" s="22" t="s">
        <v>1104</v>
      </c>
      <c r="K679" s="30"/>
      <c r="L679" s="25" t="s">
        <v>3177</v>
      </c>
      <c r="M679" s="29">
        <v>42993</v>
      </c>
      <c r="N679" s="26">
        <v>44684</v>
      </c>
      <c r="O679" s="27" t="s">
        <v>84</v>
      </c>
      <c r="P679" s="28" t="s">
        <v>3178</v>
      </c>
      <c r="Q679" s="29">
        <v>43130</v>
      </c>
      <c r="R679" s="26">
        <v>44684</v>
      </c>
      <c r="S679" s="23" t="s">
        <v>84</v>
      </c>
      <c r="T679" s="23"/>
      <c r="U679" s="23"/>
      <c r="V679" s="23"/>
      <c r="W679" s="30">
        <v>45047</v>
      </c>
      <c r="X679" s="30">
        <v>43070</v>
      </c>
      <c r="Y679" s="30">
        <v>43070</v>
      </c>
      <c r="Z679" s="31" t="str">
        <f t="shared" ca="1" si="48"/>
        <v>7 Tahun 10 Bulan 30 Hari</v>
      </c>
      <c r="AA679" s="31" t="s">
        <v>76</v>
      </c>
      <c r="AB679" s="32">
        <v>34092</v>
      </c>
      <c r="AC679" s="31" t="s">
        <v>3179</v>
      </c>
      <c r="AD679" s="22" t="str">
        <f t="shared" ca="1" si="45"/>
        <v xml:space="preserve">32 Tahun 5 Bulan </v>
      </c>
      <c r="AE679" s="33" t="s">
        <v>3171</v>
      </c>
      <c r="AF679" s="34"/>
      <c r="AG679" s="22" t="s">
        <v>3002</v>
      </c>
      <c r="AH679" s="22"/>
      <c r="AI679" s="22"/>
      <c r="AJ679" s="22"/>
      <c r="AK679" s="33" t="s">
        <v>485</v>
      </c>
      <c r="AL679" s="36"/>
    </row>
    <row r="680" spans="1:39" ht="14.45" customHeight="1" x14ac:dyDescent="0.25">
      <c r="A680" s="17">
        <v>36</v>
      </c>
      <c r="B680" s="78">
        <v>1374</v>
      </c>
      <c r="C680" s="50" t="s">
        <v>3180</v>
      </c>
      <c r="D680" s="20" t="s">
        <v>3181</v>
      </c>
      <c r="E680" s="58" t="s">
        <v>40</v>
      </c>
      <c r="F680" s="22" t="s">
        <v>41</v>
      </c>
      <c r="G680" s="23" t="s">
        <v>227</v>
      </c>
      <c r="H680" s="22" t="s">
        <v>228</v>
      </c>
      <c r="I680" s="60" t="s">
        <v>44</v>
      </c>
      <c r="J680" s="22" t="s">
        <v>1148</v>
      </c>
      <c r="K680" s="24">
        <v>45200</v>
      </c>
      <c r="L680" s="25"/>
      <c r="M680" s="26"/>
      <c r="N680" s="26"/>
      <c r="O680" s="27"/>
      <c r="P680" s="28"/>
      <c r="Q680" s="29"/>
      <c r="R680" s="26"/>
      <c r="S680" s="15" t="s">
        <v>84</v>
      </c>
      <c r="T680" s="15"/>
      <c r="U680" s="23"/>
      <c r="V680" s="23"/>
      <c r="W680" s="30">
        <v>44166</v>
      </c>
      <c r="X680" s="30">
        <v>44197</v>
      </c>
      <c r="Y680" s="30">
        <v>44197</v>
      </c>
      <c r="Z680" s="55" t="str">
        <f t="shared" ca="1" si="48"/>
        <v>4 Tahun 9 Bulan 30 Hari</v>
      </c>
      <c r="AA680" s="55" t="s">
        <v>3182</v>
      </c>
      <c r="AB680" s="56">
        <v>33547</v>
      </c>
      <c r="AC680" s="32" t="s">
        <v>3183</v>
      </c>
      <c r="AD680" s="57" t="str">
        <f t="shared" ref="AD680:AD743" ca="1" si="49">DATEDIF(AB680,TODAY(),"y")&amp;" Tahun "&amp;DATEDIF(AB680,TODAY(),"ym")&amp;" Bulan "</f>
        <v xml:space="preserve">33 Tahun 11 Bulan </v>
      </c>
      <c r="AE680" s="33" t="s">
        <v>3171</v>
      </c>
      <c r="AF680" s="71"/>
      <c r="AG680" s="22" t="s">
        <v>3002</v>
      </c>
      <c r="AH680" s="22"/>
      <c r="AI680" s="22"/>
      <c r="AJ680" s="22"/>
      <c r="AK680" s="33" t="s">
        <v>485</v>
      </c>
      <c r="AL680" s="36"/>
    </row>
    <row r="681" spans="1:39" ht="14.45" customHeight="1" x14ac:dyDescent="0.25">
      <c r="A681" s="17">
        <v>37</v>
      </c>
      <c r="B681" s="78"/>
      <c r="C681" s="50" t="s">
        <v>6164</v>
      </c>
      <c r="D681" s="20" t="s">
        <v>5865</v>
      </c>
      <c r="E681" s="21" t="s">
        <v>56</v>
      </c>
      <c r="F681" s="22" t="s">
        <v>238</v>
      </c>
      <c r="G681" s="23" t="s">
        <v>3872</v>
      </c>
      <c r="H681" s="22" t="s">
        <v>1078</v>
      </c>
      <c r="I681" s="87" t="s">
        <v>44</v>
      </c>
      <c r="J681" s="87" t="s">
        <v>3187</v>
      </c>
      <c r="K681" s="151"/>
      <c r="L681" s="53" t="s">
        <v>3184</v>
      </c>
      <c r="M681" s="26">
        <v>42969</v>
      </c>
      <c r="N681" s="26">
        <v>44578</v>
      </c>
      <c r="O681" s="27" t="s">
        <v>1214</v>
      </c>
      <c r="P681" s="53" t="s">
        <v>3185</v>
      </c>
      <c r="Q681" s="26">
        <v>43143</v>
      </c>
      <c r="R681" s="26">
        <v>44578</v>
      </c>
      <c r="S681" s="33" t="s">
        <v>3013</v>
      </c>
      <c r="T681" s="33"/>
      <c r="U681" s="33"/>
      <c r="V681" s="33"/>
      <c r="W681" s="77">
        <v>45931</v>
      </c>
      <c r="X681" s="30">
        <v>41030</v>
      </c>
      <c r="Y681" s="30">
        <v>41061</v>
      </c>
      <c r="Z681" s="31" t="str">
        <f t="shared" ca="1" si="48"/>
        <v>13 Tahun 5 Bulan 30 Hari</v>
      </c>
      <c r="AA681" s="31" t="s">
        <v>1540</v>
      </c>
      <c r="AB681" s="32">
        <v>32159</v>
      </c>
      <c r="AC681" s="31" t="s">
        <v>5866</v>
      </c>
      <c r="AD681" s="22" t="str">
        <f t="shared" ca="1" si="49"/>
        <v xml:space="preserve">37 Tahun 9 Bulan </v>
      </c>
      <c r="AE681" s="33" t="s">
        <v>1106</v>
      </c>
      <c r="AF681" s="34"/>
      <c r="AG681" s="22" t="s">
        <v>3002</v>
      </c>
      <c r="AH681" s="22"/>
      <c r="AI681" s="22"/>
      <c r="AJ681" s="22"/>
      <c r="AK681" s="33" t="s">
        <v>485</v>
      </c>
      <c r="AL681" s="36"/>
    </row>
    <row r="682" spans="1:39" ht="14.45" customHeight="1" x14ac:dyDescent="0.25">
      <c r="A682" s="17">
        <v>38</v>
      </c>
      <c r="B682" s="18"/>
      <c r="C682" s="50" t="s">
        <v>6165</v>
      </c>
      <c r="D682" s="20" t="s">
        <v>3186</v>
      </c>
      <c r="E682" s="21" t="s">
        <v>56</v>
      </c>
      <c r="F682" s="22" t="s">
        <v>238</v>
      </c>
      <c r="G682" s="8" t="s">
        <v>3872</v>
      </c>
      <c r="H682" s="22" t="s">
        <v>1078</v>
      </c>
      <c r="I682" s="22" t="s">
        <v>44</v>
      </c>
      <c r="J682" s="22" t="s">
        <v>3187</v>
      </c>
      <c r="K682" s="30"/>
      <c r="L682" s="53" t="s">
        <v>3188</v>
      </c>
      <c r="M682" s="26">
        <v>41990</v>
      </c>
      <c r="N682" s="26">
        <v>43616</v>
      </c>
      <c r="O682" s="112" t="s">
        <v>1324</v>
      </c>
      <c r="P682" s="53" t="s">
        <v>3189</v>
      </c>
      <c r="Q682" s="26">
        <v>43164</v>
      </c>
      <c r="R682" s="29">
        <v>43616</v>
      </c>
      <c r="S682" s="23" t="s">
        <v>3013</v>
      </c>
      <c r="T682" s="23"/>
      <c r="U682" s="23"/>
      <c r="V682" s="23"/>
      <c r="W682" s="77">
        <v>45047</v>
      </c>
      <c r="X682" s="30">
        <v>41030</v>
      </c>
      <c r="Y682" s="30">
        <v>41518</v>
      </c>
      <c r="Z682" s="31" t="str">
        <f t="shared" ca="1" si="48"/>
        <v>13 Tahun 5 Bulan 30 Hari</v>
      </c>
      <c r="AA682" s="31" t="s">
        <v>76</v>
      </c>
      <c r="AB682" s="32">
        <v>33024</v>
      </c>
      <c r="AC682" s="31" t="s">
        <v>3190</v>
      </c>
      <c r="AD682" s="57" t="str">
        <f t="shared" ca="1" si="49"/>
        <v xml:space="preserve">35 Tahun 5 Bulan </v>
      </c>
      <c r="AE682" s="33" t="s">
        <v>1106</v>
      </c>
      <c r="AF682" s="34"/>
      <c r="AG682" s="22" t="s">
        <v>3002</v>
      </c>
      <c r="AH682" s="22"/>
      <c r="AI682" s="22"/>
      <c r="AJ682" s="22"/>
      <c r="AK682" s="33" t="s">
        <v>485</v>
      </c>
      <c r="AL682" s="36"/>
    </row>
    <row r="683" spans="1:39" ht="14.45" customHeight="1" x14ac:dyDescent="0.25">
      <c r="A683" s="17">
        <v>39</v>
      </c>
      <c r="B683" s="78"/>
      <c r="C683" s="50" t="s">
        <v>5867</v>
      </c>
      <c r="D683" s="20">
        <v>2024080763</v>
      </c>
      <c r="E683" s="21" t="s">
        <v>56</v>
      </c>
      <c r="F683" s="22" t="s">
        <v>1063</v>
      </c>
      <c r="G683" s="23" t="s">
        <v>3872</v>
      </c>
      <c r="H683" s="22" t="s">
        <v>3872</v>
      </c>
      <c r="I683" s="22"/>
      <c r="J683" s="22"/>
      <c r="K683" s="30"/>
      <c r="L683" s="53"/>
      <c r="M683" s="26"/>
      <c r="N683" s="26"/>
      <c r="O683" s="27"/>
      <c r="P683" s="53"/>
      <c r="Q683" s="26"/>
      <c r="R683" s="29"/>
      <c r="S683" s="23" t="s">
        <v>1216</v>
      </c>
      <c r="T683" s="23"/>
      <c r="U683" s="23"/>
      <c r="V683" s="23"/>
      <c r="W683" s="30"/>
      <c r="X683" s="30">
        <v>45505</v>
      </c>
      <c r="Y683" s="30">
        <v>45505</v>
      </c>
      <c r="Z683" s="31" t="str">
        <f t="shared" ca="1" si="48"/>
        <v>1 Tahun 2 Bulan 30 Hari</v>
      </c>
      <c r="AA683" s="31" t="s">
        <v>2050</v>
      </c>
      <c r="AB683" s="32">
        <v>33415</v>
      </c>
      <c r="AC683" s="31" t="s">
        <v>3191</v>
      </c>
      <c r="AD683" s="22" t="str">
        <f t="shared" ca="1" si="49"/>
        <v xml:space="preserve">34 Tahun 4 Bulan </v>
      </c>
      <c r="AE683" s="33" t="s">
        <v>1106</v>
      </c>
      <c r="AF683" s="34"/>
      <c r="AG683" s="22" t="s">
        <v>3002</v>
      </c>
      <c r="AH683" s="22"/>
      <c r="AI683" s="22"/>
      <c r="AJ683" s="22"/>
      <c r="AK683" s="33" t="s">
        <v>485</v>
      </c>
      <c r="AL683" s="36"/>
    </row>
    <row r="684" spans="1:39" ht="14.45" customHeight="1" x14ac:dyDescent="0.25">
      <c r="A684" s="17">
        <v>40</v>
      </c>
      <c r="B684" s="78"/>
      <c r="C684" s="50" t="s">
        <v>6166</v>
      </c>
      <c r="D684" s="20" t="s">
        <v>5868</v>
      </c>
      <c r="E684" s="21" t="s">
        <v>56</v>
      </c>
      <c r="F684" s="22" t="s">
        <v>238</v>
      </c>
      <c r="G684" s="23" t="s">
        <v>3872</v>
      </c>
      <c r="H684" s="22" t="s">
        <v>1078</v>
      </c>
      <c r="I684" s="22" t="s">
        <v>44</v>
      </c>
      <c r="J684" s="22" t="s">
        <v>3187</v>
      </c>
      <c r="K684" s="24"/>
      <c r="L684" s="53" t="s">
        <v>3192</v>
      </c>
      <c r="M684" s="26">
        <v>42969</v>
      </c>
      <c r="N684" s="26">
        <v>44645</v>
      </c>
      <c r="O684" s="27" t="s">
        <v>1214</v>
      </c>
      <c r="P684" s="53" t="s">
        <v>3193</v>
      </c>
      <c r="Q684" s="26">
        <v>43164</v>
      </c>
      <c r="R684" s="26">
        <v>44645</v>
      </c>
      <c r="S684" s="23" t="s">
        <v>3013</v>
      </c>
      <c r="T684" s="23"/>
      <c r="U684" s="23"/>
      <c r="V684" s="23"/>
      <c r="W684" s="30">
        <v>45931</v>
      </c>
      <c r="X684" s="30">
        <v>41030</v>
      </c>
      <c r="Y684" s="30">
        <v>41061</v>
      </c>
      <c r="Z684" s="31" t="str">
        <f t="shared" ca="1" si="48"/>
        <v>13 Tahun 5 Bulan 30 Hari</v>
      </c>
      <c r="AA684" s="31" t="s">
        <v>76</v>
      </c>
      <c r="AB684" s="32">
        <v>32593</v>
      </c>
      <c r="AC684" s="32" t="s">
        <v>5869</v>
      </c>
      <c r="AD684" s="22" t="str">
        <f t="shared" ca="1" si="49"/>
        <v xml:space="preserve">36 Tahun 7 Bulan </v>
      </c>
      <c r="AE684" s="33" t="s">
        <v>1106</v>
      </c>
      <c r="AF684" s="34"/>
      <c r="AG684" s="22" t="s">
        <v>3002</v>
      </c>
      <c r="AH684" s="22"/>
      <c r="AI684" s="22"/>
      <c r="AJ684" s="22"/>
      <c r="AK684" s="33" t="s">
        <v>485</v>
      </c>
      <c r="AL684" s="36"/>
    </row>
    <row r="685" spans="1:39" ht="14.45" customHeight="1" x14ac:dyDescent="0.25">
      <c r="A685" s="17">
        <v>41</v>
      </c>
      <c r="B685" s="78"/>
      <c r="C685" s="50" t="s">
        <v>5870</v>
      </c>
      <c r="D685" s="20" t="s">
        <v>3194</v>
      </c>
      <c r="E685" s="21" t="s">
        <v>56</v>
      </c>
      <c r="F685" s="22" t="s">
        <v>41</v>
      </c>
      <c r="G685" s="23" t="s">
        <v>102</v>
      </c>
      <c r="H685" s="22" t="s">
        <v>103</v>
      </c>
      <c r="I685" s="22" t="s">
        <v>44</v>
      </c>
      <c r="J685" s="22" t="s">
        <v>3056</v>
      </c>
      <c r="K685" s="24">
        <v>45200</v>
      </c>
      <c r="L685" s="53" t="s">
        <v>3195</v>
      </c>
      <c r="M685" s="26">
        <v>41990</v>
      </c>
      <c r="N685" s="26">
        <v>43689</v>
      </c>
      <c r="O685" s="27" t="s">
        <v>1324</v>
      </c>
      <c r="P685" s="53" t="s">
        <v>3196</v>
      </c>
      <c r="Q685" s="26">
        <v>42108</v>
      </c>
      <c r="R685" s="26">
        <v>43689</v>
      </c>
      <c r="S685" s="23" t="s">
        <v>3013</v>
      </c>
      <c r="T685" s="23"/>
      <c r="U685" s="23"/>
      <c r="V685" s="23"/>
      <c r="W685" s="30">
        <v>40513</v>
      </c>
      <c r="X685" s="30">
        <v>40664</v>
      </c>
      <c r="Y685" s="30">
        <v>40664</v>
      </c>
      <c r="Z685" s="31" t="str">
        <f ca="1">DATEDIF(W685,TODAY(),"y")&amp;" Tahun "&amp;DATEDIF(W685,TODAY(),"ym")&amp;" Bulan "&amp;DATEDIF(W685,TODAY(),"md")&amp;" Hari"</f>
        <v>14 Tahun 10 Bulan 30 Hari</v>
      </c>
      <c r="AA685" s="31" t="s">
        <v>97</v>
      </c>
      <c r="AB685" s="32">
        <v>32732</v>
      </c>
      <c r="AC685" s="32" t="s">
        <v>3197</v>
      </c>
      <c r="AD685" s="22" t="str">
        <f t="shared" ca="1" si="49"/>
        <v xml:space="preserve">36 Tahun 2 Bulan </v>
      </c>
      <c r="AE685" s="33" t="s">
        <v>1106</v>
      </c>
      <c r="AF685" s="34"/>
      <c r="AG685" s="22" t="s">
        <v>3002</v>
      </c>
      <c r="AH685" s="58"/>
      <c r="AI685" s="58"/>
      <c r="AJ685" s="58"/>
      <c r="AK685" s="33"/>
      <c r="AL685" s="36"/>
    </row>
    <row r="686" spans="1:39" ht="14.45" customHeight="1" x14ac:dyDescent="0.25">
      <c r="A686" s="17">
        <v>42</v>
      </c>
      <c r="B686" s="78"/>
      <c r="C686" s="50" t="s">
        <v>3198</v>
      </c>
      <c r="D686" s="62" t="s">
        <v>3199</v>
      </c>
      <c r="E686" s="52" t="s">
        <v>40</v>
      </c>
      <c r="F686" s="58" t="s">
        <v>238</v>
      </c>
      <c r="G686" s="23" t="s">
        <v>3872</v>
      </c>
      <c r="H686" s="22" t="s">
        <v>1078</v>
      </c>
      <c r="I686" s="22" t="s">
        <v>44</v>
      </c>
      <c r="J686" s="22" t="s">
        <v>1293</v>
      </c>
      <c r="K686" s="30"/>
      <c r="L686" s="25" t="s">
        <v>3200</v>
      </c>
      <c r="M686" s="29">
        <v>42131</v>
      </c>
      <c r="N686" s="26">
        <v>44003</v>
      </c>
      <c r="O686" s="27" t="s">
        <v>148</v>
      </c>
      <c r="P686" s="28" t="s">
        <v>3201</v>
      </c>
      <c r="Q686" s="29">
        <v>43131</v>
      </c>
      <c r="R686" s="26">
        <v>44003</v>
      </c>
      <c r="S686" s="23" t="s">
        <v>1172</v>
      </c>
      <c r="T686" s="23"/>
      <c r="U686" s="23"/>
      <c r="V686" s="23"/>
      <c r="W686" s="30">
        <v>45047</v>
      </c>
      <c r="X686" s="30">
        <v>43070</v>
      </c>
      <c r="Y686" s="30">
        <v>43070</v>
      </c>
      <c r="Z686" s="55" t="str">
        <f t="shared" ref="Z686:Z693" ca="1" si="50">DATEDIF(X686,TODAY(),"y")&amp;" Tahun "&amp;DATEDIF(X686,TODAY(),"ym")&amp;" Bulan "&amp;DATEDIF(X686,TODAY(),"md")&amp;" Hari"</f>
        <v>7 Tahun 10 Bulan 30 Hari</v>
      </c>
      <c r="AA686" s="55" t="s">
        <v>76</v>
      </c>
      <c r="AB686" s="56">
        <v>33410</v>
      </c>
      <c r="AC686" s="31" t="s">
        <v>3202</v>
      </c>
      <c r="AD686" s="57" t="str">
        <f t="shared" ca="1" si="49"/>
        <v xml:space="preserve">34 Tahun 4 Bulan </v>
      </c>
      <c r="AE686" s="33" t="s">
        <v>1106</v>
      </c>
      <c r="AF686" s="71"/>
      <c r="AG686" s="22" t="s">
        <v>3002</v>
      </c>
      <c r="AH686" s="58"/>
      <c r="AI686" s="58"/>
      <c r="AJ686" s="58"/>
      <c r="AK686" s="33"/>
      <c r="AL686" s="36"/>
    </row>
    <row r="687" spans="1:39" ht="14.45" customHeight="1" x14ac:dyDescent="0.25">
      <c r="A687" s="17">
        <v>43</v>
      </c>
      <c r="B687" s="78"/>
      <c r="C687" s="50" t="s">
        <v>3203</v>
      </c>
      <c r="D687" s="62">
        <v>2023110684</v>
      </c>
      <c r="E687" s="21" t="s">
        <v>56</v>
      </c>
      <c r="F687" s="22" t="s">
        <v>1063</v>
      </c>
      <c r="G687" s="23" t="s">
        <v>3872</v>
      </c>
      <c r="H687" s="22" t="s">
        <v>3872</v>
      </c>
      <c r="I687" s="22"/>
      <c r="J687" s="22"/>
      <c r="K687" s="30"/>
      <c r="L687" s="25"/>
      <c r="M687" s="29"/>
      <c r="N687" s="26"/>
      <c r="O687" s="27"/>
      <c r="P687" s="28"/>
      <c r="Q687" s="29"/>
      <c r="R687" s="26"/>
      <c r="S687" s="23" t="s">
        <v>84</v>
      </c>
      <c r="T687" s="23">
        <v>2018</v>
      </c>
      <c r="U687" s="23"/>
      <c r="V687" s="23"/>
      <c r="W687" s="30"/>
      <c r="X687" s="30">
        <v>45231</v>
      </c>
      <c r="Y687" s="30">
        <v>45231</v>
      </c>
      <c r="Z687" s="31" t="str">
        <f t="shared" ca="1" si="50"/>
        <v>1 Tahun 11 Bulan 30 Hari</v>
      </c>
      <c r="AA687" s="31" t="s">
        <v>297</v>
      </c>
      <c r="AB687" s="32">
        <v>34598</v>
      </c>
      <c r="AC687" s="31" t="s">
        <v>3204</v>
      </c>
      <c r="AD687" s="22" t="str">
        <f t="shared" ca="1" si="49"/>
        <v xml:space="preserve">31 Tahun 1 Bulan </v>
      </c>
      <c r="AE687" s="33" t="s">
        <v>1106</v>
      </c>
      <c r="AF687" s="34"/>
      <c r="AG687" s="22" t="s">
        <v>3002</v>
      </c>
      <c r="AH687" s="22"/>
      <c r="AI687" s="22"/>
      <c r="AJ687" s="22"/>
      <c r="AK687" s="33" t="s">
        <v>314</v>
      </c>
      <c r="AL687" s="36"/>
      <c r="AM687" s="14"/>
    </row>
    <row r="688" spans="1:39" ht="14.45" customHeight="1" x14ac:dyDescent="0.25">
      <c r="A688" s="17">
        <v>44</v>
      </c>
      <c r="B688" s="78"/>
      <c r="C688" s="50" t="s">
        <v>3205</v>
      </c>
      <c r="D688" s="62">
        <v>2023110687</v>
      </c>
      <c r="E688" s="21" t="s">
        <v>40</v>
      </c>
      <c r="F688" s="22" t="s">
        <v>1063</v>
      </c>
      <c r="G688" s="23" t="s">
        <v>3872</v>
      </c>
      <c r="H688" s="22" t="s">
        <v>3872</v>
      </c>
      <c r="I688" s="22"/>
      <c r="J688" s="22"/>
      <c r="K688" s="30"/>
      <c r="L688" s="25"/>
      <c r="M688" s="29"/>
      <c r="N688" s="26"/>
      <c r="O688" s="27"/>
      <c r="P688" s="28"/>
      <c r="Q688" s="29"/>
      <c r="R688" s="26"/>
      <c r="S688" s="23" t="s">
        <v>84</v>
      </c>
      <c r="T688" s="23">
        <v>2015</v>
      </c>
      <c r="U688" s="23"/>
      <c r="V688" s="23"/>
      <c r="W688" s="30"/>
      <c r="X688" s="30">
        <v>45231</v>
      </c>
      <c r="Y688" s="30">
        <v>45231</v>
      </c>
      <c r="Z688" s="31" t="str">
        <f t="shared" ca="1" si="50"/>
        <v>1 Tahun 11 Bulan 30 Hari</v>
      </c>
      <c r="AA688" s="31" t="s">
        <v>128</v>
      </c>
      <c r="AB688" s="32">
        <v>33590</v>
      </c>
      <c r="AC688" s="31" t="s">
        <v>3206</v>
      </c>
      <c r="AD688" s="22" t="str">
        <f t="shared" ca="1" si="49"/>
        <v xml:space="preserve">33 Tahun 10 Bulan </v>
      </c>
      <c r="AE688" s="33" t="s">
        <v>1106</v>
      </c>
      <c r="AF688" s="34"/>
      <c r="AG688" s="22" t="s">
        <v>3002</v>
      </c>
      <c r="AH688" s="58"/>
      <c r="AI688" s="58"/>
      <c r="AJ688" s="58"/>
      <c r="AK688" s="33" t="s">
        <v>676</v>
      </c>
      <c r="AL688" s="36"/>
    </row>
    <row r="689" spans="1:39" ht="14.45" customHeight="1" x14ac:dyDescent="0.25">
      <c r="A689" s="17">
        <v>45</v>
      </c>
      <c r="B689" s="78"/>
      <c r="C689" s="50" t="s">
        <v>3207</v>
      </c>
      <c r="D689" s="62">
        <v>2023110688</v>
      </c>
      <c r="E689" s="21" t="s">
        <v>56</v>
      </c>
      <c r="F689" s="22" t="s">
        <v>1063</v>
      </c>
      <c r="G689" s="23" t="s">
        <v>3872</v>
      </c>
      <c r="H689" s="22" t="s">
        <v>3872</v>
      </c>
      <c r="I689" s="22"/>
      <c r="J689" s="22"/>
      <c r="K689" s="30"/>
      <c r="L689" s="25"/>
      <c r="M689" s="29"/>
      <c r="N689" s="26"/>
      <c r="O689" s="27"/>
      <c r="P689" s="28"/>
      <c r="Q689" s="29"/>
      <c r="R689" s="26"/>
      <c r="S689" s="23" t="s">
        <v>1172</v>
      </c>
      <c r="T689" s="23">
        <v>2015</v>
      </c>
      <c r="U689" s="23"/>
      <c r="V689" s="23"/>
      <c r="W689" s="30"/>
      <c r="X689" s="30">
        <v>45231</v>
      </c>
      <c r="Y689" s="30">
        <v>45231</v>
      </c>
      <c r="Z689" s="31" t="str">
        <f t="shared" ca="1" si="50"/>
        <v>1 Tahun 11 Bulan 30 Hari</v>
      </c>
      <c r="AA689" s="31" t="s">
        <v>76</v>
      </c>
      <c r="AB689" s="32">
        <v>34465</v>
      </c>
      <c r="AC689" s="31" t="s">
        <v>3208</v>
      </c>
      <c r="AD689" s="22" t="str">
        <f t="shared" ca="1" si="49"/>
        <v xml:space="preserve">31 Tahun 5 Bulan </v>
      </c>
      <c r="AE689" s="33" t="s">
        <v>1106</v>
      </c>
      <c r="AF689" s="34" t="s">
        <v>1907</v>
      </c>
      <c r="AG689" s="22" t="s">
        <v>3002</v>
      </c>
      <c r="AH689" s="22"/>
      <c r="AI689" s="22"/>
      <c r="AJ689" s="22"/>
      <c r="AK689" s="33"/>
      <c r="AL689" s="36"/>
    </row>
    <row r="690" spans="1:39" ht="14.45" customHeight="1" x14ac:dyDescent="0.25">
      <c r="A690" s="17">
        <v>46</v>
      </c>
      <c r="B690" s="78"/>
      <c r="C690" s="50" t="s">
        <v>3209</v>
      </c>
      <c r="D690" s="62">
        <v>2023120742</v>
      </c>
      <c r="E690" s="21" t="s">
        <v>40</v>
      </c>
      <c r="F690" s="22" t="s">
        <v>1063</v>
      </c>
      <c r="G690" s="23" t="s">
        <v>3872</v>
      </c>
      <c r="H690" s="22" t="s">
        <v>3872</v>
      </c>
      <c r="I690" s="22"/>
      <c r="J690" s="22"/>
      <c r="K690" s="30"/>
      <c r="L690" s="25"/>
      <c r="M690" s="29"/>
      <c r="N690" s="26"/>
      <c r="O690" s="27"/>
      <c r="P690" s="28"/>
      <c r="Q690" s="29"/>
      <c r="R690" s="26"/>
      <c r="S690" s="23" t="s">
        <v>2575</v>
      </c>
      <c r="T690" s="23"/>
      <c r="U690" s="23"/>
      <c r="V690" s="23"/>
      <c r="W690" s="30"/>
      <c r="X690" s="30">
        <v>45261</v>
      </c>
      <c r="Y690" s="30">
        <v>45261</v>
      </c>
      <c r="Z690" s="31" t="str">
        <f t="shared" ca="1" si="50"/>
        <v>1 Tahun 10 Bulan 30 Hari</v>
      </c>
      <c r="AA690" s="31" t="s">
        <v>76</v>
      </c>
      <c r="AB690" s="32">
        <v>30670</v>
      </c>
      <c r="AC690" s="31" t="s">
        <v>3210</v>
      </c>
      <c r="AD690" s="22" t="str">
        <f t="shared" ca="1" si="49"/>
        <v xml:space="preserve">41 Tahun 10 Bulan </v>
      </c>
      <c r="AE690" s="33" t="s">
        <v>1341</v>
      </c>
      <c r="AF690" s="34"/>
      <c r="AG690" s="22" t="s">
        <v>3002</v>
      </c>
      <c r="AH690" s="22"/>
      <c r="AI690" s="22"/>
      <c r="AJ690" s="22"/>
      <c r="AK690" s="33" t="s">
        <v>314</v>
      </c>
      <c r="AL690" s="36"/>
      <c r="AM690" s="14"/>
    </row>
    <row r="691" spans="1:39" ht="14.45" customHeight="1" x14ac:dyDescent="0.25">
      <c r="A691" s="17">
        <v>47</v>
      </c>
      <c r="B691" s="78"/>
      <c r="C691" s="50" t="s">
        <v>3211</v>
      </c>
      <c r="D691" s="62">
        <v>2023110682</v>
      </c>
      <c r="E691" s="21" t="s">
        <v>56</v>
      </c>
      <c r="F691" s="22" t="s">
        <v>1063</v>
      </c>
      <c r="G691" s="23" t="s">
        <v>3872</v>
      </c>
      <c r="H691" s="22" t="s">
        <v>3872</v>
      </c>
      <c r="I691" s="22"/>
      <c r="J691" s="22"/>
      <c r="K691" s="30"/>
      <c r="L691" s="25"/>
      <c r="M691" s="29"/>
      <c r="N691" s="26"/>
      <c r="O691" s="27"/>
      <c r="P691" s="28"/>
      <c r="Q691" s="29"/>
      <c r="R691" s="26"/>
      <c r="S691" s="23" t="s">
        <v>84</v>
      </c>
      <c r="T691" s="23">
        <v>2021</v>
      </c>
      <c r="U691" s="23"/>
      <c r="V691" s="23"/>
      <c r="W691" s="30"/>
      <c r="X691" s="30">
        <v>45231</v>
      </c>
      <c r="Y691" s="30">
        <v>45231</v>
      </c>
      <c r="Z691" s="31" t="str">
        <f t="shared" ca="1" si="50"/>
        <v>1 Tahun 11 Bulan 30 Hari</v>
      </c>
      <c r="AA691" s="31" t="s">
        <v>128</v>
      </c>
      <c r="AB691" s="32">
        <v>35804</v>
      </c>
      <c r="AC691" s="31" t="s">
        <v>3212</v>
      </c>
      <c r="AD691" s="22" t="str">
        <f t="shared" ca="1" si="49"/>
        <v xml:space="preserve">27 Tahun 9 Bulan </v>
      </c>
      <c r="AE691" s="33" t="s">
        <v>1106</v>
      </c>
      <c r="AF691" s="34"/>
      <c r="AG691" s="22" t="s">
        <v>3002</v>
      </c>
      <c r="AH691" s="22"/>
      <c r="AI691" s="22"/>
      <c r="AJ691" s="22"/>
      <c r="AK691" s="33" t="s">
        <v>1421</v>
      </c>
      <c r="AL691" s="36"/>
      <c r="AM691" s="14"/>
    </row>
    <row r="692" spans="1:39" ht="14.45" customHeight="1" x14ac:dyDescent="0.25">
      <c r="A692" s="17">
        <v>48</v>
      </c>
      <c r="B692" s="18"/>
      <c r="C692" s="50" t="s">
        <v>5871</v>
      </c>
      <c r="D692" s="20" t="s">
        <v>3213</v>
      </c>
      <c r="E692" s="21" t="s">
        <v>56</v>
      </c>
      <c r="F692" s="22" t="s">
        <v>192</v>
      </c>
      <c r="G692" s="23" t="s">
        <v>227</v>
      </c>
      <c r="H692" s="22" t="s">
        <v>228</v>
      </c>
      <c r="I692" s="22" t="s">
        <v>155</v>
      </c>
      <c r="J692" s="22" t="s">
        <v>1104</v>
      </c>
      <c r="K692" s="24" t="s">
        <v>195</v>
      </c>
      <c r="L692" s="22"/>
      <c r="M692" s="22"/>
      <c r="N692" s="22"/>
      <c r="O692" s="22"/>
      <c r="P692" s="22"/>
      <c r="Q692" s="22"/>
      <c r="R692" s="22"/>
      <c r="S692" s="23" t="s">
        <v>84</v>
      </c>
      <c r="T692" s="23"/>
      <c r="U692" s="23"/>
      <c r="V692" s="23"/>
      <c r="W692" s="69">
        <v>45809</v>
      </c>
      <c r="X692" s="69">
        <v>45810</v>
      </c>
      <c r="Y692" s="69">
        <v>45810</v>
      </c>
      <c r="Z692" s="31" t="str">
        <f t="shared" ca="1" si="50"/>
        <v>0 Tahun 4 Bulan 29 Hari</v>
      </c>
      <c r="AA692" s="23" t="s">
        <v>203</v>
      </c>
      <c r="AB692" s="32">
        <v>34060</v>
      </c>
      <c r="AC692" s="32" t="s">
        <v>3214</v>
      </c>
      <c r="AD692" s="22" t="str">
        <f t="shared" ca="1" si="49"/>
        <v xml:space="preserve">32 Tahun 6 Bulan </v>
      </c>
      <c r="AE692" s="33" t="s">
        <v>1106</v>
      </c>
      <c r="AF692" s="34" t="s">
        <v>1907</v>
      </c>
      <c r="AG692" s="22" t="s">
        <v>3002</v>
      </c>
      <c r="AH692" s="22"/>
      <c r="AI692" s="22"/>
      <c r="AJ692" s="22"/>
      <c r="AK692" s="33"/>
      <c r="AL692" s="36"/>
    </row>
    <row r="693" spans="1:39" ht="14.45" customHeight="1" x14ac:dyDescent="0.25">
      <c r="A693" s="17">
        <v>49</v>
      </c>
      <c r="B693" s="18"/>
      <c r="C693" s="50" t="s">
        <v>5872</v>
      </c>
      <c r="D693" s="20" t="s">
        <v>3215</v>
      </c>
      <c r="E693" s="21" t="s">
        <v>56</v>
      </c>
      <c r="F693" s="22" t="s">
        <v>192</v>
      </c>
      <c r="G693" s="23" t="s">
        <v>227</v>
      </c>
      <c r="H693" s="22" t="s">
        <v>228</v>
      </c>
      <c r="I693" s="22" t="s">
        <v>155</v>
      </c>
      <c r="J693" s="22" t="s">
        <v>1104</v>
      </c>
      <c r="K693" s="24" t="s">
        <v>195</v>
      </c>
      <c r="L693" s="22"/>
      <c r="M693" s="22"/>
      <c r="N693" s="22"/>
      <c r="O693" s="22"/>
      <c r="P693" s="22"/>
      <c r="Q693" s="22"/>
      <c r="R693" s="22"/>
      <c r="S693" s="23" t="s">
        <v>84</v>
      </c>
      <c r="T693" s="23"/>
      <c r="U693" s="23"/>
      <c r="V693" s="23"/>
      <c r="W693" s="69">
        <v>45809</v>
      </c>
      <c r="X693" s="69">
        <v>45810</v>
      </c>
      <c r="Y693" s="69">
        <v>45810</v>
      </c>
      <c r="Z693" s="31" t="str">
        <f t="shared" ca="1" si="50"/>
        <v>0 Tahun 4 Bulan 29 Hari</v>
      </c>
      <c r="AA693" s="23" t="s">
        <v>203</v>
      </c>
      <c r="AB693" s="32">
        <v>36459</v>
      </c>
      <c r="AC693" s="32" t="s">
        <v>3216</v>
      </c>
      <c r="AD693" s="22" t="str">
        <f t="shared" ca="1" si="49"/>
        <v xml:space="preserve">26 Tahun 0 Bulan </v>
      </c>
      <c r="AE693" s="33" t="s">
        <v>1106</v>
      </c>
      <c r="AF693" s="34"/>
      <c r="AG693" s="22" t="s">
        <v>3002</v>
      </c>
      <c r="AH693" s="22"/>
      <c r="AI693" s="22"/>
      <c r="AJ693" s="22"/>
      <c r="AK693" s="33"/>
      <c r="AL693" s="36"/>
    </row>
    <row r="694" spans="1:39" ht="14.45" customHeight="1" x14ac:dyDescent="0.25">
      <c r="A694" s="17">
        <v>50</v>
      </c>
      <c r="B694" s="78"/>
      <c r="C694" s="50" t="s">
        <v>3218</v>
      </c>
      <c r="D694" s="20" t="s">
        <v>3219</v>
      </c>
      <c r="E694" s="21" t="s">
        <v>40</v>
      </c>
      <c r="F694" s="22" t="s">
        <v>41</v>
      </c>
      <c r="G694" s="33" t="s">
        <v>137</v>
      </c>
      <c r="H694" s="22" t="s">
        <v>138</v>
      </c>
      <c r="I694" s="22" t="s">
        <v>44</v>
      </c>
      <c r="J694" s="22" t="s">
        <v>1148</v>
      </c>
      <c r="K694" s="24">
        <v>44835</v>
      </c>
      <c r="L694" s="53" t="s">
        <v>3220</v>
      </c>
      <c r="M694" s="26">
        <v>43117</v>
      </c>
      <c r="N694" s="26">
        <v>45242</v>
      </c>
      <c r="O694" s="27" t="s">
        <v>148</v>
      </c>
      <c r="P694" s="53" t="s">
        <v>3221</v>
      </c>
      <c r="Q694" s="26">
        <v>43367</v>
      </c>
      <c r="R694" s="26">
        <v>45242</v>
      </c>
      <c r="S694" s="23" t="s">
        <v>267</v>
      </c>
      <c r="T694" s="23"/>
      <c r="U694" s="23"/>
      <c r="V694" s="23"/>
      <c r="W694" s="30">
        <v>39448</v>
      </c>
      <c r="X694" s="30">
        <v>39448</v>
      </c>
      <c r="Y694" s="22"/>
      <c r="Z694" s="31" t="str">
        <f ca="1">DATEDIF(W694,TODAY(),"y")&amp;" Tahun "&amp;DATEDIF(W694,TODAY(),"ym")&amp;" Bulan "&amp;DATEDIF(W694,TODAY(),"md")&amp;" Hari"</f>
        <v>17 Tahun 9 Bulan 30 Hari</v>
      </c>
      <c r="AA694" s="31" t="s">
        <v>1331</v>
      </c>
      <c r="AB694" s="32">
        <v>30267</v>
      </c>
      <c r="AC694" s="32" t="s">
        <v>3222</v>
      </c>
      <c r="AD694" s="22" t="str">
        <f t="shared" ca="1" si="49"/>
        <v xml:space="preserve">42 Tahun 11 Bulan </v>
      </c>
      <c r="AE694" s="33" t="s">
        <v>1158</v>
      </c>
      <c r="AF694" s="34"/>
      <c r="AG694" s="22" t="s">
        <v>3217</v>
      </c>
      <c r="AH694" s="58"/>
      <c r="AI694" s="58"/>
      <c r="AJ694" s="58"/>
      <c r="AK694" s="33" t="s">
        <v>314</v>
      </c>
      <c r="AL694" s="36"/>
    </row>
    <row r="695" spans="1:39" ht="14.45" customHeight="1" x14ac:dyDescent="0.25">
      <c r="A695" s="17">
        <v>51</v>
      </c>
      <c r="B695" s="134"/>
      <c r="C695" s="50" t="s">
        <v>5873</v>
      </c>
      <c r="D695" s="20" t="s">
        <v>3223</v>
      </c>
      <c r="E695" s="58" t="s">
        <v>40</v>
      </c>
      <c r="F695" s="58" t="s">
        <v>238</v>
      </c>
      <c r="G695" s="89" t="s">
        <v>3872</v>
      </c>
      <c r="H695" s="22" t="s">
        <v>305</v>
      </c>
      <c r="I695" s="58" t="s">
        <v>44</v>
      </c>
      <c r="J695" s="22" t="s">
        <v>1104</v>
      </c>
      <c r="K695" s="22"/>
      <c r="L695" s="25"/>
      <c r="M695" s="26"/>
      <c r="N695" s="26"/>
      <c r="O695" s="27"/>
      <c r="P695" s="28"/>
      <c r="Q695" s="29"/>
      <c r="R695" s="26"/>
      <c r="S695" s="23" t="s">
        <v>84</v>
      </c>
      <c r="T695" s="23"/>
      <c r="U695" s="23"/>
      <c r="V695" s="23"/>
      <c r="W695" s="77">
        <v>45047</v>
      </c>
      <c r="X695" s="30">
        <v>45048</v>
      </c>
      <c r="Y695" s="30">
        <v>45048</v>
      </c>
      <c r="Z695" s="55" t="str">
        <f ca="1">DATEDIF(X695,TODAY(),"y")&amp;" Tahun "&amp;DATEDIF(X695,TODAY(),"ym")&amp;" Bulan "&amp;DATEDIF(X695,TODAY(),"md")&amp;" Hari"</f>
        <v>2 Tahun 5 Bulan 29 Hari</v>
      </c>
      <c r="AA695" s="55" t="s">
        <v>76</v>
      </c>
      <c r="AB695" s="56">
        <v>33166</v>
      </c>
      <c r="AC695" s="31" t="s">
        <v>3224</v>
      </c>
      <c r="AD695" s="57" t="str">
        <f t="shared" ca="1" si="49"/>
        <v xml:space="preserve">35 Tahun 0 Bulan </v>
      </c>
      <c r="AE695" s="33" t="s">
        <v>1106</v>
      </c>
      <c r="AF695" s="71"/>
      <c r="AG695" s="22" t="s">
        <v>3217</v>
      </c>
      <c r="AH695" s="22"/>
      <c r="AI695" s="22"/>
      <c r="AJ695" s="22"/>
      <c r="AK695" s="33"/>
      <c r="AL695" s="36"/>
    </row>
    <row r="696" spans="1:39" ht="14.45" customHeight="1" x14ac:dyDescent="0.25">
      <c r="A696" s="17">
        <v>52</v>
      </c>
      <c r="B696" s="78"/>
      <c r="C696" s="50" t="s">
        <v>5874</v>
      </c>
      <c r="D696" s="20" t="s">
        <v>3225</v>
      </c>
      <c r="E696" s="52" t="s">
        <v>56</v>
      </c>
      <c r="F696" s="22" t="s">
        <v>238</v>
      </c>
      <c r="G696" s="33" t="s">
        <v>3872</v>
      </c>
      <c r="H696" s="22" t="s">
        <v>1078</v>
      </c>
      <c r="I696" s="22" t="s">
        <v>44</v>
      </c>
      <c r="J696" s="22" t="s">
        <v>1293</v>
      </c>
      <c r="K696" s="22"/>
      <c r="L696" s="25" t="s">
        <v>3226</v>
      </c>
      <c r="M696" s="190">
        <v>43117</v>
      </c>
      <c r="N696" s="26">
        <v>45006</v>
      </c>
      <c r="O696" s="27" t="s">
        <v>148</v>
      </c>
      <c r="P696" s="53" t="s">
        <v>3227</v>
      </c>
      <c r="Q696" s="190">
        <v>43305</v>
      </c>
      <c r="R696" s="29">
        <v>45006</v>
      </c>
      <c r="S696" s="23" t="s">
        <v>1167</v>
      </c>
      <c r="T696" s="23"/>
      <c r="U696" s="59"/>
      <c r="V696" s="23"/>
      <c r="W696" s="77">
        <v>45047</v>
      </c>
      <c r="X696" s="30">
        <v>38899</v>
      </c>
      <c r="Y696" s="82">
        <v>38899</v>
      </c>
      <c r="Z696" s="31" t="str">
        <f ca="1">DATEDIF(X696,TODAY(),"y")&amp;" Tahun "&amp;DATEDIF(X696,TODAY(),"ym")&amp;" Bulan "&amp;DATEDIF(X696,TODAY(),"md")&amp;" Hari"</f>
        <v>19 Tahun 3 Bulan 30 Hari</v>
      </c>
      <c r="AA696" s="55" t="s">
        <v>76</v>
      </c>
      <c r="AB696" s="32">
        <v>30003</v>
      </c>
      <c r="AC696" s="55" t="s">
        <v>3228</v>
      </c>
      <c r="AD696" s="22" t="str">
        <f t="shared" ca="1" si="49"/>
        <v xml:space="preserve">43 Tahun 8 Bulan </v>
      </c>
      <c r="AE696" s="33" t="s">
        <v>1106</v>
      </c>
      <c r="AF696" s="71"/>
      <c r="AG696" s="22" t="s">
        <v>3217</v>
      </c>
      <c r="AH696" s="22"/>
      <c r="AI696" s="22"/>
      <c r="AJ696" s="22"/>
      <c r="AK696" s="33"/>
      <c r="AL696" s="36"/>
    </row>
    <row r="697" spans="1:39" ht="14.45" customHeight="1" x14ac:dyDescent="0.25">
      <c r="A697" s="17">
        <v>53</v>
      </c>
      <c r="B697" s="78"/>
      <c r="C697" s="50" t="s">
        <v>3229</v>
      </c>
      <c r="D697" s="20" t="s">
        <v>3230</v>
      </c>
      <c r="E697" s="52" t="s">
        <v>56</v>
      </c>
      <c r="F697" s="22" t="s">
        <v>41</v>
      </c>
      <c r="G697" s="23" t="s">
        <v>102</v>
      </c>
      <c r="H697" s="22" t="s">
        <v>103</v>
      </c>
      <c r="I697" s="22" t="s">
        <v>44</v>
      </c>
      <c r="J697" s="22" t="s">
        <v>1166</v>
      </c>
      <c r="K697" s="24">
        <v>45566</v>
      </c>
      <c r="L697" s="53" t="s">
        <v>3231</v>
      </c>
      <c r="M697" s="26">
        <v>43117</v>
      </c>
      <c r="N697" s="26">
        <v>45036</v>
      </c>
      <c r="O697" s="27" t="s">
        <v>148</v>
      </c>
      <c r="P697" s="53" t="s">
        <v>3232</v>
      </c>
      <c r="Q697" s="29">
        <v>43052</v>
      </c>
      <c r="R697" s="26">
        <v>43232</v>
      </c>
      <c r="S697" s="23" t="s">
        <v>1167</v>
      </c>
      <c r="T697" s="23"/>
      <c r="U697" s="23"/>
      <c r="V697" s="23"/>
      <c r="W697" s="30">
        <v>41244</v>
      </c>
      <c r="X697" s="30">
        <v>39424</v>
      </c>
      <c r="Y697" s="30">
        <v>41395</v>
      </c>
      <c r="Z697" s="55" t="str">
        <f ca="1">DATEDIF(W697,TODAY(),"y")&amp;" Tahun "&amp;DATEDIF(W697,TODAY(),"ym")&amp;" Bulan "&amp;DATEDIF(W697,TODAY(),"md")&amp;" Hari"</f>
        <v>12 Tahun 10 Bulan 30 Hari</v>
      </c>
      <c r="AA697" s="55" t="s">
        <v>76</v>
      </c>
      <c r="AB697" s="56">
        <v>31157</v>
      </c>
      <c r="AC697" s="31" t="s">
        <v>3233</v>
      </c>
      <c r="AD697" s="57" t="str">
        <f t="shared" ca="1" si="49"/>
        <v xml:space="preserve">40 Tahun 6 Bulan </v>
      </c>
      <c r="AE697" s="33" t="s">
        <v>1106</v>
      </c>
      <c r="AF697" s="71"/>
      <c r="AG697" s="22" t="s">
        <v>3217</v>
      </c>
      <c r="AH697" s="22"/>
      <c r="AI697" s="22"/>
      <c r="AJ697" s="22"/>
      <c r="AK697" s="33"/>
      <c r="AL697" s="36"/>
    </row>
    <row r="698" spans="1:39" ht="14.45" customHeight="1" x14ac:dyDescent="0.25">
      <c r="A698" s="17">
        <v>54</v>
      </c>
      <c r="B698" s="78"/>
      <c r="C698" s="292" t="s">
        <v>3234</v>
      </c>
      <c r="D698" s="124" t="s">
        <v>3235</v>
      </c>
      <c r="E698" s="52" t="s">
        <v>56</v>
      </c>
      <c r="F698" s="58" t="s">
        <v>238</v>
      </c>
      <c r="G698" s="23" t="s">
        <v>3872</v>
      </c>
      <c r="H698" s="22" t="s">
        <v>1078</v>
      </c>
      <c r="I698" s="22" t="s">
        <v>44</v>
      </c>
      <c r="J698" s="22" t="s">
        <v>1293</v>
      </c>
      <c r="K698" s="22"/>
      <c r="L698" s="53" t="s">
        <v>3236</v>
      </c>
      <c r="M698" s="26">
        <v>43117</v>
      </c>
      <c r="N698" s="26">
        <v>45035</v>
      </c>
      <c r="O698" s="27" t="s">
        <v>148</v>
      </c>
      <c r="P698" s="28" t="s">
        <v>3237</v>
      </c>
      <c r="Q698" s="29">
        <v>43192</v>
      </c>
      <c r="R698" s="26">
        <v>45035</v>
      </c>
      <c r="S698" s="23" t="s">
        <v>1172</v>
      </c>
      <c r="T698" s="23"/>
      <c r="U698" s="23"/>
      <c r="V698" s="23"/>
      <c r="W698" s="77">
        <v>45047</v>
      </c>
      <c r="X698" s="30">
        <v>40330</v>
      </c>
      <c r="Y698" s="30">
        <v>40360</v>
      </c>
      <c r="Z698" s="55" t="str">
        <f ca="1">DATEDIF(X698,TODAY(),"y")&amp;" Tahun "&amp;DATEDIF(X698,TODAY(),"ym")&amp;" Bulan "&amp;DATEDIF(X698,TODAY(),"md")&amp;" Hari"</f>
        <v>15 Tahun 4 Bulan 30 Hari</v>
      </c>
      <c r="AA698" s="125" t="s">
        <v>76</v>
      </c>
      <c r="AB698" s="126">
        <v>31886</v>
      </c>
      <c r="AC698" s="127" t="s">
        <v>3238</v>
      </c>
      <c r="AD698" s="57" t="str">
        <f t="shared" ca="1" si="49"/>
        <v xml:space="preserve">38 Tahun 6 Bulan </v>
      </c>
      <c r="AE698" s="128" t="s">
        <v>1106</v>
      </c>
      <c r="AF698" s="129"/>
      <c r="AG698" s="22" t="s">
        <v>3217</v>
      </c>
      <c r="AH698" s="22"/>
      <c r="AI698" s="22"/>
      <c r="AJ698" s="22"/>
      <c r="AK698" s="33"/>
      <c r="AL698" s="36"/>
    </row>
    <row r="699" spans="1:39" ht="14.45" customHeight="1" x14ac:dyDescent="0.25">
      <c r="A699" s="17">
        <v>55</v>
      </c>
      <c r="B699" s="78"/>
      <c r="C699" s="50" t="s">
        <v>3239</v>
      </c>
      <c r="D699" s="62">
        <v>2023110664</v>
      </c>
      <c r="E699" s="21" t="s">
        <v>56</v>
      </c>
      <c r="F699" s="22" t="s">
        <v>1063</v>
      </c>
      <c r="G699" s="23" t="s">
        <v>3872</v>
      </c>
      <c r="H699" s="22" t="s">
        <v>3872</v>
      </c>
      <c r="I699" s="22"/>
      <c r="J699" s="22"/>
      <c r="K699" s="30"/>
      <c r="L699" s="25"/>
      <c r="M699" s="29"/>
      <c r="N699" s="26"/>
      <c r="O699" s="27"/>
      <c r="P699" s="28"/>
      <c r="Q699" s="29"/>
      <c r="R699" s="26"/>
      <c r="S699" s="23" t="s">
        <v>84</v>
      </c>
      <c r="T699" s="23">
        <v>2022</v>
      </c>
      <c r="U699" s="23"/>
      <c r="V699" s="23"/>
      <c r="W699" s="30"/>
      <c r="X699" s="30">
        <v>45231</v>
      </c>
      <c r="Y699" s="30">
        <v>45231</v>
      </c>
      <c r="Z699" s="31" t="str">
        <f ca="1">DATEDIF(X699,TODAY(),"y")&amp;" Tahun "&amp;DATEDIF(X699,TODAY(),"ym")&amp;" Bulan "&amp;DATEDIF(X699,TODAY(),"md")&amp;" Hari"</f>
        <v>1 Tahun 11 Bulan 30 Hari</v>
      </c>
      <c r="AA699" s="31" t="s">
        <v>1279</v>
      </c>
      <c r="AB699" s="32">
        <v>36466</v>
      </c>
      <c r="AC699" s="31" t="s">
        <v>3240</v>
      </c>
      <c r="AD699" s="22" t="str">
        <f t="shared" ca="1" si="49"/>
        <v xml:space="preserve">25 Tahun 11 Bulan </v>
      </c>
      <c r="AE699" s="33" t="s">
        <v>1106</v>
      </c>
      <c r="AF699" s="34"/>
      <c r="AG699" s="22" t="s">
        <v>3217</v>
      </c>
      <c r="AH699" s="22"/>
      <c r="AI699" s="22"/>
      <c r="AJ699" s="22"/>
      <c r="AK699" s="33"/>
      <c r="AL699" s="36"/>
    </row>
    <row r="700" spans="1:39" ht="14.45" customHeight="1" x14ac:dyDescent="0.25">
      <c r="A700" s="17">
        <v>56</v>
      </c>
      <c r="B700" s="52"/>
      <c r="C700" s="50" t="s">
        <v>3241</v>
      </c>
      <c r="D700" s="20" t="s">
        <v>3242</v>
      </c>
      <c r="E700" s="52" t="s">
        <v>56</v>
      </c>
      <c r="F700" s="22" t="s">
        <v>41</v>
      </c>
      <c r="G700" s="23" t="s">
        <v>227</v>
      </c>
      <c r="H700" s="22" t="s">
        <v>228</v>
      </c>
      <c r="I700" s="60" t="s">
        <v>44</v>
      </c>
      <c r="J700" s="22" t="s">
        <v>1104</v>
      </c>
      <c r="K700" s="77">
        <v>44621</v>
      </c>
      <c r="L700" s="25"/>
      <c r="M700" s="26"/>
      <c r="N700" s="26"/>
      <c r="O700" s="27"/>
      <c r="P700" s="28"/>
      <c r="Q700" s="29"/>
      <c r="R700" s="26"/>
      <c r="S700" s="23" t="s">
        <v>84</v>
      </c>
      <c r="T700" s="23">
        <v>2018</v>
      </c>
      <c r="U700" s="23"/>
      <c r="V700" s="23"/>
      <c r="W700" s="77">
        <v>44621</v>
      </c>
      <c r="X700" s="77">
        <v>44621</v>
      </c>
      <c r="Y700" s="77">
        <v>44621</v>
      </c>
      <c r="Z700" s="55" t="str">
        <f ca="1">DATEDIF(X700,TODAY(),"y")&amp;" Tahun "&amp;DATEDIF(X700,TODAY(),"ym")&amp;" Bulan "&amp;DATEDIF(X700,TODAY(),"md")&amp;" Hari"</f>
        <v>3 Tahun 7 Bulan 30 Hari</v>
      </c>
      <c r="AA700" s="55" t="s">
        <v>128</v>
      </c>
      <c r="AB700" s="56">
        <v>34340</v>
      </c>
      <c r="AC700" s="32" t="s">
        <v>3243</v>
      </c>
      <c r="AD700" s="57" t="str">
        <f t="shared" ca="1" si="49"/>
        <v xml:space="preserve">31 Tahun 9 Bulan </v>
      </c>
      <c r="AE700" s="33" t="s">
        <v>1106</v>
      </c>
      <c r="AF700" s="71"/>
      <c r="AG700" s="22" t="s">
        <v>3217</v>
      </c>
      <c r="AH700" s="22"/>
      <c r="AI700" s="22"/>
      <c r="AJ700" s="22"/>
      <c r="AK700" s="33" t="s">
        <v>200</v>
      </c>
      <c r="AL700" s="36"/>
    </row>
    <row r="701" spans="1:39" ht="14.45" customHeight="1" x14ac:dyDescent="0.25">
      <c r="A701" s="17">
        <v>57</v>
      </c>
      <c r="B701" s="78"/>
      <c r="C701" s="50" t="s">
        <v>5875</v>
      </c>
      <c r="D701" s="20" t="s">
        <v>3244</v>
      </c>
      <c r="E701" s="52" t="s">
        <v>56</v>
      </c>
      <c r="F701" s="22" t="s">
        <v>41</v>
      </c>
      <c r="G701" s="23" t="s">
        <v>137</v>
      </c>
      <c r="H701" s="22" t="s">
        <v>138</v>
      </c>
      <c r="I701" s="22" t="s">
        <v>44</v>
      </c>
      <c r="J701" s="22" t="s">
        <v>1166</v>
      </c>
      <c r="K701" s="24">
        <v>44652</v>
      </c>
      <c r="L701" s="25" t="s">
        <v>3245</v>
      </c>
      <c r="M701" s="26">
        <v>41429</v>
      </c>
      <c r="N701" s="26">
        <v>43368</v>
      </c>
      <c r="O701" s="27" t="s">
        <v>148</v>
      </c>
      <c r="P701" s="28" t="s">
        <v>3246</v>
      </c>
      <c r="Q701" s="29">
        <v>42015</v>
      </c>
      <c r="R701" s="26">
        <v>43368</v>
      </c>
      <c r="S701" s="23" t="s">
        <v>1167</v>
      </c>
      <c r="T701" s="23">
        <v>2005</v>
      </c>
      <c r="U701" s="23"/>
      <c r="V701" s="23"/>
      <c r="W701" s="30">
        <v>38808</v>
      </c>
      <c r="X701" s="30">
        <v>38808</v>
      </c>
      <c r="Y701" s="22"/>
      <c r="Z701" s="55" t="str">
        <f ca="1">DATEDIF(W701,TODAY(),"y")&amp;" Tahun "&amp;DATEDIF(W701,TODAY(),"ym")&amp;" Bulan "&amp;DATEDIF(W701,TODAY(),"md")&amp;" Hari"</f>
        <v>19 Tahun 6 Bulan 30 Hari</v>
      </c>
      <c r="AA701" s="66" t="s">
        <v>76</v>
      </c>
      <c r="AB701" s="56">
        <v>30950</v>
      </c>
      <c r="AC701" s="32" t="s">
        <v>3247</v>
      </c>
      <c r="AD701" s="57" t="str">
        <f t="shared" ca="1" si="49"/>
        <v xml:space="preserve">41 Tahun 1 Bulan </v>
      </c>
      <c r="AE701" s="33" t="s">
        <v>1106</v>
      </c>
      <c r="AF701" s="71"/>
      <c r="AG701" s="22" t="s">
        <v>3217</v>
      </c>
      <c r="AH701" s="22"/>
      <c r="AI701" s="22"/>
      <c r="AJ701" s="22"/>
      <c r="AK701" s="33" t="s">
        <v>200</v>
      </c>
      <c r="AL701" s="36"/>
    </row>
    <row r="702" spans="1:39" ht="14.45" customHeight="1" x14ac:dyDescent="0.25">
      <c r="A702" s="115">
        <v>1</v>
      </c>
      <c r="B702" s="18"/>
      <c r="C702" s="138" t="s">
        <v>3248</v>
      </c>
      <c r="D702" s="51" t="s">
        <v>3249</v>
      </c>
      <c r="E702" s="52" t="s">
        <v>40</v>
      </c>
      <c r="F702" s="58" t="s">
        <v>41</v>
      </c>
      <c r="G702" s="59" t="s">
        <v>115</v>
      </c>
      <c r="H702" s="191" t="s">
        <v>116</v>
      </c>
      <c r="I702" s="191" t="s">
        <v>44</v>
      </c>
      <c r="J702" s="191" t="s">
        <v>148</v>
      </c>
      <c r="K702" s="24">
        <v>45931</v>
      </c>
      <c r="L702" s="192" t="s">
        <v>3250</v>
      </c>
      <c r="M702" s="26">
        <v>43117</v>
      </c>
      <c r="N702" s="26">
        <v>45247</v>
      </c>
      <c r="O702" s="193" t="s">
        <v>84</v>
      </c>
      <c r="P702" s="192" t="s">
        <v>3251</v>
      </c>
      <c r="Q702" s="190">
        <v>43322</v>
      </c>
      <c r="R702" s="194">
        <v>43475</v>
      </c>
      <c r="S702" s="23" t="s">
        <v>267</v>
      </c>
      <c r="T702" s="23"/>
      <c r="U702" s="23"/>
      <c r="V702" s="23"/>
      <c r="W702" s="30">
        <v>34759</v>
      </c>
      <c r="X702" s="30">
        <v>34759</v>
      </c>
      <c r="Y702" s="30">
        <v>42941</v>
      </c>
      <c r="Z702" s="55" t="str">
        <f t="shared" ref="Z702:Z737" ca="1" si="51">DATEDIF(W702,TODAY(),"y")&amp;" Tahun "&amp;DATEDIF(W702,TODAY(),"ym")&amp;" Bulan "&amp;DATEDIF(W702,TODAY(),"md")&amp;" Hari"</f>
        <v>30 Tahun 7 Bulan 30 Hari</v>
      </c>
      <c r="AA702" s="66" t="s">
        <v>76</v>
      </c>
      <c r="AB702" s="83">
        <v>25889</v>
      </c>
      <c r="AC702" s="102" t="s">
        <v>3252</v>
      </c>
      <c r="AD702" s="57" t="str">
        <f t="shared" ca="1" si="49"/>
        <v xml:space="preserve">54 Tahun 11 Bulan </v>
      </c>
      <c r="AE702" s="291" t="s">
        <v>1151</v>
      </c>
      <c r="AF702" s="34"/>
      <c r="AG702" s="22" t="s">
        <v>3253</v>
      </c>
      <c r="AH702" s="22"/>
      <c r="AI702" s="22"/>
      <c r="AJ702" s="22"/>
      <c r="AK702" s="33"/>
      <c r="AL702" s="36"/>
    </row>
    <row r="703" spans="1:39" ht="14.45" customHeight="1" x14ac:dyDescent="0.25">
      <c r="A703" s="17">
        <v>2</v>
      </c>
      <c r="B703" s="18"/>
      <c r="C703" s="50" t="s">
        <v>5876</v>
      </c>
      <c r="D703" s="20" t="s">
        <v>3254</v>
      </c>
      <c r="E703" s="52" t="s">
        <v>40</v>
      </c>
      <c r="F703" s="58" t="s">
        <v>41</v>
      </c>
      <c r="G703" s="23" t="s">
        <v>115</v>
      </c>
      <c r="H703" s="58" t="s">
        <v>116</v>
      </c>
      <c r="I703" s="58" t="s">
        <v>44</v>
      </c>
      <c r="J703" s="58" t="s">
        <v>148</v>
      </c>
      <c r="K703" s="24">
        <v>45931</v>
      </c>
      <c r="L703" s="53" t="s">
        <v>3255</v>
      </c>
      <c r="M703" s="26">
        <v>42703</v>
      </c>
      <c r="N703" s="26">
        <v>44473</v>
      </c>
      <c r="O703" s="40" t="s">
        <v>1162</v>
      </c>
      <c r="P703" s="53" t="s">
        <v>3256</v>
      </c>
      <c r="Q703" s="29">
        <v>43048</v>
      </c>
      <c r="R703" s="26">
        <v>44473</v>
      </c>
      <c r="S703" s="23" t="s">
        <v>84</v>
      </c>
      <c r="T703" s="23"/>
      <c r="U703" s="23"/>
      <c r="V703" s="23"/>
      <c r="W703" s="30">
        <v>33664</v>
      </c>
      <c r="X703" s="30">
        <v>33664</v>
      </c>
      <c r="Y703" s="22"/>
      <c r="Z703" s="55" t="str">
        <f t="shared" ca="1" si="51"/>
        <v>33 Tahun 7 Bulan 30 Hari</v>
      </c>
      <c r="AA703" s="55" t="s">
        <v>76</v>
      </c>
      <c r="AB703" s="56">
        <v>26210</v>
      </c>
      <c r="AC703" s="32" t="s">
        <v>3257</v>
      </c>
      <c r="AD703" s="57" t="str">
        <f t="shared" ca="1" si="49"/>
        <v xml:space="preserve">54 Tahun 0 Bulan </v>
      </c>
      <c r="AE703" s="33" t="s">
        <v>1158</v>
      </c>
      <c r="AF703" s="71"/>
      <c r="AG703" s="22" t="s">
        <v>3253</v>
      </c>
      <c r="AH703" s="58"/>
      <c r="AI703" s="58"/>
      <c r="AJ703" s="58"/>
      <c r="AK703" s="33" t="s">
        <v>308</v>
      </c>
      <c r="AL703" s="36"/>
    </row>
    <row r="704" spans="1:39" ht="14.45" customHeight="1" x14ac:dyDescent="0.25">
      <c r="A704" s="115">
        <v>3</v>
      </c>
      <c r="B704" s="18"/>
      <c r="C704" s="138" t="s">
        <v>5877</v>
      </c>
      <c r="D704" s="51" t="s">
        <v>3258</v>
      </c>
      <c r="E704" s="52" t="s">
        <v>56</v>
      </c>
      <c r="F704" s="58" t="s">
        <v>41</v>
      </c>
      <c r="G704" s="59" t="s">
        <v>42</v>
      </c>
      <c r="H704" s="191" t="s">
        <v>43</v>
      </c>
      <c r="I704" s="191" t="s">
        <v>44</v>
      </c>
      <c r="J704" s="191" t="s">
        <v>148</v>
      </c>
      <c r="K704" s="24">
        <v>45200</v>
      </c>
      <c r="L704" s="192" t="s">
        <v>3259</v>
      </c>
      <c r="M704" s="26">
        <v>42703</v>
      </c>
      <c r="N704" s="26">
        <v>44234</v>
      </c>
      <c r="O704" s="193" t="s">
        <v>1162</v>
      </c>
      <c r="P704" s="192" t="s">
        <v>3260</v>
      </c>
      <c r="Q704" s="190">
        <v>43096</v>
      </c>
      <c r="R704" s="194">
        <v>44234</v>
      </c>
      <c r="S704" s="23" t="s">
        <v>84</v>
      </c>
      <c r="T704" s="23"/>
      <c r="U704" s="23"/>
      <c r="V704" s="23"/>
      <c r="W704" s="30">
        <v>31837</v>
      </c>
      <c r="X704" s="30">
        <v>31837</v>
      </c>
      <c r="Y704" s="30"/>
      <c r="Z704" s="55" t="str">
        <f t="shared" ca="1" si="51"/>
        <v>38 Tahun 7 Bulan 30 Hari</v>
      </c>
      <c r="AA704" s="66" t="s">
        <v>76</v>
      </c>
      <c r="AB704" s="83">
        <v>24145</v>
      </c>
      <c r="AC704" s="102" t="s">
        <v>3261</v>
      </c>
      <c r="AD704" s="57" t="str">
        <f t="shared" ca="1" si="49"/>
        <v xml:space="preserve">59 Tahun 8 Bulan </v>
      </c>
      <c r="AE704" s="33" t="s">
        <v>1106</v>
      </c>
      <c r="AF704" s="34"/>
      <c r="AG704" s="22" t="s">
        <v>3253</v>
      </c>
      <c r="AH704" s="58"/>
      <c r="AI704" s="58"/>
      <c r="AJ704" s="58"/>
      <c r="AK704" s="85" t="s">
        <v>314</v>
      </c>
      <c r="AL704" s="36"/>
      <c r="AM704" s="14"/>
    </row>
    <row r="705" spans="1:39" ht="14.45" customHeight="1" x14ac:dyDescent="0.25">
      <c r="A705" s="17">
        <v>4</v>
      </c>
      <c r="B705" s="18"/>
      <c r="C705" s="50" t="s">
        <v>3262</v>
      </c>
      <c r="D705" s="20" t="s">
        <v>3263</v>
      </c>
      <c r="E705" s="21" t="s">
        <v>40</v>
      </c>
      <c r="F705" s="22" t="s">
        <v>41</v>
      </c>
      <c r="G705" s="23" t="s">
        <v>137</v>
      </c>
      <c r="H705" s="22" t="s">
        <v>138</v>
      </c>
      <c r="I705" s="22" t="s">
        <v>44</v>
      </c>
      <c r="J705" s="22" t="s">
        <v>1166</v>
      </c>
      <c r="K705" s="24">
        <v>42370</v>
      </c>
      <c r="L705" s="25" t="s">
        <v>3264</v>
      </c>
      <c r="M705" s="26">
        <v>42290</v>
      </c>
      <c r="N705" s="26">
        <v>44124</v>
      </c>
      <c r="O705" s="27" t="s">
        <v>148</v>
      </c>
      <c r="P705" s="53" t="s">
        <v>3265</v>
      </c>
      <c r="Q705" s="26">
        <v>43096</v>
      </c>
      <c r="R705" s="26">
        <v>44124</v>
      </c>
      <c r="S705" s="23" t="s">
        <v>1167</v>
      </c>
      <c r="T705" s="23"/>
      <c r="U705" s="23"/>
      <c r="V705" s="23"/>
      <c r="W705" s="30">
        <v>33298</v>
      </c>
      <c r="X705" s="30">
        <v>33298</v>
      </c>
      <c r="Y705" s="30">
        <v>43525</v>
      </c>
      <c r="Z705" s="55" t="str">
        <f t="shared" ca="1" si="51"/>
        <v>34 Tahun 7 Bulan 30 Hari</v>
      </c>
      <c r="AA705" s="31" t="s">
        <v>570</v>
      </c>
      <c r="AB705" s="32">
        <v>24765</v>
      </c>
      <c r="AC705" s="31" t="s">
        <v>3266</v>
      </c>
      <c r="AD705" s="57" t="str">
        <f t="shared" ca="1" si="49"/>
        <v xml:space="preserve">58 Tahun 0 Bulan </v>
      </c>
      <c r="AE705" s="33" t="s">
        <v>1106</v>
      </c>
      <c r="AF705" s="71"/>
      <c r="AG705" s="22" t="s">
        <v>3253</v>
      </c>
      <c r="AH705" s="58"/>
      <c r="AI705" s="58"/>
      <c r="AJ705" s="58"/>
      <c r="AK705" s="33"/>
      <c r="AL705" s="36"/>
    </row>
    <row r="706" spans="1:39" ht="14.45" customHeight="1" x14ac:dyDescent="0.25">
      <c r="A706" s="115">
        <v>5</v>
      </c>
      <c r="B706" s="78"/>
      <c r="C706" s="50" t="s">
        <v>3267</v>
      </c>
      <c r="D706" s="20" t="s">
        <v>3268</v>
      </c>
      <c r="E706" s="52" t="s">
        <v>40</v>
      </c>
      <c r="F706" s="22" t="s">
        <v>41</v>
      </c>
      <c r="G706" s="23" t="s">
        <v>137</v>
      </c>
      <c r="H706" s="22" t="s">
        <v>138</v>
      </c>
      <c r="I706" s="22" t="s">
        <v>44</v>
      </c>
      <c r="J706" s="22" t="s">
        <v>1166</v>
      </c>
      <c r="K706" s="24">
        <v>44470</v>
      </c>
      <c r="L706" s="25" t="s">
        <v>3269</v>
      </c>
      <c r="M706" s="26">
        <v>42926</v>
      </c>
      <c r="N706" s="26">
        <v>44678</v>
      </c>
      <c r="O706" s="27" t="s">
        <v>1155</v>
      </c>
      <c r="P706" s="53" t="s">
        <v>3270</v>
      </c>
      <c r="Q706" s="29">
        <v>43048</v>
      </c>
      <c r="R706" s="26">
        <v>44678</v>
      </c>
      <c r="S706" s="23" t="s">
        <v>1167</v>
      </c>
      <c r="T706" s="23"/>
      <c r="U706" s="23"/>
      <c r="V706" s="23"/>
      <c r="W706" s="30">
        <v>34759</v>
      </c>
      <c r="X706" s="30">
        <v>34759</v>
      </c>
      <c r="Y706" s="22"/>
      <c r="Z706" s="55" t="str">
        <f t="shared" ca="1" si="51"/>
        <v>30 Tahun 7 Bulan 30 Hari</v>
      </c>
      <c r="AA706" s="55" t="s">
        <v>2646</v>
      </c>
      <c r="AB706" s="56">
        <v>24955</v>
      </c>
      <c r="AC706" s="31" t="s">
        <v>3271</v>
      </c>
      <c r="AD706" s="57" t="str">
        <f t="shared" ca="1" si="49"/>
        <v xml:space="preserve">57 Tahun 6 Bulan </v>
      </c>
      <c r="AE706" s="33" t="s">
        <v>1106</v>
      </c>
      <c r="AF706" s="71"/>
      <c r="AG706" s="22" t="s">
        <v>3253</v>
      </c>
      <c r="AH706" s="130"/>
      <c r="AI706" s="130"/>
      <c r="AJ706" s="130"/>
      <c r="AK706" s="33" t="s">
        <v>314</v>
      </c>
      <c r="AL706" s="131"/>
      <c r="AM706" s="14"/>
    </row>
    <row r="707" spans="1:39" ht="14.45" customHeight="1" x14ac:dyDescent="0.25">
      <c r="A707" s="17">
        <v>6</v>
      </c>
      <c r="B707" s="78"/>
      <c r="C707" s="50" t="s">
        <v>5878</v>
      </c>
      <c r="D707" s="20" t="s">
        <v>3272</v>
      </c>
      <c r="E707" s="52" t="s">
        <v>56</v>
      </c>
      <c r="F707" s="58" t="s">
        <v>41</v>
      </c>
      <c r="G707" s="23" t="s">
        <v>137</v>
      </c>
      <c r="H707" s="22" t="s">
        <v>138</v>
      </c>
      <c r="I707" s="22" t="s">
        <v>44</v>
      </c>
      <c r="J707" s="22" t="s">
        <v>1166</v>
      </c>
      <c r="K707" s="24">
        <v>42370</v>
      </c>
      <c r="L707" s="53" t="s">
        <v>3273</v>
      </c>
      <c r="M707" s="26">
        <v>43145</v>
      </c>
      <c r="N707" s="26">
        <v>45143</v>
      </c>
      <c r="O707" s="27" t="s">
        <v>148</v>
      </c>
      <c r="P707" s="53" t="s">
        <v>3274</v>
      </c>
      <c r="Q707" s="26">
        <v>43305</v>
      </c>
      <c r="R707" s="29">
        <v>45143</v>
      </c>
      <c r="S707" s="23" t="s">
        <v>1167</v>
      </c>
      <c r="T707" s="23"/>
      <c r="U707" s="23"/>
      <c r="V707" s="23"/>
      <c r="W707" s="30">
        <v>32568</v>
      </c>
      <c r="X707" s="30">
        <v>32568</v>
      </c>
      <c r="Y707" s="22"/>
      <c r="Z707" s="55" t="str">
        <f t="shared" ca="1" si="51"/>
        <v>36 Tahun 7 Bulan 30 Hari</v>
      </c>
      <c r="AA707" s="66" t="s">
        <v>76</v>
      </c>
      <c r="AB707" s="56">
        <v>25055</v>
      </c>
      <c r="AC707" s="32" t="s">
        <v>3275</v>
      </c>
      <c r="AD707" s="57" t="str">
        <f t="shared" ca="1" si="49"/>
        <v xml:space="preserve">57 Tahun 2 Bulan </v>
      </c>
      <c r="AE707" s="33" t="s">
        <v>1106</v>
      </c>
      <c r="AF707" s="71"/>
      <c r="AG707" s="22" t="s">
        <v>3253</v>
      </c>
      <c r="AH707" s="22"/>
      <c r="AI707" s="22"/>
      <c r="AJ707" s="22"/>
      <c r="AK707" s="33"/>
      <c r="AL707" s="36"/>
    </row>
    <row r="708" spans="1:39" ht="14.45" customHeight="1" x14ac:dyDescent="0.25">
      <c r="A708" s="115">
        <v>7</v>
      </c>
      <c r="B708" s="78"/>
      <c r="C708" s="50" t="s">
        <v>3276</v>
      </c>
      <c r="D708" s="20" t="s">
        <v>3277</v>
      </c>
      <c r="E708" s="52" t="s">
        <v>40</v>
      </c>
      <c r="F708" s="22" t="s">
        <v>41</v>
      </c>
      <c r="G708" s="23" t="s">
        <v>137</v>
      </c>
      <c r="H708" s="22" t="s">
        <v>138</v>
      </c>
      <c r="I708" s="22" t="s">
        <v>44</v>
      </c>
      <c r="J708" s="22" t="s">
        <v>1166</v>
      </c>
      <c r="K708" s="24">
        <v>42370</v>
      </c>
      <c r="L708" s="53" t="s">
        <v>3278</v>
      </c>
      <c r="M708" s="26">
        <v>43145</v>
      </c>
      <c r="N708" s="26">
        <v>45283</v>
      </c>
      <c r="O708" s="27" t="s">
        <v>148</v>
      </c>
      <c r="P708" s="53" t="s">
        <v>3279</v>
      </c>
      <c r="Q708" s="26">
        <v>43305</v>
      </c>
      <c r="R708" s="29">
        <v>45283</v>
      </c>
      <c r="S708" s="23" t="s">
        <v>1167</v>
      </c>
      <c r="T708" s="23"/>
      <c r="U708" s="23"/>
      <c r="V708" s="23"/>
      <c r="W708" s="30">
        <v>32203</v>
      </c>
      <c r="X708" s="30">
        <v>32203</v>
      </c>
      <c r="Y708" s="22"/>
      <c r="Z708" s="55" t="str">
        <f t="shared" ca="1" si="51"/>
        <v>37 Tahun 7 Bulan 30 Hari</v>
      </c>
      <c r="AA708" s="66" t="s">
        <v>76</v>
      </c>
      <c r="AB708" s="32">
        <v>25195</v>
      </c>
      <c r="AC708" s="31" t="s">
        <v>3280</v>
      </c>
      <c r="AD708" s="22" t="str">
        <f t="shared" ca="1" si="49"/>
        <v xml:space="preserve">56 Tahun 10 Bulan </v>
      </c>
      <c r="AE708" s="33" t="s">
        <v>1106</v>
      </c>
      <c r="AF708" s="71"/>
      <c r="AG708" s="22" t="s">
        <v>3253</v>
      </c>
      <c r="AH708" s="58"/>
      <c r="AI708" s="58"/>
      <c r="AJ708" s="58"/>
      <c r="AK708" s="33"/>
      <c r="AL708" s="36"/>
    </row>
    <row r="709" spans="1:39" ht="14.45" customHeight="1" x14ac:dyDescent="0.25">
      <c r="A709" s="17">
        <v>8</v>
      </c>
      <c r="B709" s="78"/>
      <c r="C709" s="50" t="s">
        <v>3281</v>
      </c>
      <c r="D709" s="20" t="s">
        <v>3282</v>
      </c>
      <c r="E709" s="52" t="s">
        <v>40</v>
      </c>
      <c r="F709" s="22" t="s">
        <v>41</v>
      </c>
      <c r="G709" s="23" t="s">
        <v>137</v>
      </c>
      <c r="H709" s="22" t="s">
        <v>138</v>
      </c>
      <c r="I709" s="22" t="s">
        <v>44</v>
      </c>
      <c r="J709" s="22" t="s">
        <v>1166</v>
      </c>
      <c r="K709" s="24">
        <v>43252</v>
      </c>
      <c r="L709" s="53" t="s">
        <v>3283</v>
      </c>
      <c r="M709" s="26">
        <v>43145</v>
      </c>
      <c r="N709" s="26">
        <v>45081</v>
      </c>
      <c r="O709" s="27" t="s">
        <v>148</v>
      </c>
      <c r="P709" s="53" t="s">
        <v>3284</v>
      </c>
      <c r="Q709" s="26">
        <v>43322</v>
      </c>
      <c r="R709" s="29">
        <v>45081</v>
      </c>
      <c r="S709" s="23" t="s">
        <v>1172</v>
      </c>
      <c r="T709" s="23"/>
      <c r="U709" s="23"/>
      <c r="V709" s="23"/>
      <c r="W709" s="30">
        <v>33298</v>
      </c>
      <c r="X709" s="30">
        <v>33482</v>
      </c>
      <c r="Y709" s="22"/>
      <c r="Z709" s="55" t="str">
        <f t="shared" ca="1" si="51"/>
        <v>34 Tahun 7 Bulan 30 Hari</v>
      </c>
      <c r="AA709" s="66" t="s">
        <v>260</v>
      </c>
      <c r="AB709" s="56">
        <v>25358</v>
      </c>
      <c r="AC709" s="32" t="s">
        <v>3285</v>
      </c>
      <c r="AD709" s="57" t="str">
        <f t="shared" ca="1" si="49"/>
        <v xml:space="preserve">56 Tahun 4 Bulan </v>
      </c>
      <c r="AE709" s="33" t="s">
        <v>1106</v>
      </c>
      <c r="AF709" s="71"/>
      <c r="AG709" s="22" t="s">
        <v>3253</v>
      </c>
      <c r="AH709" s="58"/>
      <c r="AI709" s="58"/>
      <c r="AJ709" s="87"/>
      <c r="AK709" s="61"/>
      <c r="AL709" s="36"/>
    </row>
    <row r="710" spans="1:39" ht="14.45" customHeight="1" x14ac:dyDescent="0.25">
      <c r="A710" s="17">
        <v>1</v>
      </c>
      <c r="B710" s="18"/>
      <c r="C710" s="50" t="s">
        <v>5879</v>
      </c>
      <c r="D710" s="20" t="s">
        <v>3286</v>
      </c>
      <c r="E710" s="52" t="s">
        <v>40</v>
      </c>
      <c r="F710" s="22" t="s">
        <v>41</v>
      </c>
      <c r="G710" s="23" t="s">
        <v>137</v>
      </c>
      <c r="H710" s="22" t="s">
        <v>138</v>
      </c>
      <c r="I710" s="22" t="s">
        <v>44</v>
      </c>
      <c r="J710" s="22" t="s">
        <v>3287</v>
      </c>
      <c r="K710" s="24">
        <v>44256</v>
      </c>
      <c r="L710" s="53" t="s">
        <v>3288</v>
      </c>
      <c r="M710" s="26">
        <v>41803</v>
      </c>
      <c r="N710" s="26">
        <v>43536</v>
      </c>
      <c r="O710" s="27" t="s">
        <v>3289</v>
      </c>
      <c r="P710" s="53" t="s">
        <v>3290</v>
      </c>
      <c r="Q710" s="26">
        <v>42512</v>
      </c>
      <c r="R710" s="26">
        <v>43536</v>
      </c>
      <c r="S710" s="23" t="s">
        <v>3291</v>
      </c>
      <c r="T710" s="23">
        <v>2009</v>
      </c>
      <c r="U710" s="23"/>
      <c r="V710" s="23"/>
      <c r="W710" s="30">
        <v>33664</v>
      </c>
      <c r="X710" s="30">
        <v>33664</v>
      </c>
      <c r="Y710" s="22"/>
      <c r="Z710" s="55" t="str">
        <f t="shared" ca="1" si="51"/>
        <v>33 Tahun 7 Bulan 30 Hari</v>
      </c>
      <c r="AA710" s="66" t="s">
        <v>2050</v>
      </c>
      <c r="AB710" s="56">
        <v>25905</v>
      </c>
      <c r="AC710" s="32" t="s">
        <v>3292</v>
      </c>
      <c r="AD710" s="57" t="str">
        <f t="shared" ca="1" si="49"/>
        <v xml:space="preserve">54 Tahun 10 Bulan </v>
      </c>
      <c r="AE710" s="33" t="s">
        <v>1106</v>
      </c>
      <c r="AF710" s="71"/>
      <c r="AG710" s="22" t="s">
        <v>3253</v>
      </c>
      <c r="AH710" s="22"/>
      <c r="AI710" s="22"/>
      <c r="AJ710" s="22"/>
      <c r="AK710" s="33"/>
      <c r="AL710" s="36"/>
      <c r="AM710" s="14"/>
    </row>
    <row r="711" spans="1:39" ht="14.45" customHeight="1" x14ac:dyDescent="0.25">
      <c r="A711" s="17">
        <v>2</v>
      </c>
      <c r="B711" s="18"/>
      <c r="C711" s="50" t="s">
        <v>3293</v>
      </c>
      <c r="D711" s="20" t="s">
        <v>3294</v>
      </c>
      <c r="E711" s="21" t="s">
        <v>40</v>
      </c>
      <c r="F711" s="22" t="s">
        <v>41</v>
      </c>
      <c r="G711" s="23" t="s">
        <v>137</v>
      </c>
      <c r="H711" s="22" t="s">
        <v>138</v>
      </c>
      <c r="I711" s="22" t="s">
        <v>44</v>
      </c>
      <c r="J711" s="22" t="s">
        <v>1166</v>
      </c>
      <c r="K711" s="24">
        <v>42370</v>
      </c>
      <c r="L711" s="53" t="s">
        <v>3295</v>
      </c>
      <c r="M711" s="26">
        <v>43117</v>
      </c>
      <c r="N711" s="26">
        <v>45021</v>
      </c>
      <c r="O711" s="27" t="s">
        <v>148</v>
      </c>
      <c r="P711" s="53" t="s">
        <v>3296</v>
      </c>
      <c r="Q711" s="26">
        <v>43367</v>
      </c>
      <c r="R711" s="26">
        <v>45021</v>
      </c>
      <c r="S711" s="23" t="s">
        <v>1172</v>
      </c>
      <c r="T711" s="23"/>
      <c r="U711" s="23"/>
      <c r="V711" s="23"/>
      <c r="W711" s="30">
        <v>33298</v>
      </c>
      <c r="X711" s="30">
        <v>33298</v>
      </c>
      <c r="Y711" s="30">
        <v>43525</v>
      </c>
      <c r="Z711" s="55" t="str">
        <f t="shared" ca="1" si="51"/>
        <v>34 Tahun 7 Bulan 30 Hari</v>
      </c>
      <c r="AA711" s="31" t="s">
        <v>76</v>
      </c>
      <c r="AB711" s="32">
        <v>26028</v>
      </c>
      <c r="AC711" s="31" t="s">
        <v>3297</v>
      </c>
      <c r="AD711" s="57" t="str">
        <f t="shared" ca="1" si="49"/>
        <v xml:space="preserve">54 Tahun 6 Bulan </v>
      </c>
      <c r="AE711" s="33" t="s">
        <v>1106</v>
      </c>
      <c r="AF711" s="71"/>
      <c r="AG711" s="22" t="s">
        <v>3253</v>
      </c>
      <c r="AH711" s="58"/>
      <c r="AI711" s="58"/>
      <c r="AJ711" s="58"/>
      <c r="AK711" s="33"/>
      <c r="AL711" s="36"/>
    </row>
    <row r="712" spans="1:39" ht="14.45" customHeight="1" x14ac:dyDescent="0.25">
      <c r="A712" s="17">
        <v>3</v>
      </c>
      <c r="B712" s="78"/>
      <c r="C712" s="50" t="s">
        <v>3298</v>
      </c>
      <c r="D712" s="20" t="s">
        <v>3299</v>
      </c>
      <c r="E712" s="52" t="s">
        <v>40</v>
      </c>
      <c r="F712" s="58" t="s">
        <v>41</v>
      </c>
      <c r="G712" s="23" t="s">
        <v>102</v>
      </c>
      <c r="H712" s="22" t="s">
        <v>103</v>
      </c>
      <c r="I712" s="22" t="s">
        <v>44</v>
      </c>
      <c r="J712" s="22" t="s">
        <v>1166</v>
      </c>
      <c r="K712" s="24">
        <v>43739</v>
      </c>
      <c r="L712" s="25" t="s">
        <v>3300</v>
      </c>
      <c r="M712" s="26">
        <v>43202</v>
      </c>
      <c r="N712" s="26">
        <v>44070</v>
      </c>
      <c r="O712" s="27" t="s">
        <v>1826</v>
      </c>
      <c r="P712" s="28" t="s">
        <v>3301</v>
      </c>
      <c r="Q712" s="29">
        <v>42396</v>
      </c>
      <c r="R712" s="26">
        <v>42974</v>
      </c>
      <c r="S712" s="23" t="s">
        <v>1172</v>
      </c>
      <c r="T712" s="23"/>
      <c r="U712" s="23"/>
      <c r="V712" s="23"/>
      <c r="W712" s="30">
        <v>33664</v>
      </c>
      <c r="X712" s="30">
        <v>33664</v>
      </c>
      <c r="Y712" s="30">
        <v>42005</v>
      </c>
      <c r="Z712" s="55" t="str">
        <f t="shared" ca="1" si="51"/>
        <v>33 Tahun 7 Bulan 30 Hari</v>
      </c>
      <c r="AA712" s="66" t="s">
        <v>1821</v>
      </c>
      <c r="AB712" s="56">
        <v>26172</v>
      </c>
      <c r="AC712" s="31" t="s">
        <v>3302</v>
      </c>
      <c r="AD712" s="57" t="str">
        <f t="shared" ca="1" si="49"/>
        <v xml:space="preserve">54 Tahun 2 Bulan </v>
      </c>
      <c r="AE712" s="33" t="s">
        <v>1106</v>
      </c>
      <c r="AF712" s="71"/>
      <c r="AG712" s="22" t="s">
        <v>3253</v>
      </c>
      <c r="AH712" s="22"/>
      <c r="AI712" s="22"/>
      <c r="AJ712" s="22"/>
      <c r="AK712" s="33"/>
      <c r="AL712" s="36"/>
      <c r="AM712" s="14"/>
    </row>
    <row r="713" spans="1:39" ht="14.45" customHeight="1" x14ac:dyDescent="0.25">
      <c r="A713" s="17">
        <v>4</v>
      </c>
      <c r="B713" s="18"/>
      <c r="C713" s="50" t="s">
        <v>5880</v>
      </c>
      <c r="D713" s="20" t="s">
        <v>3303</v>
      </c>
      <c r="E713" s="52" t="s">
        <v>40</v>
      </c>
      <c r="F713" s="22" t="s">
        <v>41</v>
      </c>
      <c r="G713" s="23" t="s">
        <v>137</v>
      </c>
      <c r="H713" s="22" t="s">
        <v>138</v>
      </c>
      <c r="I713" s="22" t="s">
        <v>44</v>
      </c>
      <c r="J713" s="22" t="s">
        <v>1166</v>
      </c>
      <c r="K713" s="24">
        <v>42461</v>
      </c>
      <c r="L713" s="53" t="s">
        <v>3304</v>
      </c>
      <c r="M713" s="26">
        <v>43117</v>
      </c>
      <c r="N713" s="26">
        <v>45213</v>
      </c>
      <c r="O713" s="27" t="s">
        <v>148</v>
      </c>
      <c r="P713" s="53" t="s">
        <v>3305</v>
      </c>
      <c r="Q713" s="26">
        <v>43367</v>
      </c>
      <c r="R713" s="26">
        <v>45213</v>
      </c>
      <c r="S713" s="23" t="s">
        <v>1167</v>
      </c>
      <c r="T713" s="23"/>
      <c r="U713" s="23"/>
      <c r="V713" s="23"/>
      <c r="W713" s="30">
        <v>33664</v>
      </c>
      <c r="X713" s="30">
        <v>33664</v>
      </c>
      <c r="Y713" s="30">
        <v>43525</v>
      </c>
      <c r="Z713" s="55" t="str">
        <f t="shared" ca="1" si="51"/>
        <v>33 Tahun 7 Bulan 30 Hari</v>
      </c>
      <c r="AA713" s="55" t="s">
        <v>76</v>
      </c>
      <c r="AB713" s="56">
        <v>26220</v>
      </c>
      <c r="AC713" s="31" t="s">
        <v>3306</v>
      </c>
      <c r="AD713" s="57" t="str">
        <f t="shared" ca="1" si="49"/>
        <v xml:space="preserve">54 Tahun 0 Bulan </v>
      </c>
      <c r="AE713" s="33" t="s">
        <v>1106</v>
      </c>
      <c r="AF713" s="71"/>
      <c r="AG713" s="22" t="s">
        <v>3253</v>
      </c>
      <c r="AH713" s="58"/>
      <c r="AI713" s="58"/>
      <c r="AJ713" s="58"/>
      <c r="AK713" s="33"/>
      <c r="AL713" s="36"/>
      <c r="AM713" s="14"/>
    </row>
    <row r="714" spans="1:39" ht="14.45" customHeight="1" x14ac:dyDescent="0.25">
      <c r="A714" s="17">
        <v>5</v>
      </c>
      <c r="B714" s="78"/>
      <c r="C714" s="50" t="s">
        <v>3307</v>
      </c>
      <c r="D714" s="20" t="s">
        <v>3308</v>
      </c>
      <c r="E714" s="52" t="s">
        <v>56</v>
      </c>
      <c r="F714" s="22" t="s">
        <v>41</v>
      </c>
      <c r="G714" s="23" t="s">
        <v>137</v>
      </c>
      <c r="H714" s="22" t="s">
        <v>138</v>
      </c>
      <c r="I714" s="22" t="s">
        <v>44</v>
      </c>
      <c r="J714" s="22" t="s">
        <v>1166</v>
      </c>
      <c r="K714" s="24">
        <v>42461</v>
      </c>
      <c r="L714" s="53" t="s">
        <v>3309</v>
      </c>
      <c r="M714" s="26">
        <v>44971</v>
      </c>
      <c r="N714" s="26">
        <v>45238</v>
      </c>
      <c r="O714" s="27" t="s">
        <v>148</v>
      </c>
      <c r="P714" s="53" t="s">
        <v>3310</v>
      </c>
      <c r="Q714" s="26">
        <v>43305</v>
      </c>
      <c r="R714" s="29">
        <v>45238</v>
      </c>
      <c r="S714" s="23" t="s">
        <v>1167</v>
      </c>
      <c r="T714" s="23"/>
      <c r="U714" s="23"/>
      <c r="V714" s="23"/>
      <c r="W714" s="30">
        <v>35855</v>
      </c>
      <c r="X714" s="30">
        <v>35855</v>
      </c>
      <c r="Y714" s="22"/>
      <c r="Z714" s="31" t="str">
        <f t="shared" ca="1" si="51"/>
        <v>27 Tahun 7 Bulan 30 Hari</v>
      </c>
      <c r="AA714" s="31" t="s">
        <v>76</v>
      </c>
      <c r="AB714" s="32">
        <v>26245</v>
      </c>
      <c r="AC714" s="32" t="s">
        <v>3311</v>
      </c>
      <c r="AD714" s="57" t="str">
        <f t="shared" ca="1" si="49"/>
        <v xml:space="preserve">53 Tahun 11 Bulan </v>
      </c>
      <c r="AE714" s="33" t="s">
        <v>1106</v>
      </c>
      <c r="AF714" s="34"/>
      <c r="AG714" s="22" t="s">
        <v>3253</v>
      </c>
      <c r="AH714" s="58"/>
      <c r="AI714" s="58"/>
      <c r="AJ714" s="58"/>
      <c r="AK714" s="33"/>
      <c r="AL714" s="36"/>
      <c r="AM714" s="14"/>
    </row>
    <row r="715" spans="1:39" ht="14.45" customHeight="1" x14ac:dyDescent="0.25">
      <c r="A715" s="17">
        <v>6</v>
      </c>
      <c r="B715" s="78"/>
      <c r="C715" s="50" t="s">
        <v>3312</v>
      </c>
      <c r="D715" s="20" t="s">
        <v>3313</v>
      </c>
      <c r="E715" s="21" t="s">
        <v>40</v>
      </c>
      <c r="F715" s="22" t="s">
        <v>41</v>
      </c>
      <c r="G715" s="23" t="s">
        <v>42</v>
      </c>
      <c r="H715" s="22" t="s">
        <v>43</v>
      </c>
      <c r="I715" s="22" t="s">
        <v>44</v>
      </c>
      <c r="J715" s="22" t="s">
        <v>148</v>
      </c>
      <c r="K715" s="24">
        <v>45505</v>
      </c>
      <c r="L715" s="53" t="s">
        <v>3314</v>
      </c>
      <c r="M715" s="26">
        <v>43047</v>
      </c>
      <c r="N715" s="26">
        <v>44573</v>
      </c>
      <c r="O715" s="27" t="s">
        <v>1155</v>
      </c>
      <c r="P715" s="53" t="s">
        <v>3315</v>
      </c>
      <c r="Q715" s="26">
        <v>43305</v>
      </c>
      <c r="R715" s="29">
        <v>44573</v>
      </c>
      <c r="S715" s="23" t="s">
        <v>84</v>
      </c>
      <c r="T715" s="23">
        <v>2021</v>
      </c>
      <c r="U715" s="23"/>
      <c r="V715" s="23"/>
      <c r="W715" s="30">
        <v>35855</v>
      </c>
      <c r="X715" s="30">
        <v>35855</v>
      </c>
      <c r="Y715" s="22"/>
      <c r="Z715" s="31" t="str">
        <f t="shared" ca="1" si="51"/>
        <v>27 Tahun 7 Bulan 30 Hari</v>
      </c>
      <c r="AA715" s="31" t="s">
        <v>260</v>
      </c>
      <c r="AB715" s="32">
        <v>26310</v>
      </c>
      <c r="AC715" s="31" t="s">
        <v>3316</v>
      </c>
      <c r="AD715" s="22" t="str">
        <f t="shared" ca="1" si="49"/>
        <v xml:space="preserve">53 Tahun 9 Bulan </v>
      </c>
      <c r="AE715" s="33" t="s">
        <v>1106</v>
      </c>
      <c r="AF715" s="34"/>
      <c r="AG715" s="22" t="s">
        <v>3253</v>
      </c>
      <c r="AH715" s="58"/>
      <c r="AI715" s="58"/>
      <c r="AJ715" s="58"/>
      <c r="AK715" s="33"/>
      <c r="AL715" s="36"/>
      <c r="AM715" s="14"/>
    </row>
    <row r="716" spans="1:39" ht="14.45" customHeight="1" x14ac:dyDescent="0.25">
      <c r="A716" s="17">
        <v>7</v>
      </c>
      <c r="B716" s="117"/>
      <c r="C716" s="292" t="s">
        <v>3317</v>
      </c>
      <c r="D716" s="124" t="s">
        <v>3318</v>
      </c>
      <c r="E716" s="196" t="s">
        <v>40</v>
      </c>
      <c r="F716" s="130" t="s">
        <v>41</v>
      </c>
      <c r="G716" s="141" t="s">
        <v>137</v>
      </c>
      <c r="H716" s="6" t="s">
        <v>138</v>
      </c>
      <c r="I716" s="6" t="s">
        <v>44</v>
      </c>
      <c r="J716" s="6" t="s">
        <v>1166</v>
      </c>
      <c r="K716" s="24">
        <v>42461</v>
      </c>
      <c r="L716" s="53" t="s">
        <v>3319</v>
      </c>
      <c r="M716" s="26">
        <v>43047</v>
      </c>
      <c r="N716" s="26">
        <v>44614</v>
      </c>
      <c r="O716" s="27" t="s">
        <v>1155</v>
      </c>
      <c r="P716" s="53" t="s">
        <v>3320</v>
      </c>
      <c r="Q716" s="26">
        <v>43122</v>
      </c>
      <c r="R716" s="29">
        <v>44614</v>
      </c>
      <c r="S716" s="23" t="s">
        <v>84</v>
      </c>
      <c r="T716" s="23"/>
      <c r="U716" s="23"/>
      <c r="V716" s="23"/>
      <c r="W716" s="30">
        <v>33664</v>
      </c>
      <c r="X716" s="30">
        <v>33664</v>
      </c>
      <c r="Y716" s="30">
        <v>43525</v>
      </c>
      <c r="Z716" s="31" t="str">
        <f t="shared" ca="1" si="51"/>
        <v>33 Tahun 7 Bulan 30 Hari</v>
      </c>
      <c r="AA716" s="31" t="s">
        <v>2050</v>
      </c>
      <c r="AB716" s="32">
        <v>26351</v>
      </c>
      <c r="AC716" s="31" t="s">
        <v>3321</v>
      </c>
      <c r="AD716" s="22" t="str">
        <f t="shared" ca="1" si="49"/>
        <v xml:space="preserve">53 Tahun 8 Bulan </v>
      </c>
      <c r="AE716" s="33" t="s">
        <v>1106</v>
      </c>
      <c r="AF716" s="34"/>
      <c r="AG716" s="22" t="s">
        <v>3253</v>
      </c>
      <c r="AH716" s="58"/>
      <c r="AI716" s="58"/>
      <c r="AJ716" s="58"/>
      <c r="AK716" s="33"/>
      <c r="AL716" s="22"/>
      <c r="AM716" s="14"/>
    </row>
    <row r="717" spans="1:39" ht="14.45" customHeight="1" x14ac:dyDescent="0.25">
      <c r="A717" s="17">
        <v>8</v>
      </c>
      <c r="B717" s="78"/>
      <c r="C717" s="50" t="s">
        <v>3322</v>
      </c>
      <c r="D717" s="20" t="s">
        <v>3323</v>
      </c>
      <c r="E717" s="21" t="s">
        <v>40</v>
      </c>
      <c r="F717" s="22" t="s">
        <v>41</v>
      </c>
      <c r="G717" s="23" t="s">
        <v>137</v>
      </c>
      <c r="H717" s="22" t="s">
        <v>138</v>
      </c>
      <c r="I717" s="22" t="s">
        <v>44</v>
      </c>
      <c r="J717" s="22" t="s">
        <v>1166</v>
      </c>
      <c r="K717" s="24">
        <v>43191</v>
      </c>
      <c r="L717" s="144" t="s">
        <v>3324</v>
      </c>
      <c r="M717" s="145">
        <v>43145</v>
      </c>
      <c r="N717" s="145">
        <v>45089</v>
      </c>
      <c r="O717" s="146" t="s">
        <v>148</v>
      </c>
      <c r="P717" s="150" t="s">
        <v>3325</v>
      </c>
      <c r="Q717" s="147">
        <v>43172</v>
      </c>
      <c r="R717" s="145">
        <v>45089</v>
      </c>
      <c r="S717" s="23" t="s">
        <v>1167</v>
      </c>
      <c r="T717" s="23"/>
      <c r="U717" s="23"/>
      <c r="V717" s="23"/>
      <c r="W717" s="30">
        <v>34394</v>
      </c>
      <c r="X717" s="30">
        <v>34394</v>
      </c>
      <c r="Y717" s="30">
        <v>42005</v>
      </c>
      <c r="Z717" s="31" t="str">
        <f t="shared" ca="1" si="51"/>
        <v>31 Tahun 7 Bulan 30 Hari</v>
      </c>
      <c r="AA717" s="31" t="s">
        <v>1821</v>
      </c>
      <c r="AB717" s="32">
        <v>26462</v>
      </c>
      <c r="AC717" s="32" t="s">
        <v>3326</v>
      </c>
      <c r="AD717" s="22" t="str">
        <f t="shared" ca="1" si="49"/>
        <v xml:space="preserve">53 Tahun 4 Bulan </v>
      </c>
      <c r="AE717" s="33" t="s">
        <v>1106</v>
      </c>
      <c r="AF717" s="34"/>
      <c r="AG717" s="22" t="s">
        <v>3253</v>
      </c>
      <c r="AH717" s="58"/>
      <c r="AI717" s="58"/>
      <c r="AJ717" s="58"/>
      <c r="AK717" s="33"/>
      <c r="AL717" s="36"/>
      <c r="AM717" s="14"/>
    </row>
    <row r="718" spans="1:39" ht="14.45" customHeight="1" x14ac:dyDescent="0.25">
      <c r="A718" s="17">
        <v>9</v>
      </c>
      <c r="B718" s="78"/>
      <c r="C718" s="50" t="s">
        <v>3327</v>
      </c>
      <c r="D718" s="20" t="s">
        <v>3328</v>
      </c>
      <c r="E718" s="21" t="s">
        <v>40</v>
      </c>
      <c r="F718" s="22" t="s">
        <v>41</v>
      </c>
      <c r="G718" s="23" t="s">
        <v>42</v>
      </c>
      <c r="H718" s="22" t="s">
        <v>43</v>
      </c>
      <c r="I718" s="22" t="s">
        <v>44</v>
      </c>
      <c r="J718" s="22" t="s">
        <v>3329</v>
      </c>
      <c r="K718" s="24">
        <v>45505</v>
      </c>
      <c r="L718" s="144" t="s">
        <v>3330</v>
      </c>
      <c r="M718" s="145">
        <v>42695</v>
      </c>
      <c r="N718" s="145">
        <v>44384</v>
      </c>
      <c r="O718" s="146" t="s">
        <v>3289</v>
      </c>
      <c r="P718" s="144" t="s">
        <v>3331</v>
      </c>
      <c r="Q718" s="145">
        <v>42956</v>
      </c>
      <c r="R718" s="145">
        <v>44384</v>
      </c>
      <c r="S718" s="23" t="s">
        <v>84</v>
      </c>
      <c r="T718" s="23"/>
      <c r="U718" s="23"/>
      <c r="V718" s="23"/>
      <c r="W718" s="30">
        <v>36220</v>
      </c>
      <c r="X718" s="30">
        <v>36220</v>
      </c>
      <c r="Y718" s="30">
        <v>41730</v>
      </c>
      <c r="Z718" s="31" t="str">
        <f t="shared" ca="1" si="51"/>
        <v>26 Tahun 7 Bulan 30 Hari</v>
      </c>
      <c r="AA718" s="31" t="s">
        <v>141</v>
      </c>
      <c r="AB718" s="32">
        <v>26487</v>
      </c>
      <c r="AC718" s="32" t="s">
        <v>3332</v>
      </c>
      <c r="AD718" s="22" t="str">
        <f t="shared" ca="1" si="49"/>
        <v xml:space="preserve">53 Tahun 3 Bulan </v>
      </c>
      <c r="AE718" s="33" t="s">
        <v>1106</v>
      </c>
      <c r="AF718" s="34"/>
      <c r="AG718" s="22" t="s">
        <v>3253</v>
      </c>
      <c r="AH718" s="58"/>
      <c r="AI718" s="58"/>
      <c r="AJ718" s="58"/>
      <c r="AK718" s="33"/>
      <c r="AL718" s="22"/>
      <c r="AM718" s="14"/>
    </row>
    <row r="719" spans="1:39" ht="14.45" customHeight="1" x14ac:dyDescent="0.25">
      <c r="A719" s="17">
        <v>10</v>
      </c>
      <c r="B719" s="78"/>
      <c r="C719" s="50" t="s">
        <v>3333</v>
      </c>
      <c r="D719" s="20" t="s">
        <v>3334</v>
      </c>
      <c r="E719" s="21" t="s">
        <v>40</v>
      </c>
      <c r="F719" s="22" t="s">
        <v>41</v>
      </c>
      <c r="G719" s="23" t="s">
        <v>137</v>
      </c>
      <c r="H719" s="22" t="s">
        <v>138</v>
      </c>
      <c r="I719" s="22" t="s">
        <v>44</v>
      </c>
      <c r="J719" s="22" t="s">
        <v>1166</v>
      </c>
      <c r="K719" s="24">
        <v>42461</v>
      </c>
      <c r="L719" s="53" t="s">
        <v>3335</v>
      </c>
      <c r="M719" s="26">
        <v>43117</v>
      </c>
      <c r="N719" s="26">
        <v>45061</v>
      </c>
      <c r="O719" s="27" t="s">
        <v>148</v>
      </c>
      <c r="P719" s="53" t="s">
        <v>3336</v>
      </c>
      <c r="Q719" s="26">
        <v>43305</v>
      </c>
      <c r="R719" s="29">
        <v>45061</v>
      </c>
      <c r="S719" s="23" t="s">
        <v>1172</v>
      </c>
      <c r="T719" s="23"/>
      <c r="U719" s="23"/>
      <c r="V719" s="23"/>
      <c r="W719" s="30">
        <v>34029</v>
      </c>
      <c r="X719" s="30">
        <v>34029</v>
      </c>
      <c r="Y719" s="30">
        <v>42005</v>
      </c>
      <c r="Z719" s="31" t="str">
        <f t="shared" ca="1" si="51"/>
        <v>32 Tahun 7 Bulan 30 Hari</v>
      </c>
      <c r="AA719" s="31" t="s">
        <v>76</v>
      </c>
      <c r="AB719" s="32">
        <v>26799</v>
      </c>
      <c r="AC719" s="31" t="s">
        <v>3337</v>
      </c>
      <c r="AD719" s="22" t="str">
        <f t="shared" ca="1" si="49"/>
        <v xml:space="preserve">52 Tahun 5 Bulan </v>
      </c>
      <c r="AE719" s="33" t="s">
        <v>1106</v>
      </c>
      <c r="AF719" s="34"/>
      <c r="AG719" s="22" t="s">
        <v>3253</v>
      </c>
      <c r="AH719" s="58"/>
      <c r="AI719" s="58"/>
      <c r="AJ719" s="58"/>
      <c r="AK719" s="33"/>
      <c r="AL719" s="36"/>
      <c r="AM719" s="14"/>
    </row>
    <row r="720" spans="1:39" ht="14.45" customHeight="1" x14ac:dyDescent="0.25">
      <c r="A720" s="17">
        <v>11</v>
      </c>
      <c r="B720" s="134"/>
      <c r="C720" s="138" t="s">
        <v>3338</v>
      </c>
      <c r="D720" s="20" t="s">
        <v>3339</v>
      </c>
      <c r="E720" s="52" t="s">
        <v>40</v>
      </c>
      <c r="F720" s="58" t="s">
        <v>41</v>
      </c>
      <c r="G720" s="23" t="s">
        <v>137</v>
      </c>
      <c r="H720" s="22" t="s">
        <v>138</v>
      </c>
      <c r="I720" s="22" t="s">
        <v>44</v>
      </c>
      <c r="J720" s="22" t="s">
        <v>1166</v>
      </c>
      <c r="K720" s="24">
        <v>43252</v>
      </c>
      <c r="L720" s="25" t="s">
        <v>3340</v>
      </c>
      <c r="M720" s="26">
        <v>43117</v>
      </c>
      <c r="N720" s="26">
        <v>45255</v>
      </c>
      <c r="O720" s="27" t="s">
        <v>148</v>
      </c>
      <c r="P720" s="53" t="s">
        <v>3341</v>
      </c>
      <c r="Q720" s="26">
        <v>43305</v>
      </c>
      <c r="R720" s="29">
        <v>45255</v>
      </c>
      <c r="S720" s="23" t="s">
        <v>1167</v>
      </c>
      <c r="T720" s="23"/>
      <c r="U720" s="23"/>
      <c r="V720" s="23"/>
      <c r="W720" s="30">
        <v>34394</v>
      </c>
      <c r="X720" s="30">
        <v>34394</v>
      </c>
      <c r="Y720" s="30">
        <v>42005</v>
      </c>
      <c r="Z720" s="55" t="str">
        <f t="shared" ca="1" si="51"/>
        <v>31 Tahun 7 Bulan 30 Hari</v>
      </c>
      <c r="AA720" s="55" t="s">
        <v>76</v>
      </c>
      <c r="AB720" s="56">
        <v>26993</v>
      </c>
      <c r="AC720" s="31" t="s">
        <v>3342</v>
      </c>
      <c r="AD720" s="57" t="str">
        <f t="shared" ca="1" si="49"/>
        <v xml:space="preserve">51 Tahun 11 Bulan </v>
      </c>
      <c r="AE720" s="33" t="s">
        <v>1106</v>
      </c>
      <c r="AF720" s="71"/>
      <c r="AG720" s="22" t="s">
        <v>3253</v>
      </c>
      <c r="AH720" s="58"/>
      <c r="AI720" s="58"/>
      <c r="AJ720" s="58"/>
      <c r="AK720" s="33"/>
      <c r="AL720" s="36"/>
      <c r="AM720" s="14"/>
    </row>
    <row r="721" spans="1:39" ht="14.45" customHeight="1" x14ac:dyDescent="0.25">
      <c r="A721" s="17">
        <v>12</v>
      </c>
      <c r="B721" s="18"/>
      <c r="C721" s="50" t="s">
        <v>5881</v>
      </c>
      <c r="D721" s="20" t="s">
        <v>3343</v>
      </c>
      <c r="E721" s="21" t="s">
        <v>40</v>
      </c>
      <c r="F721" s="22" t="s">
        <v>41</v>
      </c>
      <c r="G721" s="23" t="s">
        <v>137</v>
      </c>
      <c r="H721" s="22" t="s">
        <v>138</v>
      </c>
      <c r="I721" s="22" t="s">
        <v>44</v>
      </c>
      <c r="J721" s="22" t="s">
        <v>1166</v>
      </c>
      <c r="K721" s="24">
        <v>42826</v>
      </c>
      <c r="L721" s="53" t="s">
        <v>3344</v>
      </c>
      <c r="M721" s="26">
        <v>43117</v>
      </c>
      <c r="N721" s="26">
        <v>45139</v>
      </c>
      <c r="O721" s="27" t="s">
        <v>148</v>
      </c>
      <c r="P721" s="53" t="s">
        <v>3345</v>
      </c>
      <c r="Q721" s="26">
        <v>43367</v>
      </c>
      <c r="R721" s="26">
        <v>45139</v>
      </c>
      <c r="S721" s="23" t="s">
        <v>1167</v>
      </c>
      <c r="T721" s="23"/>
      <c r="U721" s="23"/>
      <c r="V721" s="23"/>
      <c r="W721" s="30">
        <v>35855</v>
      </c>
      <c r="X721" s="30">
        <v>35855</v>
      </c>
      <c r="Y721" s="30">
        <v>43525</v>
      </c>
      <c r="Z721" s="31" t="str">
        <f t="shared" ca="1" si="51"/>
        <v>27 Tahun 7 Bulan 30 Hari</v>
      </c>
      <c r="AA721" s="31" t="s">
        <v>76</v>
      </c>
      <c r="AB721" s="32">
        <v>27242</v>
      </c>
      <c r="AC721" s="32" t="s">
        <v>3346</v>
      </c>
      <c r="AD721" s="22" t="str">
        <f t="shared" ca="1" si="49"/>
        <v xml:space="preserve">51 Tahun 2 Bulan </v>
      </c>
      <c r="AE721" s="33" t="s">
        <v>1106</v>
      </c>
      <c r="AF721" s="34"/>
      <c r="AG721" s="22" t="s">
        <v>3253</v>
      </c>
      <c r="AH721" s="58"/>
      <c r="AI721" s="58"/>
      <c r="AJ721" s="58"/>
      <c r="AK721" s="33"/>
      <c r="AL721" s="36"/>
      <c r="AM721" s="14"/>
    </row>
    <row r="722" spans="1:39" ht="14.45" customHeight="1" x14ac:dyDescent="0.25">
      <c r="A722" s="17">
        <v>13</v>
      </c>
      <c r="B722" s="78"/>
      <c r="C722" s="50" t="s">
        <v>5882</v>
      </c>
      <c r="D722" s="20" t="s">
        <v>3347</v>
      </c>
      <c r="E722" s="52" t="s">
        <v>56</v>
      </c>
      <c r="F722" s="22" t="s">
        <v>41</v>
      </c>
      <c r="G722" s="23" t="s">
        <v>137</v>
      </c>
      <c r="H722" s="22" t="s">
        <v>138</v>
      </c>
      <c r="I722" s="22" t="s">
        <v>44</v>
      </c>
      <c r="J722" s="22" t="s">
        <v>1166</v>
      </c>
      <c r="K722" s="24">
        <v>42461</v>
      </c>
      <c r="L722" s="53" t="s">
        <v>3348</v>
      </c>
      <c r="M722" s="26">
        <v>43145</v>
      </c>
      <c r="N722" s="26">
        <v>45158</v>
      </c>
      <c r="O722" s="27" t="s">
        <v>148</v>
      </c>
      <c r="P722" s="53" t="s">
        <v>3349</v>
      </c>
      <c r="Q722" s="26">
        <v>43305</v>
      </c>
      <c r="R722" s="29">
        <v>45158</v>
      </c>
      <c r="S722" s="23" t="s">
        <v>1167</v>
      </c>
      <c r="T722" s="23"/>
      <c r="U722" s="23"/>
      <c r="V722" s="23"/>
      <c r="W722" s="30">
        <v>35490</v>
      </c>
      <c r="X722" s="30">
        <v>35490</v>
      </c>
      <c r="Y722" s="22"/>
      <c r="Z722" s="55" t="str">
        <f t="shared" ca="1" si="51"/>
        <v>28 Tahun 7 Bulan 30 Hari</v>
      </c>
      <c r="AA722" s="55" t="s">
        <v>76</v>
      </c>
      <c r="AB722" s="56">
        <v>27261</v>
      </c>
      <c r="AC722" s="31" t="s">
        <v>3350</v>
      </c>
      <c r="AD722" s="57" t="str">
        <f t="shared" ca="1" si="49"/>
        <v xml:space="preserve">51 Tahun 2 Bulan </v>
      </c>
      <c r="AE722" s="33" t="s">
        <v>1106</v>
      </c>
      <c r="AF722" s="71"/>
      <c r="AG722" s="22" t="s">
        <v>3253</v>
      </c>
      <c r="AH722" s="22"/>
      <c r="AI722" s="22"/>
      <c r="AJ722" s="22"/>
      <c r="AK722" s="33"/>
      <c r="AL722" s="36"/>
      <c r="AM722" s="14"/>
    </row>
    <row r="723" spans="1:39" ht="14.45" customHeight="1" x14ac:dyDescent="0.25">
      <c r="A723" s="17">
        <v>14</v>
      </c>
      <c r="B723" s="78"/>
      <c r="C723" s="50" t="s">
        <v>5883</v>
      </c>
      <c r="D723" s="20" t="s">
        <v>3351</v>
      </c>
      <c r="E723" s="21" t="s">
        <v>40</v>
      </c>
      <c r="F723" s="22" t="s">
        <v>41</v>
      </c>
      <c r="G723" s="23" t="s">
        <v>137</v>
      </c>
      <c r="H723" s="22" t="s">
        <v>138</v>
      </c>
      <c r="I723" s="22" t="s">
        <v>44</v>
      </c>
      <c r="J723" s="22" t="s">
        <v>1166</v>
      </c>
      <c r="K723" s="24">
        <v>42461</v>
      </c>
      <c r="L723" s="25" t="s">
        <v>3352</v>
      </c>
      <c r="M723" s="26">
        <v>42926</v>
      </c>
      <c r="N723" s="26">
        <v>44638</v>
      </c>
      <c r="O723" s="27" t="s">
        <v>1155</v>
      </c>
      <c r="P723" s="53" t="s">
        <v>3353</v>
      </c>
      <c r="Q723" s="29">
        <v>43057</v>
      </c>
      <c r="R723" s="26">
        <v>44638</v>
      </c>
      <c r="S723" s="23" t="s">
        <v>1167</v>
      </c>
      <c r="T723" s="23"/>
      <c r="U723" s="23"/>
      <c r="V723" s="23"/>
      <c r="W723" s="30">
        <v>36220</v>
      </c>
      <c r="X723" s="30">
        <v>36220</v>
      </c>
      <c r="Y723" s="30">
        <v>40664</v>
      </c>
      <c r="Z723" s="31" t="str">
        <f t="shared" ca="1" si="51"/>
        <v>26 Tahun 7 Bulan 30 Hari</v>
      </c>
      <c r="AA723" s="31" t="s">
        <v>128</v>
      </c>
      <c r="AB723" s="32">
        <v>27471</v>
      </c>
      <c r="AC723" s="31" t="s">
        <v>3354</v>
      </c>
      <c r="AD723" s="22" t="str">
        <f t="shared" ca="1" si="49"/>
        <v xml:space="preserve">50 Tahun 7 Bulan </v>
      </c>
      <c r="AE723" s="33" t="s">
        <v>1106</v>
      </c>
      <c r="AF723" s="34"/>
      <c r="AG723" s="22" t="s">
        <v>3253</v>
      </c>
      <c r="AH723" s="22"/>
      <c r="AI723" s="22"/>
      <c r="AJ723" s="22"/>
      <c r="AK723" s="33"/>
      <c r="AL723" s="36"/>
      <c r="AM723" s="14"/>
    </row>
    <row r="724" spans="1:39" ht="14.45" customHeight="1" x14ac:dyDescent="0.25">
      <c r="A724" s="17">
        <v>15</v>
      </c>
      <c r="B724" s="18"/>
      <c r="C724" s="50" t="s">
        <v>3355</v>
      </c>
      <c r="D724" s="20" t="s">
        <v>3356</v>
      </c>
      <c r="E724" s="52" t="s">
        <v>40</v>
      </c>
      <c r="F724" s="22" t="s">
        <v>41</v>
      </c>
      <c r="G724" s="23" t="s">
        <v>42</v>
      </c>
      <c r="H724" s="22" t="s">
        <v>43</v>
      </c>
      <c r="I724" s="22" t="s">
        <v>44</v>
      </c>
      <c r="J724" s="22" t="s">
        <v>148</v>
      </c>
      <c r="K724" s="24">
        <v>45505</v>
      </c>
      <c r="L724" s="53" t="s">
        <v>3357</v>
      </c>
      <c r="M724" s="26">
        <v>43117</v>
      </c>
      <c r="N724" s="26">
        <v>45062</v>
      </c>
      <c r="O724" s="27" t="s">
        <v>148</v>
      </c>
      <c r="P724" s="53" t="s">
        <v>3358</v>
      </c>
      <c r="Q724" s="26">
        <v>43367</v>
      </c>
      <c r="R724" s="26">
        <v>45062</v>
      </c>
      <c r="S724" s="23" t="s">
        <v>84</v>
      </c>
      <c r="T724" s="23">
        <v>2021</v>
      </c>
      <c r="U724" s="23"/>
      <c r="V724" s="23"/>
      <c r="W724" s="30">
        <v>36586</v>
      </c>
      <c r="X724" s="30">
        <v>36586</v>
      </c>
      <c r="Y724" s="30">
        <v>43525</v>
      </c>
      <c r="Z724" s="55" t="str">
        <f t="shared" ca="1" si="51"/>
        <v>25 Tahun 7 Bulan 30 Hari</v>
      </c>
      <c r="AA724" s="55" t="s">
        <v>260</v>
      </c>
      <c r="AB724" s="56">
        <v>27530</v>
      </c>
      <c r="AC724" s="31" t="s">
        <v>3359</v>
      </c>
      <c r="AD724" s="57" t="str">
        <f t="shared" ca="1" si="49"/>
        <v xml:space="preserve">50 Tahun 5 Bulan </v>
      </c>
      <c r="AE724" s="33" t="s">
        <v>1106</v>
      </c>
      <c r="AF724" s="71"/>
      <c r="AG724" s="22" t="s">
        <v>3253</v>
      </c>
      <c r="AH724" s="22"/>
      <c r="AI724" s="22"/>
      <c r="AJ724" s="22"/>
      <c r="AK724" s="33"/>
      <c r="AL724" s="36"/>
      <c r="AM724" s="14"/>
    </row>
    <row r="725" spans="1:39" ht="14.45" customHeight="1" x14ac:dyDescent="0.25">
      <c r="A725" s="17">
        <v>16</v>
      </c>
      <c r="B725" s="78"/>
      <c r="C725" s="19" t="s">
        <v>5884</v>
      </c>
      <c r="D725" s="20" t="s">
        <v>3360</v>
      </c>
      <c r="E725" s="52" t="s">
        <v>56</v>
      </c>
      <c r="F725" s="22" t="s">
        <v>41</v>
      </c>
      <c r="G725" s="23" t="s">
        <v>102</v>
      </c>
      <c r="H725" s="22" t="s">
        <v>103</v>
      </c>
      <c r="I725" s="22" t="s">
        <v>44</v>
      </c>
      <c r="J725" s="22" t="s">
        <v>1166</v>
      </c>
      <c r="K725" s="24">
        <v>45200</v>
      </c>
      <c r="L725" s="53" t="s">
        <v>3361</v>
      </c>
      <c r="M725" s="26">
        <v>43117</v>
      </c>
      <c r="N725" s="26">
        <v>45028</v>
      </c>
      <c r="O725" s="27" t="s">
        <v>148</v>
      </c>
      <c r="P725" s="53" t="s">
        <v>3362</v>
      </c>
      <c r="Q725" s="26">
        <v>43192</v>
      </c>
      <c r="R725" s="26">
        <v>45028</v>
      </c>
      <c r="S725" s="23" t="s">
        <v>1172</v>
      </c>
      <c r="T725" s="23"/>
      <c r="U725" s="23"/>
      <c r="V725" s="23"/>
      <c r="W725" s="30">
        <v>40513</v>
      </c>
      <c r="X725" s="30">
        <v>40664</v>
      </c>
      <c r="Y725" s="22"/>
      <c r="Z725" s="55" t="str">
        <f t="shared" ca="1" si="51"/>
        <v>14 Tahun 10 Bulan 30 Hari</v>
      </c>
      <c r="AA725" s="55" t="s">
        <v>171</v>
      </c>
      <c r="AB725" s="56">
        <v>27862</v>
      </c>
      <c r="AC725" s="31" t="s">
        <v>3363</v>
      </c>
      <c r="AD725" s="57" t="str">
        <f t="shared" ca="1" si="49"/>
        <v xml:space="preserve">49 Tahun 6 Bulan </v>
      </c>
      <c r="AE725" s="33" t="s">
        <v>1106</v>
      </c>
      <c r="AF725" s="71"/>
      <c r="AG725" s="22" t="s">
        <v>3253</v>
      </c>
      <c r="AH725" s="22"/>
      <c r="AI725" s="22"/>
      <c r="AJ725" s="22"/>
      <c r="AK725" s="33"/>
      <c r="AL725" s="36"/>
      <c r="AM725" s="14"/>
    </row>
    <row r="726" spans="1:39" ht="14.45" customHeight="1" x14ac:dyDescent="0.25">
      <c r="A726" s="17">
        <v>17</v>
      </c>
      <c r="B726" s="78"/>
      <c r="C726" s="50" t="s">
        <v>3364</v>
      </c>
      <c r="D726" s="20" t="s">
        <v>3365</v>
      </c>
      <c r="E726" s="52" t="s">
        <v>40</v>
      </c>
      <c r="F726" s="22" t="s">
        <v>41</v>
      </c>
      <c r="G726" s="23" t="s">
        <v>137</v>
      </c>
      <c r="H726" s="22" t="s">
        <v>138</v>
      </c>
      <c r="I726" s="22" t="s">
        <v>44</v>
      </c>
      <c r="J726" s="22" t="s">
        <v>1148</v>
      </c>
      <c r="K726" s="24">
        <v>45200</v>
      </c>
      <c r="L726" s="25" t="s">
        <v>3366</v>
      </c>
      <c r="M726" s="26">
        <v>42926</v>
      </c>
      <c r="N726" s="26">
        <v>44619</v>
      </c>
      <c r="O726" s="27" t="s">
        <v>1826</v>
      </c>
      <c r="P726" s="53" t="s">
        <v>3367</v>
      </c>
      <c r="Q726" s="26">
        <v>43096</v>
      </c>
      <c r="R726" s="26">
        <v>43888</v>
      </c>
      <c r="S726" s="23" t="s">
        <v>84</v>
      </c>
      <c r="T726" s="23"/>
      <c r="U726" s="23"/>
      <c r="V726" s="23"/>
      <c r="W726" s="30">
        <v>36220</v>
      </c>
      <c r="X726" s="30">
        <v>36220</v>
      </c>
      <c r="Y726" s="22"/>
      <c r="Z726" s="55" t="str">
        <f t="shared" ca="1" si="51"/>
        <v>26 Tahun 7 Bulan 30 Hari</v>
      </c>
      <c r="AA726" s="55" t="s">
        <v>1178</v>
      </c>
      <c r="AB726" s="56">
        <v>28183</v>
      </c>
      <c r="AC726" s="31" t="s">
        <v>3368</v>
      </c>
      <c r="AD726" s="57" t="str">
        <f t="shared" ca="1" si="49"/>
        <v xml:space="preserve">48 Tahun 8 Bulan </v>
      </c>
      <c r="AE726" s="33" t="s">
        <v>1106</v>
      </c>
      <c r="AF726" s="71"/>
      <c r="AG726" s="22" t="s">
        <v>3253</v>
      </c>
      <c r="AH726" s="22"/>
      <c r="AI726" s="22"/>
      <c r="AJ726" s="22"/>
      <c r="AK726" s="33"/>
      <c r="AL726" s="22"/>
      <c r="AM726" s="14"/>
    </row>
    <row r="727" spans="1:39" ht="14.45" customHeight="1" x14ac:dyDescent="0.25">
      <c r="A727" s="17">
        <v>18</v>
      </c>
      <c r="B727" s="78"/>
      <c r="C727" s="50" t="s">
        <v>3369</v>
      </c>
      <c r="D727" s="20" t="s">
        <v>3370</v>
      </c>
      <c r="E727" s="52" t="s">
        <v>40</v>
      </c>
      <c r="F727" s="22" t="s">
        <v>41</v>
      </c>
      <c r="G727" s="23" t="s">
        <v>57</v>
      </c>
      <c r="H727" s="22" t="s">
        <v>58</v>
      </c>
      <c r="I727" s="22" t="s">
        <v>44</v>
      </c>
      <c r="J727" s="22" t="s">
        <v>148</v>
      </c>
      <c r="K727" s="24">
        <v>45505</v>
      </c>
      <c r="L727" s="53" t="s">
        <v>3371</v>
      </c>
      <c r="M727" s="26">
        <v>43117</v>
      </c>
      <c r="N727" s="26">
        <v>44963</v>
      </c>
      <c r="O727" s="27" t="s">
        <v>148</v>
      </c>
      <c r="P727" s="53" t="s">
        <v>3372</v>
      </c>
      <c r="Q727" s="26">
        <v>43322</v>
      </c>
      <c r="R727" s="29">
        <v>44963</v>
      </c>
      <c r="S727" s="23" t="s">
        <v>84</v>
      </c>
      <c r="T727" s="23"/>
      <c r="U727" s="23"/>
      <c r="V727" s="23"/>
      <c r="W727" s="30">
        <v>36220</v>
      </c>
      <c r="X727" s="30">
        <v>36220</v>
      </c>
      <c r="Y727" s="30">
        <v>42409</v>
      </c>
      <c r="Z727" s="55" t="str">
        <f t="shared" ca="1" si="51"/>
        <v>26 Tahun 7 Bulan 30 Hari</v>
      </c>
      <c r="AA727" s="55" t="s">
        <v>76</v>
      </c>
      <c r="AB727" s="56">
        <v>28527</v>
      </c>
      <c r="AC727" s="32" t="s">
        <v>3373</v>
      </c>
      <c r="AD727" s="57" t="str">
        <f t="shared" ca="1" si="49"/>
        <v xml:space="preserve">47 Tahun 8 Bulan </v>
      </c>
      <c r="AE727" s="33" t="s">
        <v>1106</v>
      </c>
      <c r="AF727" s="71"/>
      <c r="AG727" s="22" t="s">
        <v>3253</v>
      </c>
      <c r="AH727" s="22"/>
      <c r="AI727" s="22"/>
      <c r="AJ727" s="22"/>
      <c r="AK727" s="33"/>
      <c r="AL727" s="36"/>
      <c r="AM727" s="14"/>
    </row>
    <row r="728" spans="1:39" ht="14.45" customHeight="1" x14ac:dyDescent="0.25">
      <c r="A728" s="17">
        <v>19</v>
      </c>
      <c r="B728" s="78"/>
      <c r="C728" s="50" t="s">
        <v>3374</v>
      </c>
      <c r="D728" s="20" t="s">
        <v>3375</v>
      </c>
      <c r="E728" s="52" t="s">
        <v>40</v>
      </c>
      <c r="F728" s="22" t="s">
        <v>41</v>
      </c>
      <c r="G728" s="23" t="s">
        <v>137</v>
      </c>
      <c r="H728" s="22" t="s">
        <v>138</v>
      </c>
      <c r="I728" s="22" t="s">
        <v>44</v>
      </c>
      <c r="J728" s="22" t="s">
        <v>1148</v>
      </c>
      <c r="K728" s="24">
        <v>45200</v>
      </c>
      <c r="L728" s="25" t="s">
        <v>3376</v>
      </c>
      <c r="M728" s="26">
        <v>42926</v>
      </c>
      <c r="N728" s="26">
        <v>44623</v>
      </c>
      <c r="O728" s="27" t="s">
        <v>1155</v>
      </c>
      <c r="P728" s="53" t="s">
        <v>3377</v>
      </c>
      <c r="Q728" s="29">
        <v>43057</v>
      </c>
      <c r="R728" s="26">
        <v>44623</v>
      </c>
      <c r="S728" s="23" t="s">
        <v>84</v>
      </c>
      <c r="T728" s="23">
        <v>2021</v>
      </c>
      <c r="U728" s="23"/>
      <c r="V728" s="23"/>
      <c r="W728" s="30">
        <v>39783</v>
      </c>
      <c r="X728" s="30">
        <v>39845</v>
      </c>
      <c r="Y728" s="30">
        <v>42005</v>
      </c>
      <c r="Z728" s="55" t="str">
        <f t="shared" ca="1" si="51"/>
        <v>16 Tahun 10 Bulan 30 Hari</v>
      </c>
      <c r="AA728" s="55" t="s">
        <v>1737</v>
      </c>
      <c r="AB728" s="56">
        <v>28552</v>
      </c>
      <c r="AC728" s="31" t="s">
        <v>3378</v>
      </c>
      <c r="AD728" s="57" t="str">
        <f t="shared" ca="1" si="49"/>
        <v xml:space="preserve">47 Tahun 7 Bulan </v>
      </c>
      <c r="AE728" s="33" t="s">
        <v>1106</v>
      </c>
      <c r="AF728" s="71"/>
      <c r="AG728" s="22" t="s">
        <v>3253</v>
      </c>
      <c r="AH728" s="58"/>
      <c r="AI728" s="58"/>
      <c r="AJ728" s="58"/>
      <c r="AK728" s="33"/>
      <c r="AL728" s="36"/>
      <c r="AM728" s="14"/>
    </row>
    <row r="729" spans="1:39" ht="14.45" customHeight="1" x14ac:dyDescent="0.25">
      <c r="A729" s="17">
        <v>20</v>
      </c>
      <c r="B729" s="78"/>
      <c r="C729" s="50" t="s">
        <v>5885</v>
      </c>
      <c r="D729" s="20" t="s">
        <v>3379</v>
      </c>
      <c r="E729" s="52" t="s">
        <v>40</v>
      </c>
      <c r="F729" s="22" t="s">
        <v>41</v>
      </c>
      <c r="G729" s="23" t="s">
        <v>137</v>
      </c>
      <c r="H729" s="22" t="s">
        <v>138</v>
      </c>
      <c r="I729" s="22" t="s">
        <v>44</v>
      </c>
      <c r="J729" s="22" t="s">
        <v>1166</v>
      </c>
      <c r="K729" s="24">
        <v>43739</v>
      </c>
      <c r="L729" s="53" t="s">
        <v>3380</v>
      </c>
      <c r="M729" s="26">
        <v>43117</v>
      </c>
      <c r="N729" s="26">
        <v>45026</v>
      </c>
      <c r="O729" s="27" t="s">
        <v>148</v>
      </c>
      <c r="P729" s="53" t="s">
        <v>3381</v>
      </c>
      <c r="Q729" s="26">
        <v>43367</v>
      </c>
      <c r="R729" s="26">
        <v>45026</v>
      </c>
      <c r="S729" s="33" t="s">
        <v>1172</v>
      </c>
      <c r="T729" s="33"/>
      <c r="U729" s="33"/>
      <c r="V729" s="33"/>
      <c r="W729" s="30">
        <v>37956</v>
      </c>
      <c r="X729" s="30">
        <v>41312</v>
      </c>
      <c r="Y729" s="30">
        <v>43887</v>
      </c>
      <c r="Z729" s="55" t="str">
        <f t="shared" ca="1" si="51"/>
        <v>21 Tahun 10 Bulan 30 Hari</v>
      </c>
      <c r="AA729" s="55" t="s">
        <v>1279</v>
      </c>
      <c r="AB729" s="75">
        <v>29686</v>
      </c>
      <c r="AC729" s="31" t="s">
        <v>3382</v>
      </c>
      <c r="AD729" s="57" t="str">
        <f t="shared" ca="1" si="49"/>
        <v xml:space="preserve">44 Tahun 6 Bulan </v>
      </c>
      <c r="AE729" s="33" t="s">
        <v>1106</v>
      </c>
      <c r="AF729" s="71"/>
      <c r="AG729" s="22" t="s">
        <v>3253</v>
      </c>
      <c r="AH729" s="22"/>
      <c r="AI729" s="22"/>
      <c r="AJ729" s="22"/>
      <c r="AK729" s="33"/>
      <c r="AL729" s="36"/>
      <c r="AM729" s="14"/>
    </row>
    <row r="730" spans="1:39" ht="14.45" customHeight="1" x14ac:dyDescent="0.25">
      <c r="A730" s="17">
        <v>21</v>
      </c>
      <c r="B730" s="78"/>
      <c r="C730" s="50" t="s">
        <v>3383</v>
      </c>
      <c r="D730" s="20" t="s">
        <v>3384</v>
      </c>
      <c r="E730" s="52" t="s">
        <v>40</v>
      </c>
      <c r="F730" s="22" t="s">
        <v>41</v>
      </c>
      <c r="G730" s="23" t="s">
        <v>137</v>
      </c>
      <c r="H730" s="22" t="s">
        <v>138</v>
      </c>
      <c r="I730" s="22" t="s">
        <v>44</v>
      </c>
      <c r="J730" s="22" t="s">
        <v>1148</v>
      </c>
      <c r="K730" s="24">
        <v>45505</v>
      </c>
      <c r="L730" s="25" t="s">
        <v>3385</v>
      </c>
      <c r="M730" s="26">
        <v>43203</v>
      </c>
      <c r="N730" s="26">
        <v>45248</v>
      </c>
      <c r="O730" s="27" t="s">
        <v>148</v>
      </c>
      <c r="P730" s="53" t="s">
        <v>3386</v>
      </c>
      <c r="Q730" s="26">
        <v>43367</v>
      </c>
      <c r="R730" s="26">
        <v>45248</v>
      </c>
      <c r="S730" s="33" t="s">
        <v>84</v>
      </c>
      <c r="T730" s="33">
        <v>2021</v>
      </c>
      <c r="U730" s="33"/>
      <c r="V730" s="33"/>
      <c r="W730" s="30">
        <v>39783</v>
      </c>
      <c r="X730" s="30">
        <v>41153</v>
      </c>
      <c r="Y730" s="30"/>
      <c r="Z730" s="55" t="str">
        <f t="shared" ca="1" si="51"/>
        <v>16 Tahun 10 Bulan 30 Hari</v>
      </c>
      <c r="AA730" s="55" t="s">
        <v>76</v>
      </c>
      <c r="AB730" s="75">
        <v>29908</v>
      </c>
      <c r="AC730" s="55" t="s">
        <v>3387</v>
      </c>
      <c r="AD730" s="57" t="str">
        <f t="shared" ca="1" si="49"/>
        <v xml:space="preserve">43 Tahun 11 Bulan </v>
      </c>
      <c r="AE730" s="33" t="s">
        <v>1106</v>
      </c>
      <c r="AF730" s="71"/>
      <c r="AG730" s="22" t="s">
        <v>3253</v>
      </c>
      <c r="AH730" s="58"/>
      <c r="AI730" s="58"/>
      <c r="AJ730" s="58"/>
      <c r="AK730" s="33"/>
      <c r="AL730" s="36"/>
      <c r="AM730" s="14"/>
    </row>
    <row r="731" spans="1:39" ht="14.45" customHeight="1" x14ac:dyDescent="0.25">
      <c r="A731" s="17">
        <v>22</v>
      </c>
      <c r="B731" s="78"/>
      <c r="C731" s="50" t="s">
        <v>5886</v>
      </c>
      <c r="D731" s="20" t="s">
        <v>3388</v>
      </c>
      <c r="E731" s="21" t="s">
        <v>40</v>
      </c>
      <c r="F731" s="22" t="s">
        <v>41</v>
      </c>
      <c r="G731" s="23" t="s">
        <v>137</v>
      </c>
      <c r="H731" s="22" t="s">
        <v>138</v>
      </c>
      <c r="I731" s="22" t="s">
        <v>44</v>
      </c>
      <c r="J731" s="22" t="s">
        <v>3287</v>
      </c>
      <c r="K731" s="24">
        <v>45566</v>
      </c>
      <c r="L731" s="25" t="s">
        <v>3389</v>
      </c>
      <c r="M731" s="26">
        <v>44568</v>
      </c>
      <c r="N731" s="26">
        <v>44599</v>
      </c>
      <c r="O731" s="27" t="s">
        <v>3390</v>
      </c>
      <c r="P731" s="53" t="s">
        <v>3391</v>
      </c>
      <c r="Q731" s="29">
        <v>42956</v>
      </c>
      <c r="R731" s="26">
        <v>44599</v>
      </c>
      <c r="S731" s="23" t="s">
        <v>1167</v>
      </c>
      <c r="T731" s="23"/>
      <c r="U731" s="23"/>
      <c r="V731" s="23"/>
      <c r="W731" s="30">
        <v>38808</v>
      </c>
      <c r="X731" s="30">
        <v>38808</v>
      </c>
      <c r="Y731" s="30"/>
      <c r="Z731" s="31" t="str">
        <f t="shared" ca="1" si="51"/>
        <v>19 Tahun 6 Bulan 30 Hari</v>
      </c>
      <c r="AA731" s="31" t="s">
        <v>3392</v>
      </c>
      <c r="AB731" s="32">
        <v>30354</v>
      </c>
      <c r="AC731" s="31" t="s">
        <v>3393</v>
      </c>
      <c r="AD731" s="22" t="str">
        <f t="shared" ca="1" si="49"/>
        <v xml:space="preserve">42 Tahun 8 Bulan </v>
      </c>
      <c r="AE731" s="33" t="s">
        <v>1106</v>
      </c>
      <c r="AF731" s="34"/>
      <c r="AG731" s="22" t="s">
        <v>3253</v>
      </c>
      <c r="AH731" s="22"/>
      <c r="AI731" s="22"/>
      <c r="AJ731" s="22"/>
      <c r="AK731" s="33"/>
      <c r="AL731" s="36"/>
      <c r="AM731" s="14"/>
    </row>
    <row r="732" spans="1:39" ht="14.45" customHeight="1" x14ac:dyDescent="0.25">
      <c r="A732" s="17">
        <v>23</v>
      </c>
      <c r="B732" s="78"/>
      <c r="C732" s="50" t="s">
        <v>3394</v>
      </c>
      <c r="D732" s="20" t="s">
        <v>3395</v>
      </c>
      <c r="E732" s="21" t="s">
        <v>40</v>
      </c>
      <c r="F732" s="22" t="s">
        <v>41</v>
      </c>
      <c r="G732" s="23" t="s">
        <v>137</v>
      </c>
      <c r="H732" s="22" t="s">
        <v>138</v>
      </c>
      <c r="I732" s="22" t="s">
        <v>44</v>
      </c>
      <c r="J732" s="22" t="s">
        <v>1166</v>
      </c>
      <c r="K732" s="24">
        <v>44105</v>
      </c>
      <c r="L732" s="25" t="s">
        <v>3396</v>
      </c>
      <c r="M732" s="26">
        <v>43117</v>
      </c>
      <c r="N732" s="26">
        <v>45136</v>
      </c>
      <c r="O732" s="27" t="s">
        <v>148</v>
      </c>
      <c r="P732" s="53" t="s">
        <v>3397</v>
      </c>
      <c r="Q732" s="29">
        <v>43096</v>
      </c>
      <c r="R732" s="26">
        <v>43277</v>
      </c>
      <c r="S732" s="23" t="s">
        <v>84</v>
      </c>
      <c r="T732" s="23"/>
      <c r="U732" s="23"/>
      <c r="V732" s="23"/>
      <c r="W732" s="30">
        <v>38353</v>
      </c>
      <c r="X732" s="30">
        <v>38353</v>
      </c>
      <c r="Y732" s="30"/>
      <c r="Z732" s="31" t="str">
        <f t="shared" ca="1" si="51"/>
        <v>20 Tahun 9 Bulan 30 Hari</v>
      </c>
      <c r="AA732" s="31" t="s">
        <v>76</v>
      </c>
      <c r="AB732" s="32">
        <v>30892</v>
      </c>
      <c r="AC732" s="31" t="s">
        <v>3398</v>
      </c>
      <c r="AD732" s="22" t="str">
        <f t="shared" ca="1" si="49"/>
        <v xml:space="preserve">41 Tahun 3 Bulan </v>
      </c>
      <c r="AE732" s="33" t="s">
        <v>1106</v>
      </c>
      <c r="AF732" s="34"/>
      <c r="AG732" s="22" t="s">
        <v>3253</v>
      </c>
      <c r="AH732" s="58"/>
      <c r="AI732" s="58"/>
      <c r="AJ732" s="58"/>
      <c r="AK732" s="33"/>
      <c r="AL732" s="36"/>
      <c r="AM732" s="14"/>
    </row>
    <row r="733" spans="1:39" ht="14.45" customHeight="1" x14ac:dyDescent="0.25">
      <c r="A733" s="17">
        <v>24</v>
      </c>
      <c r="B733" s="78"/>
      <c r="C733" s="50" t="s">
        <v>6167</v>
      </c>
      <c r="D733" s="20" t="s">
        <v>3399</v>
      </c>
      <c r="E733" s="21" t="s">
        <v>40</v>
      </c>
      <c r="F733" s="22" t="s">
        <v>41</v>
      </c>
      <c r="G733" s="23" t="s">
        <v>102</v>
      </c>
      <c r="H733" s="22" t="s">
        <v>103</v>
      </c>
      <c r="I733" s="22" t="s">
        <v>44</v>
      </c>
      <c r="J733" s="22" t="s">
        <v>3287</v>
      </c>
      <c r="K733" s="24">
        <v>45870</v>
      </c>
      <c r="L733" s="25" t="s">
        <v>3400</v>
      </c>
      <c r="M733" s="26">
        <v>42695</v>
      </c>
      <c r="N733" s="26">
        <v>44253</v>
      </c>
      <c r="O733" s="27" t="s">
        <v>3289</v>
      </c>
      <c r="P733" s="53" t="s">
        <v>3401</v>
      </c>
      <c r="Q733" s="29">
        <v>42956</v>
      </c>
      <c r="R733" s="26">
        <v>44222</v>
      </c>
      <c r="S733" s="23" t="s">
        <v>1172</v>
      </c>
      <c r="T733" s="23"/>
      <c r="U733" s="23"/>
      <c r="V733" s="23"/>
      <c r="W733" s="30">
        <v>41244</v>
      </c>
      <c r="X733" s="30">
        <v>41334</v>
      </c>
      <c r="Y733" s="30"/>
      <c r="Z733" s="31" t="str">
        <f t="shared" ca="1" si="51"/>
        <v>12 Tahun 10 Bulan 30 Hari</v>
      </c>
      <c r="AA733" s="31" t="s">
        <v>1331</v>
      </c>
      <c r="AB733" s="32">
        <v>31073</v>
      </c>
      <c r="AC733" s="31" t="s">
        <v>3402</v>
      </c>
      <c r="AD733" s="22" t="str">
        <f t="shared" ca="1" si="49"/>
        <v xml:space="preserve">40 Tahun 9 Bulan </v>
      </c>
      <c r="AE733" s="33" t="s">
        <v>1106</v>
      </c>
      <c r="AF733" s="34"/>
      <c r="AG733" s="22" t="s">
        <v>3253</v>
      </c>
      <c r="AH733" s="58"/>
      <c r="AI733" s="58"/>
      <c r="AJ733" s="58"/>
      <c r="AK733" s="33"/>
      <c r="AL733" s="36"/>
      <c r="AM733" s="14"/>
    </row>
    <row r="734" spans="1:39" ht="14.45" customHeight="1" x14ac:dyDescent="0.25">
      <c r="A734" s="17">
        <v>25</v>
      </c>
      <c r="B734" s="78"/>
      <c r="C734" s="50" t="s">
        <v>3403</v>
      </c>
      <c r="D734" s="20" t="s">
        <v>3404</v>
      </c>
      <c r="E734" s="21" t="s">
        <v>40</v>
      </c>
      <c r="F734" s="22" t="s">
        <v>41</v>
      </c>
      <c r="G734" s="23" t="s">
        <v>137</v>
      </c>
      <c r="H734" s="22" t="s">
        <v>138</v>
      </c>
      <c r="I734" s="22" t="s">
        <v>44</v>
      </c>
      <c r="J734" s="22" t="s">
        <v>1166</v>
      </c>
      <c r="K734" s="24">
        <v>45566</v>
      </c>
      <c r="L734" s="25" t="s">
        <v>3405</v>
      </c>
      <c r="M734" s="26">
        <v>43047</v>
      </c>
      <c r="N734" s="26">
        <v>44628</v>
      </c>
      <c r="O734" s="27" t="s">
        <v>1155</v>
      </c>
      <c r="P734" s="53" t="s">
        <v>3406</v>
      </c>
      <c r="Q734" s="29">
        <v>43305</v>
      </c>
      <c r="R734" s="26">
        <v>44628</v>
      </c>
      <c r="S734" s="23" t="s">
        <v>1172</v>
      </c>
      <c r="T734" s="23"/>
      <c r="U734" s="23"/>
      <c r="V734" s="23"/>
      <c r="W734" s="30">
        <v>40148</v>
      </c>
      <c r="X734" s="30">
        <v>40269</v>
      </c>
      <c r="Y734" s="30">
        <v>41730</v>
      </c>
      <c r="Z734" s="31" t="str">
        <f t="shared" ca="1" si="51"/>
        <v>15 Tahun 10 Bulan 30 Hari</v>
      </c>
      <c r="AA734" s="31" t="s">
        <v>2419</v>
      </c>
      <c r="AB734" s="32">
        <v>31114</v>
      </c>
      <c r="AC734" s="31" t="s">
        <v>3407</v>
      </c>
      <c r="AD734" s="22" t="str">
        <f t="shared" ca="1" si="49"/>
        <v xml:space="preserve">40 Tahun 7 Bulan </v>
      </c>
      <c r="AE734" s="33" t="s">
        <v>1106</v>
      </c>
      <c r="AF734" s="34"/>
      <c r="AG734" s="22" t="s">
        <v>3253</v>
      </c>
      <c r="AH734" s="58"/>
      <c r="AI734" s="58"/>
      <c r="AJ734" s="58"/>
      <c r="AK734" s="33"/>
      <c r="AL734" s="36"/>
    </row>
    <row r="735" spans="1:39" ht="14.45" customHeight="1" x14ac:dyDescent="0.25">
      <c r="A735" s="17">
        <v>26</v>
      </c>
      <c r="B735" s="78"/>
      <c r="C735" s="50" t="s">
        <v>5887</v>
      </c>
      <c r="D735" s="20" t="s">
        <v>3408</v>
      </c>
      <c r="E735" s="21" t="s">
        <v>40</v>
      </c>
      <c r="F735" s="22" t="s">
        <v>41</v>
      </c>
      <c r="G735" s="23" t="s">
        <v>102</v>
      </c>
      <c r="H735" s="22" t="s">
        <v>103</v>
      </c>
      <c r="I735" s="22" t="s">
        <v>44</v>
      </c>
      <c r="J735" s="22" t="s">
        <v>1166</v>
      </c>
      <c r="K735" s="24">
        <v>45566</v>
      </c>
      <c r="L735" s="25" t="s">
        <v>1206</v>
      </c>
      <c r="M735" s="26"/>
      <c r="N735" s="26"/>
      <c r="O735" s="27"/>
      <c r="P735" s="53" t="s">
        <v>3409</v>
      </c>
      <c r="Q735" s="29">
        <v>43242</v>
      </c>
      <c r="R735" s="26">
        <v>44036</v>
      </c>
      <c r="S735" s="23" t="s">
        <v>1172</v>
      </c>
      <c r="T735" s="23"/>
      <c r="U735" s="23"/>
      <c r="V735" s="23"/>
      <c r="W735" s="30">
        <v>41244</v>
      </c>
      <c r="X735" s="30">
        <v>41334</v>
      </c>
      <c r="Y735" s="30">
        <v>43525</v>
      </c>
      <c r="Z735" s="31" t="str">
        <f t="shared" ca="1" si="51"/>
        <v>12 Tahun 10 Bulan 30 Hari</v>
      </c>
      <c r="AA735" s="31" t="s">
        <v>76</v>
      </c>
      <c r="AB735" s="32">
        <v>31617</v>
      </c>
      <c r="AC735" s="31" t="s">
        <v>3410</v>
      </c>
      <c r="AD735" s="22" t="str">
        <f t="shared" ca="1" si="49"/>
        <v xml:space="preserve">39 Tahun 3 Bulan </v>
      </c>
      <c r="AE735" s="33" t="s">
        <v>1106</v>
      </c>
      <c r="AF735" s="34"/>
      <c r="AG735" s="22" t="s">
        <v>3253</v>
      </c>
      <c r="AH735" s="58"/>
      <c r="AI735" s="58"/>
      <c r="AJ735" s="58"/>
      <c r="AK735" s="33"/>
      <c r="AL735" s="36"/>
      <c r="AM735" s="14"/>
    </row>
    <row r="736" spans="1:39" ht="14.45" customHeight="1" x14ac:dyDescent="0.25">
      <c r="A736" s="17">
        <v>27</v>
      </c>
      <c r="B736" s="78"/>
      <c r="C736" s="50" t="s">
        <v>5888</v>
      </c>
      <c r="D736" s="20" t="s">
        <v>3411</v>
      </c>
      <c r="E736" s="21" t="s">
        <v>40</v>
      </c>
      <c r="F736" s="22" t="s">
        <v>41</v>
      </c>
      <c r="G736" s="23" t="s">
        <v>227</v>
      </c>
      <c r="H736" s="22" t="s">
        <v>228</v>
      </c>
      <c r="I736" s="22" t="s">
        <v>44</v>
      </c>
      <c r="J736" s="22" t="s">
        <v>1559</v>
      </c>
      <c r="K736" s="24">
        <v>45200</v>
      </c>
      <c r="L736" s="25" t="s">
        <v>3412</v>
      </c>
      <c r="M736" s="26">
        <v>43202</v>
      </c>
      <c r="N736" s="26">
        <v>44993</v>
      </c>
      <c r="O736" s="27" t="s">
        <v>148</v>
      </c>
      <c r="P736" s="53" t="s">
        <v>3413</v>
      </c>
      <c r="Q736" s="29">
        <v>43057</v>
      </c>
      <c r="R736" s="26">
        <v>43237</v>
      </c>
      <c r="S736" s="23" t="s">
        <v>1172</v>
      </c>
      <c r="T736" s="23"/>
      <c r="U736" s="23"/>
      <c r="V736" s="23"/>
      <c r="W736" s="30">
        <v>42095</v>
      </c>
      <c r="X736" s="30">
        <v>42095</v>
      </c>
      <c r="Y736" s="30">
        <v>42095</v>
      </c>
      <c r="Z736" s="31" t="str">
        <f t="shared" ca="1" si="51"/>
        <v>10 Tahun 6 Bulan 30 Hari</v>
      </c>
      <c r="AA736" s="31" t="s">
        <v>171</v>
      </c>
      <c r="AB736" s="32">
        <v>31844</v>
      </c>
      <c r="AC736" s="31" t="s">
        <v>3414</v>
      </c>
      <c r="AD736" s="22" t="str">
        <f t="shared" ca="1" si="49"/>
        <v xml:space="preserve">38 Tahun 7 Bulan </v>
      </c>
      <c r="AE736" s="33" t="s">
        <v>1106</v>
      </c>
      <c r="AF736" s="34"/>
      <c r="AG736" s="22" t="s">
        <v>3253</v>
      </c>
      <c r="AH736" s="58"/>
      <c r="AI736" s="58"/>
      <c r="AJ736" s="58"/>
      <c r="AK736" s="33"/>
      <c r="AL736" s="36"/>
      <c r="AM736" s="14"/>
    </row>
    <row r="737" spans="1:39" ht="14.45" customHeight="1" x14ac:dyDescent="0.25">
      <c r="A737" s="17">
        <v>28</v>
      </c>
      <c r="B737" s="78"/>
      <c r="C737" s="50" t="s">
        <v>3415</v>
      </c>
      <c r="D737" s="20" t="s">
        <v>3416</v>
      </c>
      <c r="E737" s="21" t="s">
        <v>56</v>
      </c>
      <c r="F737" s="22" t="s">
        <v>41</v>
      </c>
      <c r="G737" s="23" t="s">
        <v>137</v>
      </c>
      <c r="H737" s="22" t="s">
        <v>138</v>
      </c>
      <c r="I737" s="22" t="s">
        <v>44</v>
      </c>
      <c r="J737" s="22" t="s">
        <v>3417</v>
      </c>
      <c r="K737" s="24">
        <v>45870</v>
      </c>
      <c r="L737" s="25" t="s">
        <v>3418</v>
      </c>
      <c r="M737" s="26">
        <v>43049</v>
      </c>
      <c r="N737" s="26">
        <v>44686</v>
      </c>
      <c r="O737" s="27" t="s">
        <v>3419</v>
      </c>
      <c r="P737" s="53"/>
      <c r="Q737" s="29"/>
      <c r="R737" s="26"/>
      <c r="S737" s="23" t="s">
        <v>84</v>
      </c>
      <c r="T737" s="23"/>
      <c r="U737" s="23"/>
      <c r="V737" s="23"/>
      <c r="W737" s="30">
        <v>42095</v>
      </c>
      <c r="X737" s="30">
        <v>42095</v>
      </c>
      <c r="Y737" s="30">
        <v>74967</v>
      </c>
      <c r="Z737" s="31" t="str">
        <f t="shared" ca="1" si="51"/>
        <v>10 Tahun 6 Bulan 30 Hari</v>
      </c>
      <c r="AA737" s="31" t="s">
        <v>76</v>
      </c>
      <c r="AB737" s="32">
        <v>31902</v>
      </c>
      <c r="AC737" s="31" t="s">
        <v>3420</v>
      </c>
      <c r="AD737" s="22" t="str">
        <f t="shared" ca="1" si="49"/>
        <v xml:space="preserve">38 Tahun 5 Bulan </v>
      </c>
      <c r="AE737" s="33" t="s">
        <v>1106</v>
      </c>
      <c r="AF737" s="34"/>
      <c r="AG737" s="22" t="s">
        <v>3253</v>
      </c>
      <c r="AH737" s="58"/>
      <c r="AI737" s="58"/>
      <c r="AJ737" s="58"/>
      <c r="AK737" s="33"/>
      <c r="AL737" s="36"/>
      <c r="AM737" s="14"/>
    </row>
    <row r="738" spans="1:39" ht="14.45" customHeight="1" x14ac:dyDescent="0.25">
      <c r="A738" s="17">
        <v>29</v>
      </c>
      <c r="B738" s="78"/>
      <c r="C738" s="50" t="s">
        <v>3421</v>
      </c>
      <c r="D738" s="20" t="s">
        <v>3422</v>
      </c>
      <c r="E738" s="21" t="s">
        <v>40</v>
      </c>
      <c r="F738" s="22" t="s">
        <v>41</v>
      </c>
      <c r="G738" s="23" t="s">
        <v>227</v>
      </c>
      <c r="H738" s="22" t="s">
        <v>228</v>
      </c>
      <c r="I738" s="22" t="s">
        <v>44</v>
      </c>
      <c r="J738" s="22" t="s">
        <v>1148</v>
      </c>
      <c r="K738" s="24">
        <v>45200</v>
      </c>
      <c r="L738" s="25" t="s">
        <v>3423</v>
      </c>
      <c r="M738" s="26">
        <v>42115</v>
      </c>
      <c r="N738" s="26">
        <v>44067</v>
      </c>
      <c r="O738" s="27" t="s">
        <v>84</v>
      </c>
      <c r="P738" s="53" t="s">
        <v>3424</v>
      </c>
      <c r="Q738" s="29">
        <v>43124</v>
      </c>
      <c r="R738" s="26">
        <v>44067</v>
      </c>
      <c r="S738" s="23" t="s">
        <v>84</v>
      </c>
      <c r="T738" s="23"/>
      <c r="U738" s="23"/>
      <c r="V738" s="23"/>
      <c r="W738" s="30">
        <v>44166</v>
      </c>
      <c r="X738" s="30">
        <v>42095</v>
      </c>
      <c r="Y738" s="30">
        <v>42114</v>
      </c>
      <c r="Z738" s="31" t="str">
        <f ca="1">DATEDIF(X738,TODAY(),"y")&amp;" Tahun "&amp;DATEDIF(X738,TODAY(),"ym")&amp;" Bulan "&amp;DATEDIF(X738,TODAY(),"md")&amp;" Hari"</f>
        <v>10 Tahun 6 Bulan 30 Hari</v>
      </c>
      <c r="AA738" s="31" t="s">
        <v>128</v>
      </c>
      <c r="AB738" s="32">
        <v>33109</v>
      </c>
      <c r="AC738" s="31" t="s">
        <v>3425</v>
      </c>
      <c r="AD738" s="22" t="str">
        <f t="shared" ca="1" si="49"/>
        <v xml:space="preserve">35 Tahun 2 Bulan </v>
      </c>
      <c r="AE738" s="33" t="s">
        <v>1106</v>
      </c>
      <c r="AF738" s="34"/>
      <c r="AG738" s="22" t="s">
        <v>3253</v>
      </c>
      <c r="AH738" s="58"/>
      <c r="AI738" s="58"/>
      <c r="AJ738" s="58"/>
      <c r="AK738" s="33"/>
      <c r="AL738" s="22"/>
      <c r="AM738" s="14"/>
    </row>
    <row r="739" spans="1:39" ht="14.45" customHeight="1" x14ac:dyDescent="0.25">
      <c r="A739" s="17">
        <v>30</v>
      </c>
      <c r="B739" s="134"/>
      <c r="C739" s="180" t="s">
        <v>3426</v>
      </c>
      <c r="D739" s="20" t="s">
        <v>3427</v>
      </c>
      <c r="E739" s="21" t="s">
        <v>56</v>
      </c>
      <c r="F739" s="22" t="s">
        <v>41</v>
      </c>
      <c r="G739" s="23" t="s">
        <v>193</v>
      </c>
      <c r="H739" s="22" t="s">
        <v>194</v>
      </c>
      <c r="I739" s="22" t="s">
        <v>44</v>
      </c>
      <c r="J739" s="22" t="s">
        <v>3428</v>
      </c>
      <c r="K739" s="77">
        <v>44621</v>
      </c>
      <c r="L739" s="25"/>
      <c r="M739" s="26"/>
      <c r="N739" s="26"/>
      <c r="O739" s="27"/>
      <c r="P739" s="28"/>
      <c r="Q739" s="29"/>
      <c r="R739" s="26"/>
      <c r="S739" s="23" t="s">
        <v>3291</v>
      </c>
      <c r="T739" s="23">
        <v>2020</v>
      </c>
      <c r="U739" s="23"/>
      <c r="V739" s="23"/>
      <c r="W739" s="77">
        <v>44621</v>
      </c>
      <c r="X739" s="30">
        <v>44621</v>
      </c>
      <c r="Y739" s="30">
        <v>44621</v>
      </c>
      <c r="Z739" s="31" t="str">
        <f ca="1">DATEDIF(X739,TODAY(),"y")&amp;" Tahun "&amp;DATEDIF(X739,TODAY(),"ym")&amp;" Bulan "&amp;DATEDIF(X739,TODAY(),"md")&amp;" Hari"</f>
        <v>3 Tahun 7 Bulan 30 Hari</v>
      </c>
      <c r="AA739" s="55" t="s">
        <v>297</v>
      </c>
      <c r="AB739" s="56">
        <v>35900</v>
      </c>
      <c r="AC739" s="32" t="s">
        <v>3429</v>
      </c>
      <c r="AD739" s="22" t="str">
        <f t="shared" ca="1" si="49"/>
        <v xml:space="preserve">27 Tahun 6 Bulan </v>
      </c>
      <c r="AE739" s="33" t="s">
        <v>1106</v>
      </c>
      <c r="AF739" s="71"/>
      <c r="AG739" s="22" t="s">
        <v>3253</v>
      </c>
      <c r="AH739" s="22"/>
      <c r="AI739" s="22"/>
      <c r="AJ739" s="22"/>
      <c r="AK739" s="33"/>
      <c r="AL739" s="36"/>
      <c r="AM739" s="14"/>
    </row>
    <row r="740" spans="1:39" ht="14.45" customHeight="1" x14ac:dyDescent="0.25">
      <c r="A740" s="17">
        <v>31</v>
      </c>
      <c r="B740" s="134"/>
      <c r="C740" s="180" t="s">
        <v>3430</v>
      </c>
      <c r="D740" s="20" t="s">
        <v>3431</v>
      </c>
      <c r="E740" s="21" t="s">
        <v>56</v>
      </c>
      <c r="F740" s="22" t="s">
        <v>41</v>
      </c>
      <c r="G740" s="23" t="s">
        <v>193</v>
      </c>
      <c r="H740" s="22" t="s">
        <v>194</v>
      </c>
      <c r="I740" s="22" t="s">
        <v>44</v>
      </c>
      <c r="J740" s="22" t="s">
        <v>3428</v>
      </c>
      <c r="K740" s="77">
        <v>44621</v>
      </c>
      <c r="L740" s="25"/>
      <c r="M740" s="26"/>
      <c r="N740" s="26"/>
      <c r="O740" s="27"/>
      <c r="P740" s="28"/>
      <c r="Q740" s="29"/>
      <c r="R740" s="26"/>
      <c r="S740" s="23" t="s">
        <v>3291</v>
      </c>
      <c r="T740" s="23">
        <v>2020</v>
      </c>
      <c r="U740" s="23"/>
      <c r="V740" s="23"/>
      <c r="W740" s="77">
        <v>44621</v>
      </c>
      <c r="X740" s="30">
        <v>44621</v>
      </c>
      <c r="Y740" s="30">
        <v>44621</v>
      </c>
      <c r="Z740" s="31" t="str">
        <f ca="1">DATEDIF(X740,TODAY(),"y")&amp;" Tahun "&amp;DATEDIF(X740,TODAY(),"ym")&amp;" Bulan "&amp;DATEDIF(X740,TODAY(),"md")&amp;" Hari"</f>
        <v>3 Tahun 7 Bulan 30 Hari</v>
      </c>
      <c r="AA740" s="55" t="s">
        <v>2508</v>
      </c>
      <c r="AB740" s="56">
        <v>35738</v>
      </c>
      <c r="AC740" s="32" t="s">
        <v>3432</v>
      </c>
      <c r="AD740" s="22" t="str">
        <f t="shared" ca="1" si="49"/>
        <v xml:space="preserve">27 Tahun 11 Bulan </v>
      </c>
      <c r="AE740" s="33" t="s">
        <v>1106</v>
      </c>
      <c r="AF740" s="71"/>
      <c r="AG740" s="22" t="s">
        <v>3253</v>
      </c>
      <c r="AH740" s="22"/>
      <c r="AI740" s="22"/>
      <c r="AJ740" s="22"/>
      <c r="AK740" s="33"/>
      <c r="AL740" s="36"/>
      <c r="AM740" s="14"/>
    </row>
    <row r="741" spans="1:39" ht="14.45" customHeight="1" x14ac:dyDescent="0.25">
      <c r="A741" s="17">
        <v>32</v>
      </c>
      <c r="B741" s="52"/>
      <c r="C741" s="50" t="s">
        <v>3433</v>
      </c>
      <c r="D741" s="20" t="s">
        <v>3434</v>
      </c>
      <c r="E741" s="52" t="s">
        <v>40</v>
      </c>
      <c r="F741" s="22" t="s">
        <v>41</v>
      </c>
      <c r="G741" s="23" t="s">
        <v>227</v>
      </c>
      <c r="H741" s="22" t="s">
        <v>228</v>
      </c>
      <c r="I741" s="22" t="s">
        <v>44</v>
      </c>
      <c r="J741" s="22" t="s">
        <v>1104</v>
      </c>
      <c r="K741" s="77">
        <v>44621</v>
      </c>
      <c r="L741" s="25"/>
      <c r="M741" s="26"/>
      <c r="N741" s="26"/>
      <c r="O741" s="27"/>
      <c r="P741" s="28"/>
      <c r="Q741" s="29"/>
      <c r="R741" s="26"/>
      <c r="S741" s="23" t="s">
        <v>84</v>
      </c>
      <c r="T741" s="23">
        <v>2015</v>
      </c>
      <c r="U741" s="23"/>
      <c r="V741" s="23"/>
      <c r="W741" s="77">
        <v>44621</v>
      </c>
      <c r="X741" s="77">
        <v>44621</v>
      </c>
      <c r="Y741" s="77">
        <v>44621</v>
      </c>
      <c r="Z741" s="55" t="str">
        <f ca="1">DATEDIF(X741,TODAY(),"y")&amp;" Tahun "&amp;DATEDIF(X741,TODAY(),"ym")&amp;" Bulan "&amp;DATEDIF(X741,TODAY(),"md")&amp;" Hari"</f>
        <v>3 Tahun 7 Bulan 30 Hari</v>
      </c>
      <c r="AA741" s="55" t="s">
        <v>76</v>
      </c>
      <c r="AB741" s="56">
        <v>33666</v>
      </c>
      <c r="AC741" s="32" t="s">
        <v>3435</v>
      </c>
      <c r="AD741" s="57" t="str">
        <f t="shared" ca="1" si="49"/>
        <v xml:space="preserve">33 Tahun 7 Bulan </v>
      </c>
      <c r="AE741" s="33" t="s">
        <v>1106</v>
      </c>
      <c r="AF741" s="71"/>
      <c r="AG741" s="22" t="s">
        <v>3253</v>
      </c>
      <c r="AH741" s="22"/>
      <c r="AI741" s="22"/>
      <c r="AJ741" s="22"/>
      <c r="AK741" s="33"/>
      <c r="AL741" s="36"/>
      <c r="AM741" s="14"/>
    </row>
    <row r="742" spans="1:39" ht="14.45" customHeight="1" x14ac:dyDescent="0.25">
      <c r="A742" s="17">
        <v>33</v>
      </c>
      <c r="B742" s="52"/>
      <c r="C742" s="50" t="s">
        <v>3436</v>
      </c>
      <c r="D742" s="20" t="s">
        <v>3437</v>
      </c>
      <c r="E742" s="52" t="s">
        <v>56</v>
      </c>
      <c r="F742" s="22" t="s">
        <v>41</v>
      </c>
      <c r="G742" s="23" t="s">
        <v>227</v>
      </c>
      <c r="H742" s="22" t="s">
        <v>228</v>
      </c>
      <c r="I742" s="22" t="s">
        <v>44</v>
      </c>
      <c r="J742" s="22" t="s">
        <v>1104</v>
      </c>
      <c r="K742" s="77">
        <v>44621</v>
      </c>
      <c r="L742" s="25"/>
      <c r="M742" s="26"/>
      <c r="N742" s="26"/>
      <c r="O742" s="27"/>
      <c r="P742" s="28"/>
      <c r="Q742" s="29"/>
      <c r="R742" s="26"/>
      <c r="S742" s="23" t="s">
        <v>84</v>
      </c>
      <c r="T742" s="23">
        <v>2015</v>
      </c>
      <c r="U742" s="23"/>
      <c r="V742" s="23"/>
      <c r="W742" s="77">
        <v>44621</v>
      </c>
      <c r="X742" s="77">
        <v>44621</v>
      </c>
      <c r="Y742" s="77">
        <v>44621</v>
      </c>
      <c r="Z742" s="55" t="str">
        <f ca="1">DATEDIF(X742,TODAY(),"y")&amp;" Tahun "&amp;DATEDIF(X742,TODAY(),"ym")&amp;" Bulan "&amp;DATEDIF(X742,TODAY(),"md")&amp;" Hari"</f>
        <v>3 Tahun 7 Bulan 30 Hari</v>
      </c>
      <c r="AA742" s="55" t="s">
        <v>97</v>
      </c>
      <c r="AB742" s="56">
        <v>33563</v>
      </c>
      <c r="AC742" s="32" t="s">
        <v>3438</v>
      </c>
      <c r="AD742" s="57" t="str">
        <f t="shared" ca="1" si="49"/>
        <v xml:space="preserve">33 Tahun 11 Bulan </v>
      </c>
      <c r="AE742" s="33" t="s">
        <v>1106</v>
      </c>
      <c r="AF742" s="71"/>
      <c r="AG742" s="22" t="s">
        <v>3253</v>
      </c>
      <c r="AH742" s="22"/>
      <c r="AI742" s="22"/>
      <c r="AJ742" s="22"/>
      <c r="AK742" s="33"/>
      <c r="AL742" s="36"/>
      <c r="AM742" s="14"/>
    </row>
    <row r="743" spans="1:39" ht="14.45" customHeight="1" x14ac:dyDescent="0.25">
      <c r="A743" s="17">
        <v>34</v>
      </c>
      <c r="B743" s="78"/>
      <c r="C743" s="180" t="s">
        <v>3439</v>
      </c>
      <c r="D743" s="137" t="s">
        <v>3440</v>
      </c>
      <c r="E743" s="52" t="s">
        <v>40</v>
      </c>
      <c r="F743" s="22" t="s">
        <v>41</v>
      </c>
      <c r="G743" s="23" t="s">
        <v>227</v>
      </c>
      <c r="H743" s="22" t="s">
        <v>228</v>
      </c>
      <c r="I743" s="22" t="s">
        <v>44</v>
      </c>
      <c r="J743" s="22" t="s">
        <v>1148</v>
      </c>
      <c r="K743" s="24">
        <v>45017</v>
      </c>
      <c r="L743" s="25" t="s">
        <v>3441</v>
      </c>
      <c r="M743" s="26">
        <v>42131</v>
      </c>
      <c r="N743" s="26">
        <v>44076</v>
      </c>
      <c r="O743" s="27" t="s">
        <v>148</v>
      </c>
      <c r="P743" s="53" t="s">
        <v>3442</v>
      </c>
      <c r="Q743" s="26">
        <v>43256</v>
      </c>
      <c r="R743" s="29">
        <v>44076</v>
      </c>
      <c r="S743" s="33" t="s">
        <v>84</v>
      </c>
      <c r="T743" s="33"/>
      <c r="U743" s="33"/>
      <c r="V743" s="33"/>
      <c r="W743" s="95">
        <v>41244</v>
      </c>
      <c r="X743" s="30">
        <v>41334</v>
      </c>
      <c r="Y743" s="22"/>
      <c r="Z743" s="55" t="str">
        <f ca="1">DATEDIF(W743,TODAY(),"y")&amp;" Tahun "&amp;DATEDIF(W743,TODAY(),"ym")&amp;" Bulan "&amp;DATEDIF(W743,TODAY(),"md")&amp;" Hari"</f>
        <v>12 Tahun 10 Bulan 30 Hari</v>
      </c>
      <c r="AA743" s="55" t="s">
        <v>2979</v>
      </c>
      <c r="AB743" s="56">
        <v>33118</v>
      </c>
      <c r="AC743" s="31" t="s">
        <v>3443</v>
      </c>
      <c r="AD743" s="57" t="str">
        <f t="shared" ca="1" si="49"/>
        <v xml:space="preserve">35 Tahun 1 Bulan </v>
      </c>
      <c r="AE743" s="33" t="s">
        <v>1106</v>
      </c>
      <c r="AF743" s="71" t="s">
        <v>3444</v>
      </c>
      <c r="AG743" s="22" t="s">
        <v>3253</v>
      </c>
      <c r="AH743" s="22"/>
      <c r="AI743" s="22"/>
      <c r="AJ743" s="22"/>
      <c r="AK743" s="33"/>
      <c r="AL743" s="36"/>
      <c r="AM743" s="14"/>
    </row>
    <row r="744" spans="1:39" ht="14.45" customHeight="1" x14ac:dyDescent="0.25">
      <c r="A744" s="17">
        <v>35</v>
      </c>
      <c r="B744" s="78"/>
      <c r="C744" s="139" t="s">
        <v>3445</v>
      </c>
      <c r="D744" s="137" t="s">
        <v>3446</v>
      </c>
      <c r="E744" s="52" t="s">
        <v>40</v>
      </c>
      <c r="F744" s="22" t="s">
        <v>41</v>
      </c>
      <c r="G744" s="23" t="s">
        <v>227</v>
      </c>
      <c r="H744" s="22" t="s">
        <v>228</v>
      </c>
      <c r="I744" s="22" t="s">
        <v>44</v>
      </c>
      <c r="J744" s="22" t="s">
        <v>1559</v>
      </c>
      <c r="K744" s="24">
        <v>44652</v>
      </c>
      <c r="L744" s="25" t="s">
        <v>3447</v>
      </c>
      <c r="M744" s="26">
        <v>43187</v>
      </c>
      <c r="N744" s="26">
        <v>45287</v>
      </c>
      <c r="O744" s="27" t="s">
        <v>148</v>
      </c>
      <c r="P744" s="28" t="s">
        <v>3448</v>
      </c>
      <c r="Q744" s="29">
        <v>43192</v>
      </c>
      <c r="R744" s="26">
        <v>43375</v>
      </c>
      <c r="S744" s="33" t="s">
        <v>84</v>
      </c>
      <c r="T744" s="33"/>
      <c r="U744" s="33"/>
      <c r="V744" s="33"/>
      <c r="W744" s="95">
        <v>41244</v>
      </c>
      <c r="X744" s="30">
        <v>41334</v>
      </c>
      <c r="Y744" s="22"/>
      <c r="Z744" s="55" t="str">
        <f ca="1">DATEDIF(W744,TODAY(),"y")&amp;" Tahun "&amp;DATEDIF(W744,TODAY(),"ym")&amp;" Bulan "&amp;DATEDIF(W744,TODAY(),"md")&amp;" Hari"</f>
        <v>12 Tahun 10 Bulan 30 Hari</v>
      </c>
      <c r="AA744" s="31" t="s">
        <v>2050</v>
      </c>
      <c r="AB744" s="32">
        <v>31773</v>
      </c>
      <c r="AC744" s="31" t="s">
        <v>3449</v>
      </c>
      <c r="AD744" s="57" t="str">
        <f t="shared" ref="AD744:AD807" ca="1" si="52">DATEDIF(AB744,TODAY(),"y")&amp;" Tahun "&amp;DATEDIF(AB744,TODAY(),"ym")&amp;" Bulan "</f>
        <v xml:space="preserve">38 Tahun 10 Bulan </v>
      </c>
      <c r="AE744" s="33" t="s">
        <v>1106</v>
      </c>
      <c r="AF744" s="34"/>
      <c r="AG744" s="22" t="s">
        <v>3253</v>
      </c>
      <c r="AH744" s="22"/>
      <c r="AI744" s="22"/>
      <c r="AJ744" s="22"/>
      <c r="AK744" s="33"/>
      <c r="AL744" s="36"/>
      <c r="AM744" s="14"/>
    </row>
    <row r="745" spans="1:39" ht="14.45" customHeight="1" x14ac:dyDescent="0.25">
      <c r="A745" s="17">
        <v>36</v>
      </c>
      <c r="B745" s="78"/>
      <c r="C745" s="50" t="s">
        <v>5889</v>
      </c>
      <c r="D745" s="20" t="s">
        <v>3450</v>
      </c>
      <c r="E745" s="21" t="s">
        <v>40</v>
      </c>
      <c r="F745" s="22" t="s">
        <v>238</v>
      </c>
      <c r="G745" s="23" t="s">
        <v>3872</v>
      </c>
      <c r="H745" s="22" t="s">
        <v>1078</v>
      </c>
      <c r="I745" s="22" t="s">
        <v>44</v>
      </c>
      <c r="J745" s="22" t="s">
        <v>1293</v>
      </c>
      <c r="K745" s="24"/>
      <c r="L745" s="25" t="s">
        <v>3451</v>
      </c>
      <c r="M745" s="26">
        <v>42695</v>
      </c>
      <c r="N745" s="26">
        <v>44283</v>
      </c>
      <c r="O745" s="27" t="s">
        <v>3289</v>
      </c>
      <c r="P745" s="53" t="s">
        <v>3452</v>
      </c>
      <c r="Q745" s="29">
        <v>42956</v>
      </c>
      <c r="R745" s="26">
        <v>44283</v>
      </c>
      <c r="S745" s="23" t="s">
        <v>1167</v>
      </c>
      <c r="T745" s="23"/>
      <c r="U745" s="23"/>
      <c r="V745" s="23"/>
      <c r="W745" s="30">
        <v>45047</v>
      </c>
      <c r="X745" s="30">
        <v>39085</v>
      </c>
      <c r="Y745" s="30">
        <v>39085</v>
      </c>
      <c r="Z745" s="31" t="str">
        <f t="shared" ref="Z745:Z775" ca="1" si="53">DATEDIF(X745,TODAY(),"y")&amp;" Tahun "&amp;DATEDIF(X745,TODAY(),"ym")&amp;" Bulan "&amp;DATEDIF(X745,TODAY(),"md")&amp;" Hari"</f>
        <v>18 Tahun 9 Bulan 28 Hari</v>
      </c>
      <c r="AA745" s="31" t="s">
        <v>164</v>
      </c>
      <c r="AB745" s="32">
        <v>31134</v>
      </c>
      <c r="AC745" s="31" t="s">
        <v>3453</v>
      </c>
      <c r="AD745" s="22" t="str">
        <f t="shared" ca="1" si="52"/>
        <v xml:space="preserve">40 Tahun 7 Bulan </v>
      </c>
      <c r="AE745" s="33" t="s">
        <v>1106</v>
      </c>
      <c r="AF745" s="34"/>
      <c r="AG745" s="22" t="s">
        <v>3253</v>
      </c>
      <c r="AH745" s="22"/>
      <c r="AI745" s="22"/>
      <c r="AJ745" s="22"/>
      <c r="AK745" s="33"/>
      <c r="AL745" s="36"/>
      <c r="AM745" s="14"/>
    </row>
    <row r="746" spans="1:39" ht="14.45" customHeight="1" x14ac:dyDescent="0.25">
      <c r="A746" s="17">
        <v>37</v>
      </c>
      <c r="B746" s="78"/>
      <c r="C746" s="50" t="s">
        <v>5890</v>
      </c>
      <c r="D746" s="20" t="s">
        <v>3454</v>
      </c>
      <c r="E746" s="21" t="s">
        <v>40</v>
      </c>
      <c r="F746" s="22" t="s">
        <v>238</v>
      </c>
      <c r="G746" s="23" t="s">
        <v>3872</v>
      </c>
      <c r="H746" s="22" t="s">
        <v>1078</v>
      </c>
      <c r="I746" s="22" t="s">
        <v>44</v>
      </c>
      <c r="J746" s="22" t="s">
        <v>1293</v>
      </c>
      <c r="K746" s="24"/>
      <c r="L746" s="25" t="s">
        <v>3455</v>
      </c>
      <c r="M746" s="26">
        <v>42926</v>
      </c>
      <c r="N746" s="26">
        <v>44610</v>
      </c>
      <c r="O746" s="27" t="s">
        <v>1155</v>
      </c>
      <c r="P746" s="53" t="s">
        <v>3456</v>
      </c>
      <c r="Q746" s="29">
        <v>43057</v>
      </c>
      <c r="R746" s="26">
        <v>44610</v>
      </c>
      <c r="S746" s="23" t="s">
        <v>1167</v>
      </c>
      <c r="T746" s="23"/>
      <c r="U746" s="23"/>
      <c r="V746" s="23"/>
      <c r="W746" s="30">
        <v>45047</v>
      </c>
      <c r="X746" s="30">
        <v>39085</v>
      </c>
      <c r="Y746" s="30">
        <v>39085</v>
      </c>
      <c r="Z746" s="31" t="str">
        <f t="shared" ca="1" si="53"/>
        <v>18 Tahun 9 Bulan 28 Hari</v>
      </c>
      <c r="AA746" s="31" t="s">
        <v>76</v>
      </c>
      <c r="AB746" s="32">
        <v>31096</v>
      </c>
      <c r="AC746" s="31" t="s">
        <v>3457</v>
      </c>
      <c r="AD746" s="22" t="str">
        <f t="shared" ca="1" si="52"/>
        <v xml:space="preserve">40 Tahun 8 Bulan </v>
      </c>
      <c r="AE746" s="33" t="s">
        <v>1106</v>
      </c>
      <c r="AF746" s="34"/>
      <c r="AG746" s="22" t="s">
        <v>3253</v>
      </c>
      <c r="AH746" s="22"/>
      <c r="AI746" s="22"/>
      <c r="AJ746" s="22"/>
      <c r="AK746" s="33" t="s">
        <v>112</v>
      </c>
      <c r="AL746" s="36"/>
      <c r="AM746" s="14"/>
    </row>
    <row r="747" spans="1:39" ht="14.45" customHeight="1" x14ac:dyDescent="0.25">
      <c r="A747" s="17">
        <v>38</v>
      </c>
      <c r="B747" s="78"/>
      <c r="C747" s="50" t="s">
        <v>5891</v>
      </c>
      <c r="D747" s="20" t="s">
        <v>3458</v>
      </c>
      <c r="E747" s="21" t="s">
        <v>56</v>
      </c>
      <c r="F747" s="22" t="s">
        <v>238</v>
      </c>
      <c r="G747" s="23" t="s">
        <v>3872</v>
      </c>
      <c r="H747" s="22" t="s">
        <v>1078</v>
      </c>
      <c r="I747" s="22" t="s">
        <v>44</v>
      </c>
      <c r="J747" s="22" t="s">
        <v>1293</v>
      </c>
      <c r="K747" s="24"/>
      <c r="L747" s="25" t="s">
        <v>3459</v>
      </c>
      <c r="M747" s="26">
        <v>43047</v>
      </c>
      <c r="N747" s="26">
        <v>44634</v>
      </c>
      <c r="O747" s="27" t="s">
        <v>1155</v>
      </c>
      <c r="P747" s="53" t="s">
        <v>3460</v>
      </c>
      <c r="Q747" s="29">
        <v>43367</v>
      </c>
      <c r="R747" s="26">
        <v>44999</v>
      </c>
      <c r="S747" s="23" t="s">
        <v>1172</v>
      </c>
      <c r="T747" s="23"/>
      <c r="U747" s="23"/>
      <c r="V747" s="23"/>
      <c r="W747" s="30">
        <v>45047</v>
      </c>
      <c r="X747" s="30">
        <v>39752</v>
      </c>
      <c r="Y747" s="30">
        <v>43525</v>
      </c>
      <c r="Z747" s="31" t="str">
        <f t="shared" ca="1" si="53"/>
        <v>17 Tahun 0 Bulan 0 Hari</v>
      </c>
      <c r="AA747" s="31" t="s">
        <v>76</v>
      </c>
      <c r="AB747" s="32">
        <v>28563</v>
      </c>
      <c r="AC747" s="31" t="s">
        <v>3461</v>
      </c>
      <c r="AD747" s="22" t="str">
        <f t="shared" ca="1" si="52"/>
        <v xml:space="preserve">47 Tahun 7 Bulan </v>
      </c>
      <c r="AE747" s="33" t="s">
        <v>1106</v>
      </c>
      <c r="AF747" s="34"/>
      <c r="AG747" s="22" t="s">
        <v>3253</v>
      </c>
      <c r="AH747" s="58"/>
      <c r="AI747" s="58"/>
      <c r="AJ747" s="58"/>
      <c r="AK747" s="33"/>
      <c r="AL747" s="36"/>
    </row>
    <row r="748" spans="1:39" ht="14.45" customHeight="1" x14ac:dyDescent="0.25">
      <c r="A748" s="17">
        <v>39</v>
      </c>
      <c r="B748" s="78"/>
      <c r="C748" s="50" t="s">
        <v>5892</v>
      </c>
      <c r="D748" s="20" t="s">
        <v>3462</v>
      </c>
      <c r="E748" s="21" t="s">
        <v>56</v>
      </c>
      <c r="F748" s="22" t="s">
        <v>238</v>
      </c>
      <c r="G748" s="23" t="s">
        <v>3872</v>
      </c>
      <c r="H748" s="22" t="s">
        <v>1078</v>
      </c>
      <c r="I748" s="22" t="s">
        <v>44</v>
      </c>
      <c r="J748" s="22" t="s">
        <v>1293</v>
      </c>
      <c r="K748" s="24"/>
      <c r="L748" s="25" t="s">
        <v>3463</v>
      </c>
      <c r="M748" s="26">
        <v>43117</v>
      </c>
      <c r="N748" s="26">
        <v>45173</v>
      </c>
      <c r="O748" s="27" t="s">
        <v>1238</v>
      </c>
      <c r="P748" s="53" t="s">
        <v>3464</v>
      </c>
      <c r="Q748" s="29">
        <v>43192</v>
      </c>
      <c r="R748" s="26">
        <v>45173</v>
      </c>
      <c r="S748" s="23" t="s">
        <v>1172</v>
      </c>
      <c r="T748" s="23"/>
      <c r="U748" s="23"/>
      <c r="V748" s="23"/>
      <c r="W748" s="30">
        <v>45047</v>
      </c>
      <c r="X748" s="30">
        <v>39965</v>
      </c>
      <c r="Y748" s="30">
        <v>39965</v>
      </c>
      <c r="Z748" s="31" t="str">
        <f t="shared" ca="1" si="53"/>
        <v>16 Tahun 4 Bulan 30 Hari</v>
      </c>
      <c r="AA748" s="31" t="s">
        <v>128</v>
      </c>
      <c r="AB748" s="32">
        <v>31659</v>
      </c>
      <c r="AC748" s="31" t="s">
        <v>3465</v>
      </c>
      <c r="AD748" s="22" t="str">
        <f t="shared" ca="1" si="52"/>
        <v xml:space="preserve">39 Tahun 1 Bulan </v>
      </c>
      <c r="AE748" s="33" t="s">
        <v>1106</v>
      </c>
      <c r="AF748" s="34"/>
      <c r="AG748" s="22" t="s">
        <v>3253</v>
      </c>
      <c r="AH748" s="58"/>
      <c r="AI748" s="58"/>
      <c r="AJ748" s="58"/>
      <c r="AK748" s="33"/>
      <c r="AL748" s="36"/>
    </row>
    <row r="749" spans="1:39" ht="14.45" customHeight="1" x14ac:dyDescent="0.25">
      <c r="A749" s="17">
        <v>40</v>
      </c>
      <c r="B749" s="78"/>
      <c r="C749" s="50" t="s">
        <v>5893</v>
      </c>
      <c r="D749" s="20" t="s">
        <v>3466</v>
      </c>
      <c r="E749" s="21" t="s">
        <v>40</v>
      </c>
      <c r="F749" s="22" t="s">
        <v>238</v>
      </c>
      <c r="G749" s="23" t="s">
        <v>3872</v>
      </c>
      <c r="H749" s="22" t="s">
        <v>1078</v>
      </c>
      <c r="I749" s="22" t="s">
        <v>44</v>
      </c>
      <c r="J749" s="22" t="s">
        <v>1293</v>
      </c>
      <c r="K749" s="24"/>
      <c r="L749" s="25" t="s">
        <v>3467</v>
      </c>
      <c r="M749" s="26">
        <v>43117</v>
      </c>
      <c r="N749" s="26">
        <v>45188</v>
      </c>
      <c r="O749" s="27" t="s">
        <v>3390</v>
      </c>
      <c r="P749" s="53" t="s">
        <v>3468</v>
      </c>
      <c r="Q749" s="29">
        <v>43305</v>
      </c>
      <c r="R749" s="26">
        <v>45188</v>
      </c>
      <c r="S749" s="23" t="s">
        <v>1172</v>
      </c>
      <c r="T749" s="23"/>
      <c r="U749" s="23"/>
      <c r="V749" s="23"/>
      <c r="W749" s="30">
        <v>45047</v>
      </c>
      <c r="X749" s="30">
        <v>40330</v>
      </c>
      <c r="Y749" s="30">
        <v>42005</v>
      </c>
      <c r="Z749" s="31" t="str">
        <f t="shared" ca="1" si="53"/>
        <v>15 Tahun 4 Bulan 30 Hari</v>
      </c>
      <c r="AA749" s="31" t="s">
        <v>2050</v>
      </c>
      <c r="AB749" s="32">
        <v>32039</v>
      </c>
      <c r="AC749" s="31" t="s">
        <v>3469</v>
      </c>
      <c r="AD749" s="22" t="str">
        <f t="shared" ca="1" si="52"/>
        <v xml:space="preserve">38 Tahun 1 Bulan </v>
      </c>
      <c r="AE749" s="33" t="s">
        <v>1106</v>
      </c>
      <c r="AF749" s="34"/>
      <c r="AG749" s="22" t="s">
        <v>3253</v>
      </c>
      <c r="AH749" s="58"/>
      <c r="AI749" s="58"/>
      <c r="AJ749" s="58"/>
      <c r="AK749" s="33"/>
      <c r="AL749" s="36"/>
    </row>
    <row r="750" spans="1:39" ht="14.45" customHeight="1" x14ac:dyDescent="0.25">
      <c r="A750" s="17">
        <v>41</v>
      </c>
      <c r="B750" s="78"/>
      <c r="C750" s="50" t="s">
        <v>5894</v>
      </c>
      <c r="D750" s="20" t="s">
        <v>3470</v>
      </c>
      <c r="E750" s="21" t="s">
        <v>40</v>
      </c>
      <c r="F750" s="22" t="s">
        <v>238</v>
      </c>
      <c r="G750" s="23" t="s">
        <v>3872</v>
      </c>
      <c r="H750" s="22" t="s">
        <v>1078</v>
      </c>
      <c r="I750" s="22" t="s">
        <v>44</v>
      </c>
      <c r="J750" s="22" t="s">
        <v>1293</v>
      </c>
      <c r="K750" s="24"/>
      <c r="L750" s="25" t="s">
        <v>3471</v>
      </c>
      <c r="M750" s="26">
        <v>42167</v>
      </c>
      <c r="N750" s="26">
        <v>44044</v>
      </c>
      <c r="O750" s="27" t="s">
        <v>148</v>
      </c>
      <c r="P750" s="53" t="s">
        <v>3472</v>
      </c>
      <c r="Q750" s="29">
        <v>42047</v>
      </c>
      <c r="R750" s="26">
        <v>42705</v>
      </c>
      <c r="S750" s="23" t="s">
        <v>1172</v>
      </c>
      <c r="T750" s="23"/>
      <c r="U750" s="23"/>
      <c r="V750" s="23"/>
      <c r="W750" s="30">
        <v>45047</v>
      </c>
      <c r="X750" s="30">
        <v>41030</v>
      </c>
      <c r="Y750" s="30">
        <v>43525</v>
      </c>
      <c r="Z750" s="31" t="str">
        <f t="shared" ca="1" si="53"/>
        <v>13 Tahun 5 Bulan 30 Hari</v>
      </c>
      <c r="AA750" s="31" t="s">
        <v>3473</v>
      </c>
      <c r="AB750" s="32">
        <v>30895</v>
      </c>
      <c r="AC750" s="31" t="s">
        <v>3474</v>
      </c>
      <c r="AD750" s="22" t="str">
        <f t="shared" ca="1" si="52"/>
        <v xml:space="preserve">41 Tahun 2 Bulan </v>
      </c>
      <c r="AE750" s="33" t="s">
        <v>1106</v>
      </c>
      <c r="AF750" s="34"/>
      <c r="AG750" s="22" t="s">
        <v>3253</v>
      </c>
      <c r="AH750" s="58"/>
      <c r="AI750" s="58"/>
      <c r="AJ750" s="58"/>
      <c r="AK750" s="33"/>
      <c r="AL750" s="36"/>
    </row>
    <row r="751" spans="1:39" ht="14.45" customHeight="1" x14ac:dyDescent="0.25">
      <c r="A751" s="17">
        <v>42</v>
      </c>
      <c r="B751" s="78"/>
      <c r="C751" s="50" t="s">
        <v>3475</v>
      </c>
      <c r="D751" s="20" t="s">
        <v>3476</v>
      </c>
      <c r="E751" s="21" t="s">
        <v>56</v>
      </c>
      <c r="F751" s="22" t="s">
        <v>238</v>
      </c>
      <c r="G751" s="23" t="s">
        <v>3872</v>
      </c>
      <c r="H751" s="22" t="s">
        <v>305</v>
      </c>
      <c r="I751" s="22" t="s">
        <v>44</v>
      </c>
      <c r="J751" s="22" t="s">
        <v>1104</v>
      </c>
      <c r="K751" s="24"/>
      <c r="L751" s="25" t="s">
        <v>3477</v>
      </c>
      <c r="M751" s="26">
        <v>43014</v>
      </c>
      <c r="N751" s="26">
        <v>44589</v>
      </c>
      <c r="O751" s="27" t="s">
        <v>84</v>
      </c>
      <c r="P751" s="53" t="s">
        <v>3478</v>
      </c>
      <c r="Q751" s="29">
        <v>43130</v>
      </c>
      <c r="R751" s="26">
        <v>44589</v>
      </c>
      <c r="S751" s="23" t="s">
        <v>84</v>
      </c>
      <c r="T751" s="23"/>
      <c r="U751" s="23"/>
      <c r="V751" s="23"/>
      <c r="W751" s="30">
        <v>45047</v>
      </c>
      <c r="X751" s="30">
        <v>43070</v>
      </c>
      <c r="Y751" s="30">
        <v>43070</v>
      </c>
      <c r="Z751" s="31" t="str">
        <f t="shared" ca="1" si="53"/>
        <v>7 Tahun 10 Bulan 30 Hari</v>
      </c>
      <c r="AA751" s="31" t="s">
        <v>2159</v>
      </c>
      <c r="AB751" s="32">
        <v>33631</v>
      </c>
      <c r="AC751" s="31" t="s">
        <v>3479</v>
      </c>
      <c r="AD751" s="22" t="str">
        <f t="shared" ca="1" si="52"/>
        <v xml:space="preserve">33 Tahun 9 Bulan </v>
      </c>
      <c r="AE751" s="33" t="s">
        <v>1106</v>
      </c>
      <c r="AF751" s="34"/>
      <c r="AG751" s="22" t="s">
        <v>3253</v>
      </c>
      <c r="AH751" s="58"/>
      <c r="AI751" s="58"/>
      <c r="AJ751" s="58"/>
      <c r="AK751" s="34"/>
      <c r="AL751" s="36"/>
      <c r="AM751" s="14"/>
    </row>
    <row r="752" spans="1:39" ht="14.45" customHeight="1" x14ac:dyDescent="0.25">
      <c r="A752" s="17">
        <v>43</v>
      </c>
      <c r="B752" s="78"/>
      <c r="C752" s="50" t="s">
        <v>3480</v>
      </c>
      <c r="D752" s="20" t="s">
        <v>3481</v>
      </c>
      <c r="E752" s="21" t="s">
        <v>56</v>
      </c>
      <c r="F752" s="22" t="s">
        <v>238</v>
      </c>
      <c r="G752" s="33" t="s">
        <v>3872</v>
      </c>
      <c r="H752" s="22" t="s">
        <v>1138</v>
      </c>
      <c r="I752" s="22" t="s">
        <v>44</v>
      </c>
      <c r="J752" s="22" t="s">
        <v>3428</v>
      </c>
      <c r="K752" s="22"/>
      <c r="L752" s="53"/>
      <c r="M752" s="26"/>
      <c r="N752" s="26"/>
      <c r="O752" s="27"/>
      <c r="P752" s="28"/>
      <c r="Q752" s="29"/>
      <c r="R752" s="26"/>
      <c r="S752" s="23" t="s">
        <v>1164</v>
      </c>
      <c r="T752" s="23"/>
      <c r="U752" s="23"/>
      <c r="V752" s="23"/>
      <c r="W752" s="77">
        <v>45383</v>
      </c>
      <c r="X752" s="77">
        <v>45383</v>
      </c>
      <c r="Y752" s="77">
        <v>45383</v>
      </c>
      <c r="Z752" s="31" t="str">
        <f t="shared" ca="1" si="53"/>
        <v>1 Tahun 6 Bulan 30 Hari</v>
      </c>
      <c r="AA752" s="31" t="s">
        <v>203</v>
      </c>
      <c r="AB752" s="32">
        <v>35904</v>
      </c>
      <c r="AC752" s="32" t="s">
        <v>3482</v>
      </c>
      <c r="AD752" s="22" t="str">
        <f t="shared" ca="1" si="52"/>
        <v xml:space="preserve">27 Tahun 6 Bulan </v>
      </c>
      <c r="AE752" s="33" t="s">
        <v>1106</v>
      </c>
      <c r="AF752" s="34"/>
      <c r="AG752" s="22" t="s">
        <v>3253</v>
      </c>
      <c r="AH752" s="22"/>
      <c r="AI752" s="22"/>
      <c r="AJ752" s="22"/>
      <c r="AK752" s="34"/>
      <c r="AL752" s="36"/>
      <c r="AM752" s="14"/>
    </row>
    <row r="753" spans="1:39" ht="14.45" customHeight="1" x14ac:dyDescent="0.25">
      <c r="A753" s="17">
        <v>44</v>
      </c>
      <c r="B753" s="78"/>
      <c r="C753" s="50" t="s">
        <v>3483</v>
      </c>
      <c r="D753" s="20" t="s">
        <v>3484</v>
      </c>
      <c r="E753" s="21" t="s">
        <v>56</v>
      </c>
      <c r="F753" s="22" t="s">
        <v>238</v>
      </c>
      <c r="G753" s="33" t="s">
        <v>3872</v>
      </c>
      <c r="H753" s="22" t="s">
        <v>1138</v>
      </c>
      <c r="I753" s="22" t="s">
        <v>44</v>
      </c>
      <c r="J753" s="22" t="s">
        <v>3428</v>
      </c>
      <c r="K753" s="22"/>
      <c r="L753" s="53"/>
      <c r="M753" s="26"/>
      <c r="N753" s="26"/>
      <c r="O753" s="27"/>
      <c r="P753" s="28"/>
      <c r="Q753" s="29"/>
      <c r="R753" s="26"/>
      <c r="S753" s="23" t="s">
        <v>1164</v>
      </c>
      <c r="T753" s="23"/>
      <c r="U753" s="23"/>
      <c r="V753" s="23"/>
      <c r="W753" s="77">
        <v>45383</v>
      </c>
      <c r="X753" s="77">
        <v>45383</v>
      </c>
      <c r="Y753" s="77">
        <v>45383</v>
      </c>
      <c r="Z753" s="31" t="str">
        <f t="shared" ca="1" si="53"/>
        <v>1 Tahun 6 Bulan 30 Hari</v>
      </c>
      <c r="AA753" s="31" t="s">
        <v>1905</v>
      </c>
      <c r="AB753" s="32">
        <v>35908</v>
      </c>
      <c r="AC753" s="32" t="s">
        <v>3485</v>
      </c>
      <c r="AD753" s="22" t="str">
        <f t="shared" ca="1" si="52"/>
        <v xml:space="preserve">27 Tahun 6 Bulan </v>
      </c>
      <c r="AE753" s="33" t="s">
        <v>1106</v>
      </c>
      <c r="AF753" s="34"/>
      <c r="AG753" s="22" t="s">
        <v>3253</v>
      </c>
      <c r="AH753" s="22"/>
      <c r="AI753" s="22"/>
      <c r="AJ753" s="22"/>
      <c r="AK753" s="33" t="s">
        <v>314</v>
      </c>
      <c r="AL753" s="36"/>
      <c r="AM753" s="14"/>
    </row>
    <row r="754" spans="1:39" ht="14.45" customHeight="1" x14ac:dyDescent="0.25">
      <c r="A754" s="17">
        <v>45</v>
      </c>
      <c r="B754" s="78"/>
      <c r="C754" s="50" t="s">
        <v>3486</v>
      </c>
      <c r="D754" s="20" t="s">
        <v>3487</v>
      </c>
      <c r="E754" s="21" t="s">
        <v>56</v>
      </c>
      <c r="F754" s="22" t="s">
        <v>238</v>
      </c>
      <c r="G754" s="33" t="s">
        <v>3872</v>
      </c>
      <c r="H754" s="22" t="s">
        <v>1138</v>
      </c>
      <c r="I754" s="22" t="s">
        <v>44</v>
      </c>
      <c r="J754" s="22" t="s">
        <v>3428</v>
      </c>
      <c r="K754" s="22"/>
      <c r="L754" s="53"/>
      <c r="M754" s="26"/>
      <c r="N754" s="26"/>
      <c r="O754" s="27"/>
      <c r="P754" s="28"/>
      <c r="Q754" s="29"/>
      <c r="R754" s="26"/>
      <c r="S754" s="23" t="s">
        <v>1164</v>
      </c>
      <c r="T754" s="23"/>
      <c r="U754" s="23"/>
      <c r="V754" s="23"/>
      <c r="W754" s="77">
        <v>45383</v>
      </c>
      <c r="X754" s="77">
        <v>45383</v>
      </c>
      <c r="Y754" s="77">
        <v>45383</v>
      </c>
      <c r="Z754" s="31" t="str">
        <f t="shared" ca="1" si="53"/>
        <v>1 Tahun 6 Bulan 30 Hari</v>
      </c>
      <c r="AA754" s="31" t="s">
        <v>203</v>
      </c>
      <c r="AB754" s="32">
        <v>35927</v>
      </c>
      <c r="AC754" s="32" t="s">
        <v>3488</v>
      </c>
      <c r="AD754" s="22" t="str">
        <f t="shared" ca="1" si="52"/>
        <v xml:space="preserve">27 Tahun 5 Bulan </v>
      </c>
      <c r="AE754" s="33" t="s">
        <v>1106</v>
      </c>
      <c r="AF754" s="34"/>
      <c r="AG754" s="22" t="s">
        <v>3253</v>
      </c>
      <c r="AH754" s="22"/>
      <c r="AI754" s="22"/>
      <c r="AJ754" s="22"/>
      <c r="AK754" s="33" t="s">
        <v>314</v>
      </c>
      <c r="AL754" s="36"/>
      <c r="AM754" s="14"/>
    </row>
    <row r="755" spans="1:39" ht="14.45" customHeight="1" x14ac:dyDescent="0.25">
      <c r="A755" s="17">
        <v>46</v>
      </c>
      <c r="B755" s="52"/>
      <c r="C755" s="50" t="s">
        <v>3489</v>
      </c>
      <c r="D755" s="20" t="s">
        <v>3490</v>
      </c>
      <c r="E755" s="52" t="s">
        <v>56</v>
      </c>
      <c r="F755" s="22" t="s">
        <v>41</v>
      </c>
      <c r="G755" s="23" t="s">
        <v>227</v>
      </c>
      <c r="H755" s="22" t="s">
        <v>228</v>
      </c>
      <c r="I755" s="22" t="s">
        <v>44</v>
      </c>
      <c r="J755" s="22" t="s">
        <v>1104</v>
      </c>
      <c r="K755" s="77">
        <v>44621</v>
      </c>
      <c r="L755" s="25"/>
      <c r="M755" s="26"/>
      <c r="N755" s="26"/>
      <c r="O755" s="27"/>
      <c r="P755" s="28"/>
      <c r="Q755" s="29"/>
      <c r="R755" s="26"/>
      <c r="S755" s="23" t="s">
        <v>84</v>
      </c>
      <c r="T755" s="23">
        <v>2020</v>
      </c>
      <c r="U755" s="23"/>
      <c r="V755" s="23"/>
      <c r="W755" s="77">
        <v>44621</v>
      </c>
      <c r="X755" s="77">
        <v>44621</v>
      </c>
      <c r="Y755" s="77">
        <v>44621</v>
      </c>
      <c r="Z755" s="55" t="str">
        <f t="shared" ca="1" si="53"/>
        <v>3 Tahun 7 Bulan 30 Hari</v>
      </c>
      <c r="AA755" s="55" t="s">
        <v>297</v>
      </c>
      <c r="AB755" s="56">
        <v>35460</v>
      </c>
      <c r="AC755" s="32" t="s">
        <v>3491</v>
      </c>
      <c r="AD755" s="57" t="str">
        <f t="shared" ca="1" si="52"/>
        <v xml:space="preserve">28 Tahun 9 Bulan </v>
      </c>
      <c r="AE755" s="33" t="s">
        <v>1106</v>
      </c>
      <c r="AF755" s="71"/>
      <c r="AG755" s="22" t="s">
        <v>3253</v>
      </c>
      <c r="AH755" s="22"/>
      <c r="AI755" s="22"/>
      <c r="AJ755" s="22"/>
      <c r="AK755" s="33" t="s">
        <v>314</v>
      </c>
      <c r="AL755" s="36"/>
      <c r="AM755" s="14"/>
    </row>
    <row r="756" spans="1:39" ht="14.45" customHeight="1" x14ac:dyDescent="0.25">
      <c r="A756" s="17">
        <v>47</v>
      </c>
      <c r="B756" s="78"/>
      <c r="C756" s="50" t="s">
        <v>3492</v>
      </c>
      <c r="D756" s="20">
        <v>2023110708</v>
      </c>
      <c r="E756" s="21" t="s">
        <v>56</v>
      </c>
      <c r="F756" s="22" t="s">
        <v>1063</v>
      </c>
      <c r="G756" s="33" t="s">
        <v>3872</v>
      </c>
      <c r="H756" s="22" t="s">
        <v>3872</v>
      </c>
      <c r="I756" s="60"/>
      <c r="J756" s="22"/>
      <c r="K756" s="22"/>
      <c r="L756" s="53"/>
      <c r="M756" s="26"/>
      <c r="N756" s="26"/>
      <c r="O756" s="27"/>
      <c r="P756" s="28"/>
      <c r="Q756" s="29"/>
      <c r="R756" s="26"/>
      <c r="S756" s="23" t="s">
        <v>3291</v>
      </c>
      <c r="T756" s="23">
        <v>2023</v>
      </c>
      <c r="U756" s="23"/>
      <c r="V756" s="23"/>
      <c r="W756" s="77"/>
      <c r="X756" s="30">
        <v>45231</v>
      </c>
      <c r="Y756" s="30">
        <v>45231</v>
      </c>
      <c r="Z756" s="31" t="str">
        <f t="shared" ca="1" si="53"/>
        <v>1 Tahun 11 Bulan 30 Hari</v>
      </c>
      <c r="AA756" s="31" t="s">
        <v>3493</v>
      </c>
      <c r="AB756" s="32">
        <v>37114</v>
      </c>
      <c r="AC756" s="32" t="s">
        <v>3494</v>
      </c>
      <c r="AD756" s="22" t="str">
        <f t="shared" ca="1" si="52"/>
        <v xml:space="preserve">24 Tahun 2 Bulan </v>
      </c>
      <c r="AE756" s="33" t="s">
        <v>1106</v>
      </c>
      <c r="AF756" s="34"/>
      <c r="AG756" s="22" t="s">
        <v>3253</v>
      </c>
      <c r="AH756" s="22"/>
      <c r="AI756" s="22"/>
      <c r="AJ756" s="22"/>
      <c r="AK756" s="33" t="s">
        <v>314</v>
      </c>
      <c r="AL756" s="36"/>
      <c r="AM756" s="14"/>
    </row>
    <row r="757" spans="1:39" ht="14.45" customHeight="1" x14ac:dyDescent="0.25">
      <c r="A757" s="17">
        <v>48</v>
      </c>
      <c r="B757" s="78"/>
      <c r="C757" s="50" t="s">
        <v>3495</v>
      </c>
      <c r="D757" s="20">
        <v>2023110709</v>
      </c>
      <c r="E757" s="21" t="s">
        <v>56</v>
      </c>
      <c r="F757" s="22" t="s">
        <v>1063</v>
      </c>
      <c r="G757" s="33" t="s">
        <v>3872</v>
      </c>
      <c r="H757" s="22" t="s">
        <v>3872</v>
      </c>
      <c r="I757" s="60"/>
      <c r="J757" s="22"/>
      <c r="K757" s="22"/>
      <c r="L757" s="53"/>
      <c r="M757" s="26"/>
      <c r="N757" s="26"/>
      <c r="O757" s="27"/>
      <c r="P757" s="28"/>
      <c r="Q757" s="29"/>
      <c r="R757" s="26"/>
      <c r="S757" s="23" t="s">
        <v>3291</v>
      </c>
      <c r="T757" s="23">
        <v>2023</v>
      </c>
      <c r="U757" s="23"/>
      <c r="V757" s="23"/>
      <c r="W757" s="77"/>
      <c r="X757" s="30">
        <v>45231</v>
      </c>
      <c r="Y757" s="30">
        <v>45231</v>
      </c>
      <c r="Z757" s="31" t="str">
        <f t="shared" ca="1" si="53"/>
        <v>1 Tahun 11 Bulan 30 Hari</v>
      </c>
      <c r="AA757" s="31" t="s">
        <v>1363</v>
      </c>
      <c r="AB757" s="32">
        <v>37024</v>
      </c>
      <c r="AC757" s="32" t="s">
        <v>3496</v>
      </c>
      <c r="AD757" s="22" t="str">
        <f t="shared" ca="1" si="52"/>
        <v xml:space="preserve">24 Tahun 5 Bulan </v>
      </c>
      <c r="AE757" s="33" t="s">
        <v>1106</v>
      </c>
      <c r="AF757" s="34"/>
      <c r="AG757" s="22" t="s">
        <v>3253</v>
      </c>
      <c r="AH757" s="22"/>
      <c r="AI757" s="22"/>
      <c r="AJ757" s="22"/>
      <c r="AK757" s="33" t="s">
        <v>314</v>
      </c>
      <c r="AL757" s="36"/>
      <c r="AM757" s="14"/>
    </row>
    <row r="758" spans="1:39" ht="14.45" customHeight="1" x14ac:dyDescent="0.25">
      <c r="A758" s="17">
        <v>49</v>
      </c>
      <c r="B758" s="78"/>
      <c r="C758" s="50" t="s">
        <v>3497</v>
      </c>
      <c r="D758" s="20">
        <v>2023110710</v>
      </c>
      <c r="E758" s="21" t="s">
        <v>56</v>
      </c>
      <c r="F758" s="22" t="s">
        <v>1063</v>
      </c>
      <c r="G758" s="33" t="s">
        <v>3872</v>
      </c>
      <c r="H758" s="22" t="s">
        <v>3872</v>
      </c>
      <c r="I758" s="60"/>
      <c r="J758" s="22"/>
      <c r="K758" s="22"/>
      <c r="L758" s="53"/>
      <c r="M758" s="26"/>
      <c r="N758" s="26"/>
      <c r="O758" s="27"/>
      <c r="P758" s="28"/>
      <c r="Q758" s="29"/>
      <c r="R758" s="26"/>
      <c r="S758" s="23" t="s">
        <v>3291</v>
      </c>
      <c r="T758" s="23">
        <v>2022</v>
      </c>
      <c r="U758" s="23"/>
      <c r="V758" s="23"/>
      <c r="W758" s="77"/>
      <c r="X758" s="30">
        <v>45231</v>
      </c>
      <c r="Y758" s="30">
        <v>45231</v>
      </c>
      <c r="Z758" s="31" t="str">
        <f t="shared" ca="1" si="53"/>
        <v>1 Tahun 11 Bulan 30 Hari</v>
      </c>
      <c r="AA758" s="31" t="s">
        <v>128</v>
      </c>
      <c r="AB758" s="32">
        <v>36771</v>
      </c>
      <c r="AC758" s="32" t="s">
        <v>3498</v>
      </c>
      <c r="AD758" s="22" t="str">
        <f t="shared" ca="1" si="52"/>
        <v xml:space="preserve">25 Tahun 1 Bulan </v>
      </c>
      <c r="AE758" s="33" t="s">
        <v>1106</v>
      </c>
      <c r="AF758" s="34"/>
      <c r="AG758" s="22" t="s">
        <v>3253</v>
      </c>
      <c r="AH758" s="22"/>
      <c r="AI758" s="22"/>
      <c r="AJ758" s="22"/>
      <c r="AK758" s="33" t="s">
        <v>314</v>
      </c>
      <c r="AL758" s="36"/>
      <c r="AM758" s="14"/>
    </row>
    <row r="759" spans="1:39" ht="14.45" customHeight="1" x14ac:dyDescent="0.25">
      <c r="A759" s="17">
        <v>50</v>
      </c>
      <c r="B759" s="78"/>
      <c r="C759" s="50" t="s">
        <v>3499</v>
      </c>
      <c r="D759" s="20">
        <v>2023110711</v>
      </c>
      <c r="E759" s="21" t="s">
        <v>56</v>
      </c>
      <c r="F759" s="22" t="s">
        <v>1063</v>
      </c>
      <c r="G759" s="33" t="s">
        <v>3872</v>
      </c>
      <c r="H759" s="22" t="s">
        <v>3872</v>
      </c>
      <c r="I759" s="60"/>
      <c r="J759" s="22"/>
      <c r="K759" s="22"/>
      <c r="L759" s="53"/>
      <c r="M759" s="26"/>
      <c r="N759" s="26"/>
      <c r="O759" s="27"/>
      <c r="P759" s="28"/>
      <c r="Q759" s="29"/>
      <c r="R759" s="26"/>
      <c r="S759" s="23" t="s">
        <v>3291</v>
      </c>
      <c r="T759" s="23">
        <v>2023</v>
      </c>
      <c r="U759" s="23"/>
      <c r="V759" s="23"/>
      <c r="W759" s="77"/>
      <c r="X759" s="30">
        <v>45231</v>
      </c>
      <c r="Y759" s="30">
        <v>45231</v>
      </c>
      <c r="Z759" s="31" t="str">
        <f t="shared" ca="1" si="53"/>
        <v>1 Tahun 11 Bulan 30 Hari</v>
      </c>
      <c r="AA759" s="31" t="s">
        <v>1540</v>
      </c>
      <c r="AB759" s="32">
        <v>36827</v>
      </c>
      <c r="AC759" s="32" t="s">
        <v>3500</v>
      </c>
      <c r="AD759" s="22" t="str">
        <f t="shared" ca="1" si="52"/>
        <v xml:space="preserve">25 Tahun 0 Bulan </v>
      </c>
      <c r="AE759" s="33" t="s">
        <v>1106</v>
      </c>
      <c r="AF759" s="34"/>
      <c r="AG759" s="22" t="s">
        <v>3253</v>
      </c>
      <c r="AH759" s="22"/>
      <c r="AI759" s="22"/>
      <c r="AJ759" s="22"/>
      <c r="AK759" s="33" t="s">
        <v>314</v>
      </c>
      <c r="AL759" s="36"/>
      <c r="AM759" s="14"/>
    </row>
    <row r="760" spans="1:39" ht="14.45" customHeight="1" x14ac:dyDescent="0.25">
      <c r="A760" s="17">
        <v>51</v>
      </c>
      <c r="B760" s="78"/>
      <c r="C760" s="50" t="s">
        <v>3501</v>
      </c>
      <c r="D760" s="20">
        <v>2023110713</v>
      </c>
      <c r="E760" s="21" t="s">
        <v>56</v>
      </c>
      <c r="F760" s="22" t="s">
        <v>1063</v>
      </c>
      <c r="G760" s="33" t="s">
        <v>3872</v>
      </c>
      <c r="H760" s="22" t="s">
        <v>3872</v>
      </c>
      <c r="I760" s="60"/>
      <c r="J760" s="22"/>
      <c r="K760" s="22"/>
      <c r="L760" s="53"/>
      <c r="M760" s="26"/>
      <c r="N760" s="26"/>
      <c r="O760" s="27"/>
      <c r="P760" s="28"/>
      <c r="Q760" s="29"/>
      <c r="R760" s="26"/>
      <c r="S760" s="23" t="s">
        <v>3291</v>
      </c>
      <c r="T760" s="23">
        <v>2022</v>
      </c>
      <c r="U760" s="23"/>
      <c r="V760" s="23"/>
      <c r="W760" s="77"/>
      <c r="X760" s="30">
        <v>45231</v>
      </c>
      <c r="Y760" s="30">
        <v>45231</v>
      </c>
      <c r="Z760" s="31" t="str">
        <f t="shared" ca="1" si="53"/>
        <v>1 Tahun 11 Bulan 30 Hari</v>
      </c>
      <c r="AA760" s="31" t="s">
        <v>563</v>
      </c>
      <c r="AB760" s="32">
        <v>36575</v>
      </c>
      <c r="AC760" s="32" t="s">
        <v>3502</v>
      </c>
      <c r="AD760" s="22" t="str">
        <f t="shared" ca="1" si="52"/>
        <v xml:space="preserve">25 Tahun 8 Bulan </v>
      </c>
      <c r="AE760" s="33" t="s">
        <v>1106</v>
      </c>
      <c r="AF760" s="34"/>
      <c r="AG760" s="22" t="s">
        <v>3253</v>
      </c>
      <c r="AH760" s="22"/>
      <c r="AI760" s="22"/>
      <c r="AJ760" s="22"/>
      <c r="AK760" s="33" t="s">
        <v>485</v>
      </c>
      <c r="AL760" s="36"/>
      <c r="AM760" s="14"/>
    </row>
    <row r="761" spans="1:39" ht="14.45" customHeight="1" x14ac:dyDescent="0.25">
      <c r="A761" s="17">
        <v>52</v>
      </c>
      <c r="B761" s="78"/>
      <c r="C761" s="50" t="s">
        <v>3503</v>
      </c>
      <c r="D761" s="62">
        <v>2023110668</v>
      </c>
      <c r="E761" s="21" t="s">
        <v>40</v>
      </c>
      <c r="F761" s="22" t="s">
        <v>1063</v>
      </c>
      <c r="G761" s="23" t="s">
        <v>3872</v>
      </c>
      <c r="H761" s="22" t="s">
        <v>3872</v>
      </c>
      <c r="I761" s="22"/>
      <c r="J761" s="22"/>
      <c r="K761" s="30"/>
      <c r="L761" s="25"/>
      <c r="M761" s="29"/>
      <c r="N761" s="26"/>
      <c r="O761" s="27"/>
      <c r="P761" s="28"/>
      <c r="Q761" s="29"/>
      <c r="R761" s="26"/>
      <c r="S761" s="23" t="s">
        <v>84</v>
      </c>
      <c r="T761" s="23">
        <v>2023</v>
      </c>
      <c r="U761" s="23"/>
      <c r="V761" s="23"/>
      <c r="W761" s="30"/>
      <c r="X761" s="30">
        <v>45231</v>
      </c>
      <c r="Y761" s="30">
        <v>45231</v>
      </c>
      <c r="Z761" s="31" t="str">
        <f t="shared" ca="1" si="53"/>
        <v>1 Tahun 11 Bulan 30 Hari</v>
      </c>
      <c r="AA761" s="31" t="s">
        <v>50</v>
      </c>
      <c r="AB761" s="32">
        <v>36379</v>
      </c>
      <c r="AC761" s="31" t="s">
        <v>3504</v>
      </c>
      <c r="AD761" s="22" t="str">
        <f t="shared" ca="1" si="52"/>
        <v xml:space="preserve">26 Tahun 2 Bulan </v>
      </c>
      <c r="AE761" s="33" t="s">
        <v>1106</v>
      </c>
      <c r="AF761" s="34"/>
      <c r="AG761" s="22" t="s">
        <v>3253</v>
      </c>
      <c r="AH761" s="22"/>
      <c r="AI761" s="22"/>
      <c r="AJ761" s="22"/>
      <c r="AK761" s="33" t="s">
        <v>485</v>
      </c>
      <c r="AL761" s="36"/>
      <c r="AM761" s="14"/>
    </row>
    <row r="762" spans="1:39" ht="14.45" customHeight="1" x14ac:dyDescent="0.25">
      <c r="A762" s="17">
        <v>53</v>
      </c>
      <c r="B762" s="78"/>
      <c r="C762" s="50" t="s">
        <v>3505</v>
      </c>
      <c r="D762" s="62">
        <v>2023110703</v>
      </c>
      <c r="E762" s="21" t="s">
        <v>56</v>
      </c>
      <c r="F762" s="22" t="s">
        <v>1063</v>
      </c>
      <c r="G762" s="23" t="s">
        <v>3872</v>
      </c>
      <c r="H762" s="22" t="s">
        <v>3872</v>
      </c>
      <c r="I762" s="22"/>
      <c r="J762" s="22"/>
      <c r="K762" s="30"/>
      <c r="L762" s="25"/>
      <c r="M762" s="29"/>
      <c r="N762" s="26"/>
      <c r="O762" s="27"/>
      <c r="P762" s="28"/>
      <c r="Q762" s="29"/>
      <c r="R762" s="26"/>
      <c r="S762" s="23" t="s">
        <v>1172</v>
      </c>
      <c r="T762" s="23">
        <v>2016</v>
      </c>
      <c r="U762" s="23"/>
      <c r="V762" s="23"/>
      <c r="W762" s="30"/>
      <c r="X762" s="30">
        <v>45231</v>
      </c>
      <c r="Y762" s="30">
        <v>45231</v>
      </c>
      <c r="Z762" s="31" t="str">
        <f t="shared" ca="1" si="53"/>
        <v>1 Tahun 11 Bulan 30 Hari</v>
      </c>
      <c r="AA762" s="31" t="s">
        <v>128</v>
      </c>
      <c r="AB762" s="32">
        <v>34891</v>
      </c>
      <c r="AC762" s="31" t="s">
        <v>3506</v>
      </c>
      <c r="AD762" s="22" t="str">
        <f t="shared" ca="1" si="52"/>
        <v xml:space="preserve">30 Tahun 3 Bulan </v>
      </c>
      <c r="AE762" s="33" t="s">
        <v>1106</v>
      </c>
      <c r="AF762" s="34"/>
      <c r="AG762" s="22" t="s">
        <v>3253</v>
      </c>
      <c r="AH762" s="22"/>
      <c r="AI762" s="22"/>
      <c r="AJ762" s="22"/>
      <c r="AK762" s="33" t="s">
        <v>485</v>
      </c>
      <c r="AL762" s="36"/>
      <c r="AM762" s="14"/>
    </row>
    <row r="763" spans="1:39" ht="14.45" customHeight="1" x14ac:dyDescent="0.25">
      <c r="A763" s="17">
        <v>54</v>
      </c>
      <c r="B763" s="78"/>
      <c r="C763" s="50" t="s">
        <v>3507</v>
      </c>
      <c r="D763" s="62">
        <v>2023110690</v>
      </c>
      <c r="E763" s="21" t="s">
        <v>40</v>
      </c>
      <c r="F763" s="22" t="s">
        <v>1063</v>
      </c>
      <c r="G763" s="23" t="s">
        <v>3872</v>
      </c>
      <c r="H763" s="22" t="s">
        <v>3872</v>
      </c>
      <c r="I763" s="22"/>
      <c r="J763" s="22"/>
      <c r="K763" s="30"/>
      <c r="L763" s="25"/>
      <c r="M763" s="29"/>
      <c r="N763" s="26"/>
      <c r="O763" s="27"/>
      <c r="P763" s="28"/>
      <c r="Q763" s="29"/>
      <c r="R763" s="26"/>
      <c r="S763" s="23" t="s">
        <v>1172</v>
      </c>
      <c r="T763" s="23">
        <v>2016</v>
      </c>
      <c r="U763" s="23"/>
      <c r="V763" s="23"/>
      <c r="W763" s="30"/>
      <c r="X763" s="30">
        <v>45231</v>
      </c>
      <c r="Y763" s="30">
        <v>45231</v>
      </c>
      <c r="Z763" s="31" t="str">
        <f t="shared" ca="1" si="53"/>
        <v>1 Tahun 11 Bulan 30 Hari</v>
      </c>
      <c r="AA763" s="31" t="s">
        <v>3508</v>
      </c>
      <c r="AB763" s="32">
        <v>34897</v>
      </c>
      <c r="AC763" s="31" t="s">
        <v>3509</v>
      </c>
      <c r="AD763" s="22" t="str">
        <f t="shared" ca="1" si="52"/>
        <v xml:space="preserve">30 Tahun 3 Bulan </v>
      </c>
      <c r="AE763" s="33" t="s">
        <v>1106</v>
      </c>
      <c r="AF763" s="34"/>
      <c r="AG763" s="22" t="s">
        <v>3253</v>
      </c>
      <c r="AH763" s="58"/>
      <c r="AI763" s="58"/>
      <c r="AJ763" s="58"/>
      <c r="AK763" s="33"/>
      <c r="AL763" s="36"/>
    </row>
    <row r="764" spans="1:39" ht="14.45" customHeight="1" x14ac:dyDescent="0.25">
      <c r="A764" s="17">
        <v>55</v>
      </c>
      <c r="B764" s="78"/>
      <c r="C764" s="50" t="s">
        <v>5895</v>
      </c>
      <c r="D764" s="20">
        <v>2024080740</v>
      </c>
      <c r="E764" s="21" t="s">
        <v>40</v>
      </c>
      <c r="F764" s="22" t="s">
        <v>1063</v>
      </c>
      <c r="G764" s="23" t="s">
        <v>3872</v>
      </c>
      <c r="H764" s="22" t="s">
        <v>3872</v>
      </c>
      <c r="I764" s="22"/>
      <c r="J764" s="22"/>
      <c r="K764" s="30"/>
      <c r="L764" s="53"/>
      <c r="M764" s="26"/>
      <c r="N764" s="26"/>
      <c r="O764" s="27"/>
      <c r="P764" s="53"/>
      <c r="Q764" s="26"/>
      <c r="R764" s="29"/>
      <c r="S764" s="23" t="s">
        <v>84</v>
      </c>
      <c r="T764" s="23"/>
      <c r="U764" s="23"/>
      <c r="V764" s="23"/>
      <c r="W764" s="30"/>
      <c r="X764" s="30">
        <v>45505</v>
      </c>
      <c r="Y764" s="30">
        <v>45505</v>
      </c>
      <c r="Z764" s="31" t="str">
        <f t="shared" ca="1" si="53"/>
        <v>1 Tahun 2 Bulan 30 Hari</v>
      </c>
      <c r="AA764" s="31" t="s">
        <v>76</v>
      </c>
      <c r="AB764" s="32">
        <v>32509</v>
      </c>
      <c r="AC764" s="31" t="s">
        <v>3510</v>
      </c>
      <c r="AD764" s="22" t="str">
        <f t="shared" ca="1" si="52"/>
        <v xml:space="preserve">36 Tahun 9 Bulan </v>
      </c>
      <c r="AE764" s="33" t="s">
        <v>1106</v>
      </c>
      <c r="AF764" s="34"/>
      <c r="AG764" s="58" t="s">
        <v>3253</v>
      </c>
      <c r="AH764" s="22"/>
      <c r="AI764" s="22"/>
      <c r="AJ764" s="22"/>
      <c r="AK764" s="33"/>
      <c r="AL764" s="36"/>
      <c r="AM764" s="14"/>
    </row>
    <row r="765" spans="1:39" ht="14.45" customHeight="1" x14ac:dyDescent="0.25">
      <c r="A765" s="17">
        <v>56</v>
      </c>
      <c r="B765" s="78"/>
      <c r="C765" s="50" t="s">
        <v>3511</v>
      </c>
      <c r="D765" s="20">
        <v>2024080743</v>
      </c>
      <c r="E765" s="21" t="s">
        <v>40</v>
      </c>
      <c r="F765" s="22" t="s">
        <v>1063</v>
      </c>
      <c r="G765" s="23" t="s">
        <v>3872</v>
      </c>
      <c r="H765" s="22" t="s">
        <v>3872</v>
      </c>
      <c r="I765" s="22"/>
      <c r="J765" s="22"/>
      <c r="K765" s="30"/>
      <c r="L765" s="53"/>
      <c r="M765" s="26"/>
      <c r="N765" s="26"/>
      <c r="O765" s="27"/>
      <c r="P765" s="53"/>
      <c r="Q765" s="26"/>
      <c r="R765" s="29"/>
      <c r="S765" s="23" t="s">
        <v>84</v>
      </c>
      <c r="T765" s="23"/>
      <c r="U765" s="23"/>
      <c r="V765" s="23"/>
      <c r="W765" s="30"/>
      <c r="X765" s="30">
        <v>45505</v>
      </c>
      <c r="Y765" s="30">
        <v>45505</v>
      </c>
      <c r="Z765" s="31" t="str">
        <f t="shared" ca="1" si="53"/>
        <v>1 Tahun 2 Bulan 30 Hari</v>
      </c>
      <c r="AA765" s="31" t="s">
        <v>2050</v>
      </c>
      <c r="AB765" s="32">
        <v>33812</v>
      </c>
      <c r="AC765" s="31" t="s">
        <v>3512</v>
      </c>
      <c r="AD765" s="22" t="str">
        <f t="shared" ca="1" si="52"/>
        <v xml:space="preserve">33 Tahun 3 Bulan </v>
      </c>
      <c r="AE765" s="33" t="s">
        <v>1106</v>
      </c>
      <c r="AF765" s="34"/>
      <c r="AG765" s="58" t="s">
        <v>3253</v>
      </c>
      <c r="AH765" s="22"/>
      <c r="AI765" s="22"/>
      <c r="AJ765" s="22"/>
      <c r="AK765" s="33"/>
      <c r="AL765" s="36"/>
      <c r="AM765" s="14"/>
    </row>
    <row r="766" spans="1:39" ht="14.45" customHeight="1" x14ac:dyDescent="0.25">
      <c r="A766" s="17">
        <v>57</v>
      </c>
      <c r="B766" s="78"/>
      <c r="C766" s="50" t="s">
        <v>5896</v>
      </c>
      <c r="D766" s="20">
        <v>2024080746</v>
      </c>
      <c r="E766" s="21" t="s">
        <v>40</v>
      </c>
      <c r="F766" s="22" t="s">
        <v>1063</v>
      </c>
      <c r="G766" s="23" t="s">
        <v>3872</v>
      </c>
      <c r="H766" s="22" t="s">
        <v>3872</v>
      </c>
      <c r="I766" s="22"/>
      <c r="J766" s="22"/>
      <c r="K766" s="30"/>
      <c r="L766" s="53"/>
      <c r="M766" s="26"/>
      <c r="N766" s="26"/>
      <c r="O766" s="27"/>
      <c r="P766" s="53"/>
      <c r="Q766" s="26"/>
      <c r="R766" s="29"/>
      <c r="S766" s="23" t="s">
        <v>84</v>
      </c>
      <c r="T766" s="23"/>
      <c r="U766" s="23"/>
      <c r="V766" s="23"/>
      <c r="W766" s="30"/>
      <c r="X766" s="30">
        <v>45505</v>
      </c>
      <c r="Y766" s="30">
        <v>45505</v>
      </c>
      <c r="Z766" s="31" t="str">
        <f t="shared" ca="1" si="53"/>
        <v>1 Tahun 2 Bulan 30 Hari</v>
      </c>
      <c r="AA766" s="31" t="s">
        <v>76</v>
      </c>
      <c r="AB766" s="32">
        <v>32900</v>
      </c>
      <c r="AC766" s="31" t="s">
        <v>3513</v>
      </c>
      <c r="AD766" s="22" t="str">
        <f t="shared" ca="1" si="52"/>
        <v xml:space="preserve">35 Tahun 9 Bulan </v>
      </c>
      <c r="AE766" s="33" t="s">
        <v>1106</v>
      </c>
      <c r="AF766" s="34"/>
      <c r="AG766" s="58" t="s">
        <v>3253</v>
      </c>
      <c r="AH766" s="22"/>
      <c r="AI766" s="22"/>
      <c r="AJ766" s="22"/>
      <c r="AK766" s="33"/>
      <c r="AL766" s="36"/>
      <c r="AM766" s="14"/>
    </row>
    <row r="767" spans="1:39" ht="14.45" customHeight="1" x14ac:dyDescent="0.25">
      <c r="A767" s="17">
        <v>58</v>
      </c>
      <c r="B767" s="134"/>
      <c r="C767" s="50" t="s">
        <v>5897</v>
      </c>
      <c r="D767" s="20" t="s">
        <v>3514</v>
      </c>
      <c r="E767" s="58" t="s">
        <v>40</v>
      </c>
      <c r="F767" s="58" t="s">
        <v>238</v>
      </c>
      <c r="G767" s="89" t="s">
        <v>3872</v>
      </c>
      <c r="H767" s="22" t="s">
        <v>305</v>
      </c>
      <c r="I767" s="58" t="s">
        <v>44</v>
      </c>
      <c r="J767" s="22" t="s">
        <v>1104</v>
      </c>
      <c r="K767" s="22"/>
      <c r="L767" s="25"/>
      <c r="M767" s="26"/>
      <c r="N767" s="26"/>
      <c r="O767" s="27"/>
      <c r="P767" s="28"/>
      <c r="Q767" s="29"/>
      <c r="R767" s="26"/>
      <c r="S767" s="23" t="s">
        <v>84</v>
      </c>
      <c r="T767" s="23"/>
      <c r="U767" s="23"/>
      <c r="V767" s="23"/>
      <c r="W767" s="77">
        <v>45047</v>
      </c>
      <c r="X767" s="30">
        <v>45048</v>
      </c>
      <c r="Y767" s="30">
        <v>45048</v>
      </c>
      <c r="Z767" s="55" t="str">
        <f t="shared" ca="1" si="53"/>
        <v>2 Tahun 5 Bulan 29 Hari</v>
      </c>
      <c r="AA767" s="55" t="s">
        <v>312</v>
      </c>
      <c r="AB767" s="56">
        <v>34925</v>
      </c>
      <c r="AC767" s="31" t="s">
        <v>3515</v>
      </c>
      <c r="AD767" s="57" t="str">
        <f t="shared" ca="1" si="52"/>
        <v xml:space="preserve">30 Tahun 2 Bulan </v>
      </c>
      <c r="AE767" s="33" t="s">
        <v>1106</v>
      </c>
      <c r="AF767" s="71"/>
      <c r="AG767" s="58" t="s">
        <v>3253</v>
      </c>
      <c r="AH767" s="22"/>
      <c r="AI767" s="22"/>
      <c r="AJ767" s="22"/>
      <c r="AK767" s="33"/>
      <c r="AL767" s="36"/>
      <c r="AM767" s="14"/>
    </row>
    <row r="768" spans="1:39" ht="14.45" customHeight="1" x14ac:dyDescent="0.25">
      <c r="A768" s="17">
        <v>59</v>
      </c>
      <c r="B768" s="52"/>
      <c r="C768" s="50" t="s">
        <v>3516</v>
      </c>
      <c r="D768" s="20" t="s">
        <v>3517</v>
      </c>
      <c r="E768" s="52" t="s">
        <v>56</v>
      </c>
      <c r="F768" s="58" t="s">
        <v>41</v>
      </c>
      <c r="G768" s="23" t="s">
        <v>227</v>
      </c>
      <c r="H768" s="22" t="s">
        <v>228</v>
      </c>
      <c r="I768" s="22" t="s">
        <v>44</v>
      </c>
      <c r="J768" s="22" t="s">
        <v>1104</v>
      </c>
      <c r="K768" s="77">
        <v>44621</v>
      </c>
      <c r="L768" s="25"/>
      <c r="M768" s="26"/>
      <c r="N768" s="26"/>
      <c r="O768" s="27"/>
      <c r="P768" s="28"/>
      <c r="Q768" s="29"/>
      <c r="R768" s="26"/>
      <c r="S768" s="23" t="s">
        <v>84</v>
      </c>
      <c r="T768" s="23">
        <v>2017</v>
      </c>
      <c r="U768" s="23"/>
      <c r="V768" s="23"/>
      <c r="W768" s="77">
        <v>44621</v>
      </c>
      <c r="X768" s="77">
        <v>44621</v>
      </c>
      <c r="Y768" s="77">
        <v>44621</v>
      </c>
      <c r="Z768" s="55" t="str">
        <f t="shared" ca="1" si="53"/>
        <v>3 Tahun 7 Bulan 30 Hari</v>
      </c>
      <c r="AA768" s="55" t="s">
        <v>1346</v>
      </c>
      <c r="AB768" s="56">
        <v>34432</v>
      </c>
      <c r="AC768" s="32" t="s">
        <v>3518</v>
      </c>
      <c r="AD768" s="57" t="str">
        <f t="shared" ca="1" si="52"/>
        <v xml:space="preserve">31 Tahun 6 Bulan </v>
      </c>
      <c r="AE768" s="33" t="s">
        <v>1106</v>
      </c>
      <c r="AF768" s="71"/>
      <c r="AG768" s="58" t="s">
        <v>3253</v>
      </c>
      <c r="AH768" s="22"/>
      <c r="AI768" s="22"/>
      <c r="AJ768" s="22"/>
      <c r="AK768" s="33"/>
      <c r="AL768" s="36"/>
      <c r="AM768" s="14"/>
    </row>
    <row r="769" spans="1:39" ht="14.45" customHeight="1" x14ac:dyDescent="0.25">
      <c r="A769" s="17">
        <v>60</v>
      </c>
      <c r="B769" s="78"/>
      <c r="C769" s="50" t="s">
        <v>3519</v>
      </c>
      <c r="D769" s="20" t="s">
        <v>3520</v>
      </c>
      <c r="E769" s="21" t="s">
        <v>40</v>
      </c>
      <c r="F769" s="22" t="s">
        <v>1063</v>
      </c>
      <c r="G769" s="23" t="s">
        <v>3872</v>
      </c>
      <c r="H769" s="22" t="s">
        <v>3872</v>
      </c>
      <c r="I769" s="22"/>
      <c r="J769" s="22"/>
      <c r="K769" s="30"/>
      <c r="L769" s="53"/>
      <c r="M769" s="26"/>
      <c r="N769" s="26"/>
      <c r="O769" s="27"/>
      <c r="P769" s="53"/>
      <c r="Q769" s="26"/>
      <c r="R769" s="29"/>
      <c r="S769" s="23" t="s">
        <v>84</v>
      </c>
      <c r="T769" s="23"/>
      <c r="U769" s="23"/>
      <c r="V769" s="23"/>
      <c r="W769" s="30"/>
      <c r="X769" s="30">
        <v>45505</v>
      </c>
      <c r="Y769" s="30">
        <v>45505</v>
      </c>
      <c r="Z769" s="31" t="str">
        <f t="shared" ca="1" si="53"/>
        <v>1 Tahun 2 Bulan 30 Hari</v>
      </c>
      <c r="AA769" s="31" t="s">
        <v>846</v>
      </c>
      <c r="AB769" s="32">
        <v>36152</v>
      </c>
      <c r="AC769" s="31" t="s">
        <v>3521</v>
      </c>
      <c r="AD769" s="22" t="str">
        <f t="shared" ca="1" si="52"/>
        <v xml:space="preserve">26 Tahun 10 Bulan </v>
      </c>
      <c r="AE769" s="33" t="s">
        <v>1106</v>
      </c>
      <c r="AF769" s="34"/>
      <c r="AG769" s="58" t="s">
        <v>3253</v>
      </c>
      <c r="AH769" s="22"/>
      <c r="AI769" s="22"/>
      <c r="AJ769" s="22"/>
      <c r="AK769" s="33"/>
      <c r="AL769" s="36"/>
    </row>
    <row r="770" spans="1:39" ht="14.45" customHeight="1" x14ac:dyDescent="0.25">
      <c r="A770" s="17">
        <v>61</v>
      </c>
      <c r="B770" s="52"/>
      <c r="C770" s="50" t="s">
        <v>3522</v>
      </c>
      <c r="D770" s="20" t="s">
        <v>3523</v>
      </c>
      <c r="E770" s="52" t="s">
        <v>56</v>
      </c>
      <c r="F770" s="22" t="s">
        <v>41</v>
      </c>
      <c r="G770" s="23" t="s">
        <v>227</v>
      </c>
      <c r="H770" s="22" t="s">
        <v>228</v>
      </c>
      <c r="I770" s="22" t="s">
        <v>44</v>
      </c>
      <c r="J770" s="22" t="s">
        <v>1104</v>
      </c>
      <c r="K770" s="77">
        <v>44621</v>
      </c>
      <c r="L770" s="25"/>
      <c r="M770" s="26"/>
      <c r="N770" s="26"/>
      <c r="O770" s="27"/>
      <c r="P770" s="28"/>
      <c r="Q770" s="29"/>
      <c r="R770" s="26"/>
      <c r="S770" s="23" t="s">
        <v>84</v>
      </c>
      <c r="T770" s="23">
        <v>2019</v>
      </c>
      <c r="U770" s="23"/>
      <c r="V770" s="23"/>
      <c r="W770" s="77">
        <v>44621</v>
      </c>
      <c r="X770" s="77">
        <v>44621</v>
      </c>
      <c r="Y770" s="77">
        <v>44621</v>
      </c>
      <c r="Z770" s="55" t="str">
        <f t="shared" ca="1" si="53"/>
        <v>3 Tahun 7 Bulan 30 Hari</v>
      </c>
      <c r="AA770" s="55" t="s">
        <v>3524</v>
      </c>
      <c r="AB770" s="56">
        <v>35256</v>
      </c>
      <c r="AC770" s="32" t="s">
        <v>3525</v>
      </c>
      <c r="AD770" s="57" t="str">
        <f t="shared" ca="1" si="52"/>
        <v xml:space="preserve">29 Tahun 3 Bulan </v>
      </c>
      <c r="AE770" s="33" t="s">
        <v>1106</v>
      </c>
      <c r="AF770" s="71"/>
      <c r="AG770" s="58" t="s">
        <v>3253</v>
      </c>
      <c r="AH770" s="22"/>
      <c r="AI770" s="22"/>
      <c r="AJ770" s="22"/>
      <c r="AK770" s="33"/>
      <c r="AL770" s="36"/>
    </row>
    <row r="771" spans="1:39" ht="14.45" customHeight="1" x14ac:dyDescent="0.25">
      <c r="A771" s="17">
        <v>62</v>
      </c>
      <c r="B771" s="78"/>
      <c r="C771" s="50" t="s">
        <v>3526</v>
      </c>
      <c r="D771" s="62" t="s">
        <v>3527</v>
      </c>
      <c r="E771" s="21" t="s">
        <v>40</v>
      </c>
      <c r="F771" s="22" t="s">
        <v>238</v>
      </c>
      <c r="G771" s="23" t="s">
        <v>3872</v>
      </c>
      <c r="H771" s="22" t="s">
        <v>305</v>
      </c>
      <c r="I771" s="22" t="s">
        <v>44</v>
      </c>
      <c r="J771" s="22" t="s">
        <v>1104</v>
      </c>
      <c r="K771" s="30"/>
      <c r="L771" s="25"/>
      <c r="M771" s="29"/>
      <c r="N771" s="26"/>
      <c r="O771" s="27"/>
      <c r="P771" s="28"/>
      <c r="Q771" s="29"/>
      <c r="R771" s="26"/>
      <c r="S771" s="23" t="s">
        <v>84</v>
      </c>
      <c r="T771" s="23"/>
      <c r="U771" s="23"/>
      <c r="V771" s="23"/>
      <c r="W771" s="30">
        <v>45383</v>
      </c>
      <c r="X771" s="30">
        <v>45383</v>
      </c>
      <c r="Y771" s="30">
        <v>45383</v>
      </c>
      <c r="Z771" s="31" t="str">
        <f t="shared" ca="1" si="53"/>
        <v>1 Tahun 6 Bulan 30 Hari</v>
      </c>
      <c r="AA771" s="31" t="s">
        <v>3528</v>
      </c>
      <c r="AB771" s="32">
        <v>34938</v>
      </c>
      <c r="AC771" s="31" t="s">
        <v>3529</v>
      </c>
      <c r="AD771" s="22" t="str">
        <f t="shared" ca="1" si="52"/>
        <v xml:space="preserve">30 Tahun 2 Bulan </v>
      </c>
      <c r="AE771" s="33" t="s">
        <v>1106</v>
      </c>
      <c r="AF771" s="34"/>
      <c r="AG771" s="58" t="s">
        <v>3253</v>
      </c>
      <c r="AH771" s="22"/>
      <c r="AI771" s="22"/>
      <c r="AJ771" s="22"/>
      <c r="AK771" s="33"/>
      <c r="AL771" s="36"/>
    </row>
    <row r="772" spans="1:39" ht="14.45" customHeight="1" x14ac:dyDescent="0.25">
      <c r="A772" s="17">
        <v>63</v>
      </c>
      <c r="B772" s="52"/>
      <c r="C772" s="50" t="s">
        <v>3530</v>
      </c>
      <c r="D772" s="20" t="s">
        <v>3531</v>
      </c>
      <c r="E772" s="52" t="s">
        <v>40</v>
      </c>
      <c r="F772" s="58" t="s">
        <v>41</v>
      </c>
      <c r="G772" s="23" t="s">
        <v>227</v>
      </c>
      <c r="H772" s="22" t="s">
        <v>228</v>
      </c>
      <c r="I772" s="22" t="s">
        <v>44</v>
      </c>
      <c r="J772" s="22" t="s">
        <v>1104</v>
      </c>
      <c r="K772" s="77">
        <v>44621</v>
      </c>
      <c r="L772" s="25"/>
      <c r="M772" s="26"/>
      <c r="N772" s="26"/>
      <c r="O772" s="27"/>
      <c r="P772" s="28"/>
      <c r="Q772" s="29"/>
      <c r="R772" s="26"/>
      <c r="S772" s="23" t="s">
        <v>84</v>
      </c>
      <c r="T772" s="23">
        <v>2020</v>
      </c>
      <c r="U772" s="23"/>
      <c r="V772" s="23"/>
      <c r="W772" s="77">
        <v>44621</v>
      </c>
      <c r="X772" s="77">
        <v>44621</v>
      </c>
      <c r="Y772" s="77">
        <v>44621</v>
      </c>
      <c r="Z772" s="55" t="str">
        <f t="shared" ca="1" si="53"/>
        <v>3 Tahun 7 Bulan 30 Hari</v>
      </c>
      <c r="AA772" s="55" t="s">
        <v>563</v>
      </c>
      <c r="AB772" s="56">
        <v>35177</v>
      </c>
      <c r="AC772" s="32" t="s">
        <v>3532</v>
      </c>
      <c r="AD772" s="57" t="str">
        <f t="shared" ca="1" si="52"/>
        <v xml:space="preserve">29 Tahun 6 Bulan </v>
      </c>
      <c r="AE772" s="33" t="s">
        <v>1106</v>
      </c>
      <c r="AF772" s="71"/>
      <c r="AG772" s="58" t="s">
        <v>3253</v>
      </c>
      <c r="AH772" s="22"/>
      <c r="AI772" s="22"/>
      <c r="AJ772" s="22"/>
      <c r="AK772" s="33"/>
      <c r="AL772" s="36"/>
    </row>
    <row r="773" spans="1:39" ht="14.45" customHeight="1" x14ac:dyDescent="0.25">
      <c r="A773" s="17">
        <v>64</v>
      </c>
      <c r="B773" s="78"/>
      <c r="C773" s="50" t="s">
        <v>3533</v>
      </c>
      <c r="D773" s="20">
        <v>2024080729</v>
      </c>
      <c r="E773" s="21" t="s">
        <v>40</v>
      </c>
      <c r="F773" s="22" t="s">
        <v>1063</v>
      </c>
      <c r="G773" s="23" t="s">
        <v>3872</v>
      </c>
      <c r="H773" s="22" t="s">
        <v>3872</v>
      </c>
      <c r="I773" s="22"/>
      <c r="J773" s="22"/>
      <c r="K773" s="30"/>
      <c r="L773" s="53"/>
      <c r="M773" s="26"/>
      <c r="N773" s="26"/>
      <c r="O773" s="27"/>
      <c r="P773" s="53"/>
      <c r="Q773" s="26"/>
      <c r="R773" s="29"/>
      <c r="S773" s="23" t="s">
        <v>84</v>
      </c>
      <c r="T773" s="23"/>
      <c r="U773" s="23"/>
      <c r="V773" s="23"/>
      <c r="W773" s="30"/>
      <c r="X773" s="30">
        <v>45505</v>
      </c>
      <c r="Y773" s="30">
        <v>45505</v>
      </c>
      <c r="Z773" s="31" t="str">
        <f t="shared" ca="1" si="53"/>
        <v>1 Tahun 2 Bulan 30 Hari</v>
      </c>
      <c r="AA773" s="31" t="s">
        <v>471</v>
      </c>
      <c r="AB773" s="32">
        <v>35840</v>
      </c>
      <c r="AC773" s="31" t="s">
        <v>3534</v>
      </c>
      <c r="AD773" s="22" t="str">
        <f t="shared" ca="1" si="52"/>
        <v xml:space="preserve">27 Tahun 8 Bulan </v>
      </c>
      <c r="AE773" s="33" t="s">
        <v>1106</v>
      </c>
      <c r="AF773" s="34"/>
      <c r="AG773" s="58" t="s">
        <v>3253</v>
      </c>
      <c r="AH773" s="22"/>
      <c r="AI773" s="22"/>
      <c r="AJ773" s="22"/>
      <c r="AK773" s="33"/>
      <c r="AL773" s="36"/>
    </row>
    <row r="774" spans="1:39" ht="14.45" customHeight="1" x14ac:dyDescent="0.25">
      <c r="A774" s="17">
        <v>65</v>
      </c>
      <c r="B774" s="18"/>
      <c r="C774" s="113" t="s">
        <v>5898</v>
      </c>
      <c r="D774" s="20" t="s">
        <v>3535</v>
      </c>
      <c r="E774" s="21" t="s">
        <v>40</v>
      </c>
      <c r="F774" s="22" t="s">
        <v>192</v>
      </c>
      <c r="G774" s="23" t="s">
        <v>227</v>
      </c>
      <c r="H774" s="22" t="s">
        <v>228</v>
      </c>
      <c r="I774" s="22" t="s">
        <v>155</v>
      </c>
      <c r="J774" s="22" t="s">
        <v>1104</v>
      </c>
      <c r="K774" s="24" t="s">
        <v>195</v>
      </c>
      <c r="L774" s="22"/>
      <c r="M774" s="22"/>
      <c r="N774" s="22"/>
      <c r="O774" s="22"/>
      <c r="P774" s="22"/>
      <c r="Q774" s="22"/>
      <c r="R774" s="22"/>
      <c r="S774" s="23" t="s">
        <v>84</v>
      </c>
      <c r="T774" s="23"/>
      <c r="U774" s="23"/>
      <c r="V774" s="23"/>
      <c r="W774" s="69">
        <v>45809</v>
      </c>
      <c r="X774" s="69">
        <v>45810</v>
      </c>
      <c r="Y774" s="69">
        <v>45810</v>
      </c>
      <c r="Z774" s="31" t="str">
        <f t="shared" ca="1" si="53"/>
        <v>0 Tahun 4 Bulan 29 Hari</v>
      </c>
      <c r="AA774" s="23" t="s">
        <v>3536</v>
      </c>
      <c r="AB774" s="32">
        <v>34238</v>
      </c>
      <c r="AC774" s="32" t="s">
        <v>3537</v>
      </c>
      <c r="AD774" s="22" t="str">
        <f t="shared" ca="1" si="52"/>
        <v xml:space="preserve">32 Tahun 1 Bulan </v>
      </c>
      <c r="AE774" s="33" t="s">
        <v>1106</v>
      </c>
      <c r="AF774" s="34"/>
      <c r="AG774" s="58" t="s">
        <v>3253</v>
      </c>
      <c r="AH774" s="22"/>
      <c r="AI774" s="22"/>
      <c r="AJ774" s="22"/>
      <c r="AK774" s="33" t="s">
        <v>1421</v>
      </c>
      <c r="AL774" s="36"/>
      <c r="AM774" s="14"/>
    </row>
    <row r="775" spans="1:39" ht="14.45" customHeight="1" x14ac:dyDescent="0.25">
      <c r="A775" s="17">
        <v>66</v>
      </c>
      <c r="B775" s="18"/>
      <c r="C775" s="50" t="s">
        <v>5899</v>
      </c>
      <c r="D775" s="20" t="s">
        <v>3539</v>
      </c>
      <c r="E775" s="21" t="s">
        <v>56</v>
      </c>
      <c r="F775" s="22" t="s">
        <v>192</v>
      </c>
      <c r="G775" s="23" t="s">
        <v>227</v>
      </c>
      <c r="H775" s="22" t="s">
        <v>228</v>
      </c>
      <c r="I775" s="22" t="s">
        <v>155</v>
      </c>
      <c r="J775" s="22" t="s">
        <v>1104</v>
      </c>
      <c r="K775" s="24" t="s">
        <v>195</v>
      </c>
      <c r="L775" s="22"/>
      <c r="M775" s="22"/>
      <c r="N775" s="22"/>
      <c r="O775" s="22"/>
      <c r="P775" s="22"/>
      <c r="Q775" s="22"/>
      <c r="R775" s="22"/>
      <c r="S775" s="23" t="s">
        <v>84</v>
      </c>
      <c r="T775" s="23"/>
      <c r="U775" s="23"/>
      <c r="V775" s="23"/>
      <c r="W775" s="69">
        <v>45809</v>
      </c>
      <c r="X775" s="69">
        <v>45810</v>
      </c>
      <c r="Y775" s="69">
        <v>45810</v>
      </c>
      <c r="Z775" s="31" t="str">
        <f t="shared" ca="1" si="53"/>
        <v>0 Tahun 4 Bulan 29 Hari</v>
      </c>
      <c r="AA775" s="23" t="s">
        <v>3540</v>
      </c>
      <c r="AB775" s="32">
        <v>36208</v>
      </c>
      <c r="AC775" s="32" t="s">
        <v>3541</v>
      </c>
      <c r="AD775" s="22" t="str">
        <f t="shared" ca="1" si="52"/>
        <v xml:space="preserve">26 Tahun 8 Bulan </v>
      </c>
      <c r="AE775" s="33" t="s">
        <v>1106</v>
      </c>
      <c r="AF775" s="34"/>
      <c r="AG775" s="58" t="s">
        <v>3253</v>
      </c>
      <c r="AH775" s="22"/>
      <c r="AI775" s="22"/>
      <c r="AJ775" s="22"/>
      <c r="AK775" s="33" t="s">
        <v>1421</v>
      </c>
      <c r="AL775" s="36"/>
      <c r="AM775" s="14"/>
    </row>
    <row r="776" spans="1:39" ht="14.45" customHeight="1" x14ac:dyDescent="0.25">
      <c r="A776" s="17">
        <v>67</v>
      </c>
      <c r="B776" s="18"/>
      <c r="C776" s="50" t="s">
        <v>5900</v>
      </c>
      <c r="D776" s="20" t="s">
        <v>3542</v>
      </c>
      <c r="E776" s="52" t="s">
        <v>56</v>
      </c>
      <c r="F776" s="58" t="s">
        <v>41</v>
      </c>
      <c r="G776" s="23" t="s">
        <v>137</v>
      </c>
      <c r="H776" s="22" t="s">
        <v>138</v>
      </c>
      <c r="I776" s="22" t="s">
        <v>44</v>
      </c>
      <c r="J776" s="22" t="s">
        <v>3056</v>
      </c>
      <c r="K776" s="24">
        <v>45505</v>
      </c>
      <c r="L776" s="53" t="s">
        <v>3543</v>
      </c>
      <c r="M776" s="26">
        <v>42969</v>
      </c>
      <c r="N776" s="26">
        <v>44720</v>
      </c>
      <c r="O776" s="27" t="s">
        <v>1214</v>
      </c>
      <c r="P776" s="53" t="s">
        <v>3544</v>
      </c>
      <c r="Q776" s="26">
        <v>43143</v>
      </c>
      <c r="R776" s="26">
        <v>44720</v>
      </c>
      <c r="S776" s="33" t="s">
        <v>1216</v>
      </c>
      <c r="T776" s="33"/>
      <c r="U776" s="23"/>
      <c r="V776" s="23"/>
      <c r="W776" s="30">
        <v>39448</v>
      </c>
      <c r="X776" s="30">
        <v>39448</v>
      </c>
      <c r="Y776" s="30">
        <v>42339</v>
      </c>
      <c r="Z776" s="55" t="str">
        <f ca="1">DATEDIF(W776,TODAY(),"y")&amp;" Tahun "&amp;DATEDIF(W776,TODAY(),"ym")&amp;" Bulan "&amp;DATEDIF(W776,TODAY(),"md")&amp;" Hari"</f>
        <v>17 Tahun 9 Bulan 30 Hari</v>
      </c>
      <c r="AA776" s="55" t="s">
        <v>1540</v>
      </c>
      <c r="AB776" s="56">
        <v>30841</v>
      </c>
      <c r="AC776" s="32" t="s">
        <v>3545</v>
      </c>
      <c r="AD776" s="57" t="str">
        <f t="shared" ca="1" si="52"/>
        <v xml:space="preserve">41 Tahun 4 Bulan </v>
      </c>
      <c r="AE776" s="33" t="s">
        <v>1158</v>
      </c>
      <c r="AF776" s="71"/>
      <c r="AG776" s="22" t="s">
        <v>3546</v>
      </c>
      <c r="AH776" s="22"/>
      <c r="AI776" s="22"/>
      <c r="AJ776" s="22"/>
      <c r="AK776" s="33" t="s">
        <v>1421</v>
      </c>
      <c r="AL776" s="36"/>
      <c r="AM776" s="14"/>
    </row>
    <row r="777" spans="1:39" ht="14.45" customHeight="1" x14ac:dyDescent="0.25">
      <c r="A777" s="17">
        <v>68</v>
      </c>
      <c r="B777" s="78"/>
      <c r="C777" s="50" t="s">
        <v>3547</v>
      </c>
      <c r="D777" s="20" t="s">
        <v>3548</v>
      </c>
      <c r="E777" s="21" t="s">
        <v>56</v>
      </c>
      <c r="F777" s="22" t="s">
        <v>41</v>
      </c>
      <c r="G777" s="23" t="s">
        <v>137</v>
      </c>
      <c r="H777" s="22" t="s">
        <v>138</v>
      </c>
      <c r="I777" s="60" t="s">
        <v>44</v>
      </c>
      <c r="J777" s="22" t="s">
        <v>1148</v>
      </c>
      <c r="K777" s="24">
        <v>44835</v>
      </c>
      <c r="L777" s="53" t="s">
        <v>3549</v>
      </c>
      <c r="M777" s="26">
        <v>42683</v>
      </c>
      <c r="N777" s="26">
        <v>44510</v>
      </c>
      <c r="O777" s="27" t="s">
        <v>84</v>
      </c>
      <c r="P777" s="53" t="s">
        <v>3550</v>
      </c>
      <c r="Q777" s="26">
        <v>43087</v>
      </c>
      <c r="R777" s="26">
        <v>44510</v>
      </c>
      <c r="S777" s="23" t="s">
        <v>84</v>
      </c>
      <c r="T777" s="23"/>
      <c r="U777" s="23"/>
      <c r="V777" s="23"/>
      <c r="W777" s="30">
        <v>36220</v>
      </c>
      <c r="X777" s="30">
        <v>36220</v>
      </c>
      <c r="Y777" s="30">
        <v>42339</v>
      </c>
      <c r="Z777" s="31" t="str">
        <f ca="1">DATEDIF(W777,TODAY(),"y")&amp;" Tahun "&amp;DATEDIF(W777,TODAY(),"ym")&amp;" Bulan "&amp;DATEDIF(W777,TODAY(),"md")&amp;" Hari"</f>
        <v>26 Tahun 7 Bulan 30 Hari</v>
      </c>
      <c r="AA777" s="31" t="s">
        <v>1540</v>
      </c>
      <c r="AB777" s="32">
        <v>29169</v>
      </c>
      <c r="AC777" s="32" t="s">
        <v>3551</v>
      </c>
      <c r="AD777" s="22" t="str">
        <f t="shared" ca="1" si="52"/>
        <v xml:space="preserve">45 Tahun 11 Bulan </v>
      </c>
      <c r="AE777" s="33" t="s">
        <v>1158</v>
      </c>
      <c r="AF777" s="34"/>
      <c r="AG777" s="22" t="s">
        <v>3546</v>
      </c>
      <c r="AH777" s="58"/>
      <c r="AI777" s="58"/>
      <c r="AJ777" s="58"/>
      <c r="AK777" s="33" t="s">
        <v>308</v>
      </c>
      <c r="AL777" s="36"/>
    </row>
    <row r="778" spans="1:39" ht="14.45" customHeight="1" x14ac:dyDescent="0.25">
      <c r="A778" s="17">
        <v>69</v>
      </c>
      <c r="B778" s="18"/>
      <c r="C778" s="19" t="s">
        <v>3552</v>
      </c>
      <c r="D778" s="20" t="s">
        <v>3553</v>
      </c>
      <c r="E778" s="21" t="s">
        <v>56</v>
      </c>
      <c r="F778" s="22" t="s">
        <v>41</v>
      </c>
      <c r="G778" s="23" t="s">
        <v>102</v>
      </c>
      <c r="H778" s="22" t="s">
        <v>103</v>
      </c>
      <c r="I778" s="60" t="s">
        <v>44</v>
      </c>
      <c r="J778" s="22" t="s">
        <v>3056</v>
      </c>
      <c r="K778" s="24">
        <v>45323</v>
      </c>
      <c r="L778" s="53" t="s">
        <v>3554</v>
      </c>
      <c r="M778" s="26">
        <v>42657</v>
      </c>
      <c r="N778" s="26">
        <v>44315</v>
      </c>
      <c r="O778" s="40" t="s">
        <v>1324</v>
      </c>
      <c r="P778" s="53" t="s">
        <v>3555</v>
      </c>
      <c r="Q778" s="26">
        <v>43304</v>
      </c>
      <c r="R778" s="29">
        <v>44315</v>
      </c>
      <c r="S778" s="23" t="s">
        <v>3013</v>
      </c>
      <c r="T778" s="23"/>
      <c r="U778" s="23"/>
      <c r="V778" s="23"/>
      <c r="W778" s="30">
        <v>40513</v>
      </c>
      <c r="X778" s="30">
        <v>40664</v>
      </c>
      <c r="Y778" s="30">
        <v>43800</v>
      </c>
      <c r="Z778" s="31" t="str">
        <f ca="1">DATEDIF(W778,TODAY(),"y")&amp;" Tahun "&amp;DATEDIF(W778,TODAY(),"ym")&amp;" Bulan "&amp;DATEDIF(W778,TODAY(),"md")&amp;" Hari"</f>
        <v>14 Tahun 10 Bulan 30 Hari</v>
      </c>
      <c r="AA778" s="31" t="s">
        <v>76</v>
      </c>
      <c r="AB778" s="32">
        <v>32627</v>
      </c>
      <c r="AC778" s="32" t="s">
        <v>3556</v>
      </c>
      <c r="AD778" s="22" t="str">
        <f t="shared" ca="1" si="52"/>
        <v xml:space="preserve">36 Tahun 6 Bulan </v>
      </c>
      <c r="AE778" s="33" t="s">
        <v>1106</v>
      </c>
      <c r="AF778" s="34"/>
      <c r="AG778" s="58" t="s">
        <v>3546</v>
      </c>
      <c r="AH778" s="58"/>
      <c r="AI778" s="58"/>
      <c r="AJ778" s="58"/>
      <c r="AK778" s="33"/>
      <c r="AL778" s="36"/>
    </row>
    <row r="779" spans="1:39" ht="14.45" customHeight="1" x14ac:dyDescent="0.25">
      <c r="A779" s="17">
        <v>70</v>
      </c>
      <c r="B779" s="18"/>
      <c r="C779" s="50" t="s">
        <v>6168</v>
      </c>
      <c r="D779" s="20" t="s">
        <v>3557</v>
      </c>
      <c r="E779" s="58" t="s">
        <v>56</v>
      </c>
      <c r="F779" s="22" t="s">
        <v>41</v>
      </c>
      <c r="G779" s="23" t="s">
        <v>227</v>
      </c>
      <c r="H779" s="22" t="s">
        <v>228</v>
      </c>
      <c r="I779" s="60" t="s">
        <v>44</v>
      </c>
      <c r="J779" s="22" t="s">
        <v>3558</v>
      </c>
      <c r="K779" s="24">
        <v>45200</v>
      </c>
      <c r="L779" s="53" t="s">
        <v>3559</v>
      </c>
      <c r="M779" s="26">
        <v>42969</v>
      </c>
      <c r="N779" s="26">
        <v>44651</v>
      </c>
      <c r="O779" s="27" t="s">
        <v>1214</v>
      </c>
      <c r="P779" s="53" t="s">
        <v>3560</v>
      </c>
      <c r="Q779" s="26">
        <v>43129</v>
      </c>
      <c r="R779" s="26">
        <v>44651</v>
      </c>
      <c r="S779" s="23" t="s">
        <v>3013</v>
      </c>
      <c r="T779" s="23"/>
      <c r="U779" s="23"/>
      <c r="V779" s="23"/>
      <c r="W779" s="30">
        <v>41671</v>
      </c>
      <c r="X779" s="30"/>
      <c r="Y779" s="30">
        <v>41730</v>
      </c>
      <c r="Z779" s="55" t="str">
        <f ca="1">DATEDIF(W779,TODAY(),"y")&amp;" Tahun "&amp;DATEDIF(W779,TODAY(),"ym")&amp;" Bulan "&amp;DATEDIF(W779,TODAY(),"md")&amp;" Hari"</f>
        <v>11 Tahun 8 Bulan 30 Hari</v>
      </c>
      <c r="AA779" s="55" t="s">
        <v>1640</v>
      </c>
      <c r="AB779" s="56">
        <v>33328</v>
      </c>
      <c r="AC779" s="32" t="s">
        <v>3561</v>
      </c>
      <c r="AD779" s="57" t="str">
        <f t="shared" ca="1" si="52"/>
        <v xml:space="preserve">34 Tahun 7 Bulan </v>
      </c>
      <c r="AE779" s="33" t="s">
        <v>1106</v>
      </c>
      <c r="AF779" s="34"/>
      <c r="AG779" s="22" t="s">
        <v>3546</v>
      </c>
      <c r="AH779" s="22"/>
      <c r="AI779" s="22"/>
      <c r="AJ779" s="22"/>
      <c r="AK779" s="33" t="s">
        <v>1421</v>
      </c>
      <c r="AL779" s="36"/>
      <c r="AM779" s="14"/>
    </row>
    <row r="780" spans="1:39" ht="14.45" customHeight="1" x14ac:dyDescent="0.25">
      <c r="A780" s="17">
        <v>71</v>
      </c>
      <c r="B780" s="78"/>
      <c r="C780" s="50" t="s">
        <v>5901</v>
      </c>
      <c r="D780" s="20" t="s">
        <v>3562</v>
      </c>
      <c r="E780" s="22" t="s">
        <v>56</v>
      </c>
      <c r="F780" s="22" t="s">
        <v>41</v>
      </c>
      <c r="G780" s="23" t="s">
        <v>227</v>
      </c>
      <c r="H780" s="22" t="s">
        <v>228</v>
      </c>
      <c r="I780" s="60" t="s">
        <v>44</v>
      </c>
      <c r="J780" s="22" t="s">
        <v>3558</v>
      </c>
      <c r="K780" s="24">
        <v>45200</v>
      </c>
      <c r="L780" s="28" t="s">
        <v>3563</v>
      </c>
      <c r="M780" s="26">
        <v>42048</v>
      </c>
      <c r="N780" s="26">
        <v>44015</v>
      </c>
      <c r="O780" s="27" t="s">
        <v>1214</v>
      </c>
      <c r="P780" s="28" t="s">
        <v>3564</v>
      </c>
      <c r="Q780" s="29">
        <v>42430</v>
      </c>
      <c r="R780" s="26">
        <v>44015</v>
      </c>
      <c r="S780" s="23" t="s">
        <v>3013</v>
      </c>
      <c r="T780" s="23"/>
      <c r="U780" s="23"/>
      <c r="V780" s="23"/>
      <c r="W780" s="30">
        <v>42095</v>
      </c>
      <c r="X780" s="30">
        <v>42095</v>
      </c>
      <c r="Y780" s="30">
        <v>42095</v>
      </c>
      <c r="Z780" s="31" t="str">
        <f ca="1">DATEDIF(W780,TODAY(),"y")&amp;" Tahun "&amp;DATEDIF(W780,TODAY(),"ym")&amp;" Bulan "&amp;DATEDIF(W780,TODAY(),"md")&amp;" Hari"</f>
        <v>10 Tahun 6 Bulan 30 Hari</v>
      </c>
      <c r="AA780" s="32" t="s">
        <v>2419</v>
      </c>
      <c r="AB780" s="32">
        <v>33422</v>
      </c>
      <c r="AC780" s="31" t="s">
        <v>3565</v>
      </c>
      <c r="AD780" s="22" t="str">
        <f t="shared" ca="1" si="52"/>
        <v xml:space="preserve">34 Tahun 3 Bulan </v>
      </c>
      <c r="AE780" s="33" t="s">
        <v>1106</v>
      </c>
      <c r="AF780" s="34"/>
      <c r="AG780" s="58" t="s">
        <v>3546</v>
      </c>
      <c r="AH780" s="58"/>
      <c r="AI780" s="58"/>
      <c r="AJ780" s="58"/>
      <c r="AK780" s="33"/>
      <c r="AL780" s="36"/>
    </row>
    <row r="781" spans="1:39" ht="14.45" customHeight="1" x14ac:dyDescent="0.25">
      <c r="A781" s="17">
        <v>72</v>
      </c>
      <c r="B781" s="21"/>
      <c r="C781" s="50" t="s">
        <v>5902</v>
      </c>
      <c r="D781" s="20" t="s">
        <v>3566</v>
      </c>
      <c r="E781" s="52" t="s">
        <v>56</v>
      </c>
      <c r="F781" s="22" t="s">
        <v>41</v>
      </c>
      <c r="G781" s="33" t="s">
        <v>193</v>
      </c>
      <c r="H781" s="22" t="s">
        <v>194</v>
      </c>
      <c r="I781" s="60" t="s">
        <v>44</v>
      </c>
      <c r="J781" s="22" t="s">
        <v>3567</v>
      </c>
      <c r="K781" s="30">
        <v>44621</v>
      </c>
      <c r="L781" s="53"/>
      <c r="M781" s="26"/>
      <c r="N781" s="26"/>
      <c r="O781" s="27"/>
      <c r="P781" s="53"/>
      <c r="Q781" s="26"/>
      <c r="R781" s="26"/>
      <c r="S781" s="33" t="s">
        <v>1216</v>
      </c>
      <c r="T781" s="33">
        <v>2013</v>
      </c>
      <c r="U781" s="23"/>
      <c r="V781" s="23"/>
      <c r="W781" s="30">
        <v>44621</v>
      </c>
      <c r="X781" s="30">
        <v>44621</v>
      </c>
      <c r="Y781" s="30">
        <v>44621</v>
      </c>
      <c r="Z781" s="55" t="str">
        <f ca="1">DATEDIF(X781,TODAY(),"y")&amp;" Tahun "&amp;DATEDIF(X781,TODAY(),"ym")&amp;" Bulan "&amp;DATEDIF(X781,TODAY(),"md")&amp;" Hari"</f>
        <v>3 Tahun 7 Bulan 30 Hari</v>
      </c>
      <c r="AA781" s="55" t="s">
        <v>3568</v>
      </c>
      <c r="AB781" s="56">
        <v>33482</v>
      </c>
      <c r="AC781" s="32" t="s">
        <v>3569</v>
      </c>
      <c r="AD781" s="57" t="str">
        <f t="shared" ca="1" si="52"/>
        <v xml:space="preserve">34 Tahun 1 Bulan </v>
      </c>
      <c r="AE781" s="33" t="s">
        <v>1106</v>
      </c>
      <c r="AF781" s="34"/>
      <c r="AG781" s="22" t="s">
        <v>3546</v>
      </c>
      <c r="AH781" s="22"/>
      <c r="AI781" s="22"/>
      <c r="AJ781" s="22"/>
      <c r="AK781" s="33" t="s">
        <v>485</v>
      </c>
      <c r="AL781" s="36"/>
    </row>
    <row r="782" spans="1:39" ht="14.45" customHeight="1" x14ac:dyDescent="0.25">
      <c r="A782" s="17">
        <v>73</v>
      </c>
      <c r="B782" s="78"/>
      <c r="C782" s="50" t="s">
        <v>5903</v>
      </c>
      <c r="D782" s="20" t="s">
        <v>3570</v>
      </c>
      <c r="E782" s="21" t="s">
        <v>56</v>
      </c>
      <c r="F782" s="22" t="s">
        <v>41</v>
      </c>
      <c r="G782" s="23" t="s">
        <v>227</v>
      </c>
      <c r="H782" s="22" t="s">
        <v>228</v>
      </c>
      <c r="I782" s="22" t="s">
        <v>44</v>
      </c>
      <c r="J782" s="22" t="s">
        <v>3558</v>
      </c>
      <c r="K782" s="24">
        <v>45200</v>
      </c>
      <c r="L782" s="53" t="s">
        <v>3571</v>
      </c>
      <c r="M782" s="26">
        <v>41953</v>
      </c>
      <c r="N782" s="26">
        <v>43716</v>
      </c>
      <c r="O782" s="27" t="s">
        <v>1324</v>
      </c>
      <c r="P782" s="53" t="s">
        <v>3572</v>
      </c>
      <c r="Q782" s="26">
        <v>42430</v>
      </c>
      <c r="R782" s="26">
        <v>43716</v>
      </c>
      <c r="S782" s="23" t="s">
        <v>3013</v>
      </c>
      <c r="T782" s="23"/>
      <c r="U782" s="23"/>
      <c r="V782" s="23"/>
      <c r="W782" s="30">
        <v>42095</v>
      </c>
      <c r="X782" s="30">
        <v>42095</v>
      </c>
      <c r="Y782" s="30" t="s">
        <v>3573</v>
      </c>
      <c r="Z782" s="31" t="str">
        <f ca="1">DATEDIF(W782,TODAY(),"y")&amp;" Tahun "&amp;DATEDIF(W782,TODAY(),"ym")&amp;" Bulan "&amp;DATEDIF(W782,TODAY(),"md")&amp;" Hari"</f>
        <v>10 Tahun 6 Bulan 30 Hari</v>
      </c>
      <c r="AA782" s="31" t="s">
        <v>1279</v>
      </c>
      <c r="AB782" s="32">
        <v>33855</v>
      </c>
      <c r="AC782" s="32" t="s">
        <v>3574</v>
      </c>
      <c r="AD782" s="22" t="str">
        <f t="shared" ca="1" si="52"/>
        <v xml:space="preserve">33 Tahun 1 Bulan </v>
      </c>
      <c r="AE782" s="33" t="s">
        <v>1106</v>
      </c>
      <c r="AF782" s="34"/>
      <c r="AG782" s="58" t="s">
        <v>3546</v>
      </c>
      <c r="AH782" s="58"/>
      <c r="AI782" s="58"/>
      <c r="AJ782" s="58"/>
      <c r="AK782" s="33"/>
      <c r="AL782" s="36"/>
    </row>
    <row r="783" spans="1:39" ht="14.45" customHeight="1" x14ac:dyDescent="0.25">
      <c r="A783" s="17">
        <v>74</v>
      </c>
      <c r="B783" s="78"/>
      <c r="C783" s="50" t="s">
        <v>5904</v>
      </c>
      <c r="D783" s="20" t="s">
        <v>3575</v>
      </c>
      <c r="E783" s="21" t="s">
        <v>56</v>
      </c>
      <c r="F783" s="22" t="s">
        <v>41</v>
      </c>
      <c r="G783" s="23" t="s">
        <v>137</v>
      </c>
      <c r="H783" s="22" t="s">
        <v>138</v>
      </c>
      <c r="I783" s="22" t="s">
        <v>44</v>
      </c>
      <c r="J783" s="22" t="s">
        <v>3056</v>
      </c>
      <c r="K783" s="24">
        <v>45505</v>
      </c>
      <c r="L783" s="53" t="s">
        <v>3576</v>
      </c>
      <c r="M783" s="26">
        <v>42969</v>
      </c>
      <c r="N783" s="26">
        <v>44843</v>
      </c>
      <c r="O783" s="27" t="s">
        <v>1214</v>
      </c>
      <c r="P783" s="53" t="s">
        <v>3577</v>
      </c>
      <c r="Q783" s="26">
        <v>43143</v>
      </c>
      <c r="R783" s="26">
        <v>44843</v>
      </c>
      <c r="S783" s="23" t="s">
        <v>3013</v>
      </c>
      <c r="T783" s="23"/>
      <c r="U783" s="23"/>
      <c r="V783" s="23"/>
      <c r="W783" s="30">
        <v>39873</v>
      </c>
      <c r="X783" s="30">
        <v>42309</v>
      </c>
      <c r="Y783" s="30">
        <v>42401</v>
      </c>
      <c r="Z783" s="31" t="str">
        <f ca="1">DATEDIF(X783,TODAY(),"y")&amp;" Tahun "&amp;DATEDIF(X783,TODAY(),"ym")&amp;" Bulan "&amp;DATEDIF(X783,TODAY(),"md")&amp;" Hari"</f>
        <v>9 Tahun 11 Bulan 30 Hari</v>
      </c>
      <c r="AA783" s="31" t="s">
        <v>3578</v>
      </c>
      <c r="AB783" s="32">
        <v>29108</v>
      </c>
      <c r="AC783" s="32" t="s">
        <v>3579</v>
      </c>
      <c r="AD783" s="22" t="str">
        <f t="shared" ca="1" si="52"/>
        <v xml:space="preserve">46 Tahun 1 Bulan </v>
      </c>
      <c r="AE783" s="33" t="s">
        <v>1106</v>
      </c>
      <c r="AF783" s="34"/>
      <c r="AG783" s="22" t="s">
        <v>3546</v>
      </c>
      <c r="AH783" s="22"/>
      <c r="AI783" s="22"/>
      <c r="AJ783" s="22"/>
      <c r="AK783" s="33" t="s">
        <v>1421</v>
      </c>
      <c r="AL783" s="36"/>
      <c r="AM783" s="14"/>
    </row>
    <row r="784" spans="1:39" ht="14.45" customHeight="1" x14ac:dyDescent="0.25">
      <c r="A784" s="17">
        <v>75</v>
      </c>
      <c r="B784" s="78"/>
      <c r="C784" s="50" t="s">
        <v>3580</v>
      </c>
      <c r="D784" s="20" t="s">
        <v>3581</v>
      </c>
      <c r="E784" s="21" t="s">
        <v>56</v>
      </c>
      <c r="F784" s="22" t="s">
        <v>41</v>
      </c>
      <c r="G784" s="23" t="s">
        <v>102</v>
      </c>
      <c r="H784" s="22" t="s">
        <v>103</v>
      </c>
      <c r="I784" s="22" t="s">
        <v>44</v>
      </c>
      <c r="J784" s="22" t="s">
        <v>3558</v>
      </c>
      <c r="K784" s="24">
        <v>45566</v>
      </c>
      <c r="L784" s="53" t="s">
        <v>3582</v>
      </c>
      <c r="M784" s="26">
        <v>43049</v>
      </c>
      <c r="N784" s="26">
        <v>44889</v>
      </c>
      <c r="O784" s="27" t="s">
        <v>1214</v>
      </c>
      <c r="P784" s="53" t="s">
        <v>3583</v>
      </c>
      <c r="Q784" s="26">
        <v>43164</v>
      </c>
      <c r="R784" s="26">
        <v>44889</v>
      </c>
      <c r="S784" s="23" t="s">
        <v>3013</v>
      </c>
      <c r="T784" s="23"/>
      <c r="U784" s="23"/>
      <c r="V784" s="23"/>
      <c r="W784" s="30">
        <v>40513</v>
      </c>
      <c r="X784" s="30">
        <v>42705</v>
      </c>
      <c r="Y784" s="30">
        <v>42745</v>
      </c>
      <c r="Z784" s="31" t="str">
        <f ca="1">DATEDIF(X784,TODAY(),"y")&amp;" Tahun "&amp;DATEDIF(X784,TODAY(),"ym")&amp;" Bulan "&amp;DATEDIF(X784,TODAY(),"md")&amp;" Hari"</f>
        <v>8 Tahun 10 Bulan 30 Hari</v>
      </c>
      <c r="AA784" s="31" t="s">
        <v>60</v>
      </c>
      <c r="AB784" s="32">
        <v>31740</v>
      </c>
      <c r="AC784" s="32" t="s">
        <v>3584</v>
      </c>
      <c r="AD784" s="22" t="str">
        <f t="shared" ca="1" si="52"/>
        <v xml:space="preserve">38 Tahun 11 Bulan </v>
      </c>
      <c r="AE784" s="33" t="s">
        <v>3585</v>
      </c>
      <c r="AF784" s="34"/>
      <c r="AG784" s="58" t="s">
        <v>3546</v>
      </c>
      <c r="AH784" s="22"/>
      <c r="AI784" s="22"/>
      <c r="AJ784" s="22"/>
      <c r="AK784" s="33" t="s">
        <v>3538</v>
      </c>
      <c r="AL784" s="36"/>
    </row>
    <row r="785" spans="1:39" ht="14.45" customHeight="1" x14ac:dyDescent="0.25">
      <c r="A785" s="17">
        <v>76</v>
      </c>
      <c r="B785" s="78"/>
      <c r="C785" s="50" t="s">
        <v>5905</v>
      </c>
      <c r="D785" s="20" t="s">
        <v>3586</v>
      </c>
      <c r="E785" s="22" t="s">
        <v>56</v>
      </c>
      <c r="F785" s="22" t="s">
        <v>41</v>
      </c>
      <c r="G785" s="23" t="s">
        <v>227</v>
      </c>
      <c r="H785" s="22" t="s">
        <v>228</v>
      </c>
      <c r="I785" s="22" t="s">
        <v>44</v>
      </c>
      <c r="J785" s="22" t="s">
        <v>3558</v>
      </c>
      <c r="K785" s="24">
        <v>45200</v>
      </c>
      <c r="L785" s="53" t="s">
        <v>3587</v>
      </c>
      <c r="M785" s="26">
        <v>42969</v>
      </c>
      <c r="N785" s="26">
        <v>44810</v>
      </c>
      <c r="O785" s="27" t="s">
        <v>1214</v>
      </c>
      <c r="P785" s="28" t="s">
        <v>3588</v>
      </c>
      <c r="Q785" s="29">
        <v>42430</v>
      </c>
      <c r="R785" s="26">
        <v>42984</v>
      </c>
      <c r="S785" s="23" t="s">
        <v>3013</v>
      </c>
      <c r="T785" s="23"/>
      <c r="U785" s="23"/>
      <c r="V785" s="23"/>
      <c r="W785" s="30">
        <v>42095</v>
      </c>
      <c r="X785" s="30">
        <v>42095</v>
      </c>
      <c r="Y785" s="30">
        <v>43800</v>
      </c>
      <c r="Z785" s="31" t="str">
        <f ca="1">DATEDIF(W785,TODAY(),"y")&amp;" Tahun "&amp;DATEDIF(W785,TODAY(),"ym")&amp;" Bulan "&amp;DATEDIF(W785,TODAY(),"md")&amp;" Hari"</f>
        <v>10 Tahun 6 Bulan 30 Hari</v>
      </c>
      <c r="AA785" s="32" t="s">
        <v>141</v>
      </c>
      <c r="AB785" s="32">
        <v>33853</v>
      </c>
      <c r="AC785" s="31" t="s">
        <v>3589</v>
      </c>
      <c r="AD785" s="22" t="str">
        <f t="shared" ca="1" si="52"/>
        <v xml:space="preserve">33 Tahun 1 Bulan </v>
      </c>
      <c r="AE785" s="33" t="s">
        <v>1106</v>
      </c>
      <c r="AF785" s="34"/>
      <c r="AG785" s="58" t="s">
        <v>3546</v>
      </c>
      <c r="AH785" s="22"/>
      <c r="AI785" s="22"/>
      <c r="AJ785" s="22"/>
      <c r="AK785" s="33" t="s">
        <v>200</v>
      </c>
      <c r="AL785" s="36"/>
    </row>
    <row r="786" spans="1:39" ht="14.45" customHeight="1" x14ac:dyDescent="0.25">
      <c r="A786" s="17">
        <v>2</v>
      </c>
      <c r="B786" s="78"/>
      <c r="C786" s="50" t="s">
        <v>6169</v>
      </c>
      <c r="D786" s="20" t="s">
        <v>5906</v>
      </c>
      <c r="E786" s="21" t="s">
        <v>56</v>
      </c>
      <c r="F786" s="22" t="s">
        <v>238</v>
      </c>
      <c r="G786" s="22" t="s">
        <v>3872</v>
      </c>
      <c r="H786" s="22" t="s">
        <v>1078</v>
      </c>
      <c r="I786" s="60" t="s">
        <v>44</v>
      </c>
      <c r="J786" s="22" t="s">
        <v>3187</v>
      </c>
      <c r="K786" s="22"/>
      <c r="L786" s="28" t="s">
        <v>3590</v>
      </c>
      <c r="M786" s="26">
        <v>41990</v>
      </c>
      <c r="N786" s="26">
        <v>43598</v>
      </c>
      <c r="O786" s="27" t="s">
        <v>1324</v>
      </c>
      <c r="P786" s="53" t="s">
        <v>3591</v>
      </c>
      <c r="Q786" s="26">
        <v>43164</v>
      </c>
      <c r="R786" s="29">
        <v>43598</v>
      </c>
      <c r="S786" s="33" t="s">
        <v>3013</v>
      </c>
      <c r="T786" s="33"/>
      <c r="U786" s="33"/>
      <c r="V786" s="33"/>
      <c r="W786" s="77">
        <v>45931</v>
      </c>
      <c r="X786" s="30">
        <v>40787</v>
      </c>
      <c r="Y786" s="30">
        <v>40914</v>
      </c>
      <c r="Z786" s="31" t="str">
        <f ca="1">DATEDIF(X786,TODAY(),"y")&amp;" Tahun "&amp;DATEDIF(X786,TODAY(),"ym")&amp;" Bulan "&amp;DATEDIF(X786,TODAY(),"md")&amp;" Hari"</f>
        <v>14 Tahun 1 Bulan 30 Hari</v>
      </c>
      <c r="AA786" s="31" t="s">
        <v>76</v>
      </c>
      <c r="AB786" s="32">
        <v>32641</v>
      </c>
      <c r="AC786" s="31" t="s">
        <v>5907</v>
      </c>
      <c r="AD786" s="22" t="str">
        <f t="shared" ca="1" si="52"/>
        <v xml:space="preserve">36 Tahun 5 Bulan </v>
      </c>
      <c r="AE786" s="33" t="s">
        <v>1106</v>
      </c>
      <c r="AF786" s="34"/>
      <c r="AG786" s="22" t="s">
        <v>3546</v>
      </c>
      <c r="AH786" s="58"/>
      <c r="AI786" s="58"/>
      <c r="AJ786" s="58"/>
      <c r="AK786" s="33"/>
      <c r="AL786" s="36"/>
    </row>
    <row r="787" spans="1:39" ht="14.45" customHeight="1" x14ac:dyDescent="0.25">
      <c r="A787" s="17">
        <v>3</v>
      </c>
      <c r="B787" s="78"/>
      <c r="C787" s="50" t="s">
        <v>3592</v>
      </c>
      <c r="D787" s="20" t="s">
        <v>3593</v>
      </c>
      <c r="E787" s="21" t="s">
        <v>56</v>
      </c>
      <c r="F787" s="22" t="s">
        <v>238</v>
      </c>
      <c r="G787" s="33" t="s">
        <v>3872</v>
      </c>
      <c r="H787" s="22" t="s">
        <v>1078</v>
      </c>
      <c r="I787" s="22" t="s">
        <v>44</v>
      </c>
      <c r="J787" s="22" t="s">
        <v>3187</v>
      </c>
      <c r="K787" s="22"/>
      <c r="L787" s="53" t="s">
        <v>3594</v>
      </c>
      <c r="M787" s="26">
        <v>42969</v>
      </c>
      <c r="N787" s="26">
        <v>44647</v>
      </c>
      <c r="O787" s="27" t="s">
        <v>1214</v>
      </c>
      <c r="P787" s="53" t="s">
        <v>3595</v>
      </c>
      <c r="Q787" s="26">
        <v>43143</v>
      </c>
      <c r="R787" s="26">
        <v>44647</v>
      </c>
      <c r="S787" s="33" t="s">
        <v>3013</v>
      </c>
      <c r="T787" s="33"/>
      <c r="U787" s="33"/>
      <c r="V787" s="33"/>
      <c r="W787" s="77">
        <v>45047</v>
      </c>
      <c r="X787" s="30">
        <v>41030</v>
      </c>
      <c r="Y787" s="30">
        <v>42856</v>
      </c>
      <c r="Z787" s="31" t="str">
        <f ca="1">DATEDIF(X787,TODAY(),"y")&amp;" Tahun "&amp;DATEDIF(X787,TODAY(),"ym")&amp;" Bulan "&amp;DATEDIF(X787,TODAY(),"md")&amp;" Hari"</f>
        <v>13 Tahun 5 Bulan 30 Hari</v>
      </c>
      <c r="AA787" s="31" t="s">
        <v>882</v>
      </c>
      <c r="AB787" s="32">
        <v>28211</v>
      </c>
      <c r="AC787" s="31" t="s">
        <v>3596</v>
      </c>
      <c r="AD787" s="22" t="str">
        <f t="shared" ca="1" si="52"/>
        <v xml:space="preserve">48 Tahun 7 Bulan </v>
      </c>
      <c r="AE787" s="33" t="s">
        <v>1106</v>
      </c>
      <c r="AF787" s="34"/>
      <c r="AG787" s="58" t="s">
        <v>3546</v>
      </c>
      <c r="AH787" s="22"/>
      <c r="AI787" s="22"/>
      <c r="AJ787" s="22"/>
      <c r="AK787" s="33"/>
      <c r="AL787" s="36"/>
    </row>
    <row r="788" spans="1:39" ht="14.45" customHeight="1" x14ac:dyDescent="0.25">
      <c r="A788" s="17">
        <v>4</v>
      </c>
      <c r="B788" s="78"/>
      <c r="C788" s="50" t="s">
        <v>6170</v>
      </c>
      <c r="D788" s="20" t="s">
        <v>5908</v>
      </c>
      <c r="E788" s="21" t="s">
        <v>56</v>
      </c>
      <c r="F788" s="22" t="s">
        <v>238</v>
      </c>
      <c r="G788" s="33" t="s">
        <v>3872</v>
      </c>
      <c r="H788" s="22" t="s">
        <v>1078</v>
      </c>
      <c r="I788" s="22" t="s">
        <v>44</v>
      </c>
      <c r="J788" s="22" t="s">
        <v>3187</v>
      </c>
      <c r="K788" s="22"/>
      <c r="L788" s="53" t="s">
        <v>3597</v>
      </c>
      <c r="M788" s="26">
        <v>42969</v>
      </c>
      <c r="N788" s="26">
        <v>44731</v>
      </c>
      <c r="O788" s="27" t="s">
        <v>1214</v>
      </c>
      <c r="P788" s="53" t="s">
        <v>3598</v>
      </c>
      <c r="Q788" s="26">
        <v>43143</v>
      </c>
      <c r="R788" s="26">
        <v>44731</v>
      </c>
      <c r="S788" s="33" t="s">
        <v>3013</v>
      </c>
      <c r="T788" s="33"/>
      <c r="U788" s="33"/>
      <c r="V788" s="33"/>
      <c r="W788" s="77">
        <v>45931</v>
      </c>
      <c r="X788" s="30">
        <v>41030</v>
      </c>
      <c r="Y788" s="30">
        <v>41061</v>
      </c>
      <c r="Z788" s="31" t="str">
        <f ca="1">DATEDIF(X788,TODAY(),"y")&amp;" Tahun "&amp;DATEDIF(X788,TODAY(),"ym")&amp;" Bulan "&amp;DATEDIF(X788,TODAY(),"md")&amp;" Hari"</f>
        <v>13 Tahun 5 Bulan 30 Hari</v>
      </c>
      <c r="AA788" s="31" t="s">
        <v>76</v>
      </c>
      <c r="AB788" s="32">
        <v>33043</v>
      </c>
      <c r="AC788" s="31" t="s">
        <v>5909</v>
      </c>
      <c r="AD788" s="22" t="str">
        <f t="shared" ca="1" si="52"/>
        <v xml:space="preserve">35 Tahun 4 Bulan </v>
      </c>
      <c r="AE788" s="33" t="s">
        <v>1106</v>
      </c>
      <c r="AF788" s="34"/>
      <c r="AG788" s="22" t="s">
        <v>3546</v>
      </c>
      <c r="AH788" s="22"/>
      <c r="AI788" s="22"/>
      <c r="AJ788" s="22"/>
      <c r="AK788" s="33"/>
      <c r="AL788" s="36"/>
    </row>
    <row r="789" spans="1:39" ht="14.45" customHeight="1" x14ac:dyDescent="0.25">
      <c r="A789" s="17">
        <v>5</v>
      </c>
      <c r="B789" s="18"/>
      <c r="C789" s="50" t="s">
        <v>3599</v>
      </c>
      <c r="D789" s="20" t="s">
        <v>3600</v>
      </c>
      <c r="E789" s="21" t="s">
        <v>56</v>
      </c>
      <c r="F789" s="22" t="s">
        <v>41</v>
      </c>
      <c r="G789" s="23" t="s">
        <v>3601</v>
      </c>
      <c r="H789" s="22" t="s">
        <v>103</v>
      </c>
      <c r="I789" s="60" t="s">
        <v>44</v>
      </c>
      <c r="J789" s="22" t="s">
        <v>3056</v>
      </c>
      <c r="K789" s="24">
        <v>43435</v>
      </c>
      <c r="L789" s="25" t="s">
        <v>1206</v>
      </c>
      <c r="M789" s="26"/>
      <c r="N789" s="26"/>
      <c r="O789" s="27"/>
      <c r="P789" s="28" t="s">
        <v>3602</v>
      </c>
      <c r="Q789" s="29">
        <v>43192</v>
      </c>
      <c r="R789" s="26">
        <v>43375</v>
      </c>
      <c r="S789" s="23" t="s">
        <v>3013</v>
      </c>
      <c r="T789" s="23"/>
      <c r="U789" s="23"/>
      <c r="V789" s="23"/>
      <c r="W789" s="30">
        <v>36220</v>
      </c>
      <c r="X789" s="30">
        <v>36220</v>
      </c>
      <c r="Y789" s="30">
        <v>42339</v>
      </c>
      <c r="Z789" s="31" t="str">
        <f t="shared" ref="Z789:Z794" ca="1" si="54">DATEDIF(W789,TODAY(),"y")&amp;" Tahun "&amp;DATEDIF(W789,TODAY(),"ym")&amp;" Bulan "&amp;DATEDIF(W789,TODAY(),"md")&amp;" Hari"</f>
        <v>26 Tahun 7 Bulan 30 Hari</v>
      </c>
      <c r="AA789" s="31" t="s">
        <v>76</v>
      </c>
      <c r="AB789" s="32">
        <v>28575</v>
      </c>
      <c r="AC789" s="31" t="s">
        <v>3603</v>
      </c>
      <c r="AD789" s="22" t="str">
        <f t="shared" ca="1" si="52"/>
        <v xml:space="preserve">47 Tahun 7 Bulan </v>
      </c>
      <c r="AE789" s="33" t="s">
        <v>1106</v>
      </c>
      <c r="AF789" s="34"/>
      <c r="AG789" s="58" t="s">
        <v>3546</v>
      </c>
      <c r="AH789" s="22"/>
      <c r="AI789" s="22"/>
      <c r="AJ789" s="22"/>
      <c r="AK789" s="33"/>
      <c r="AL789" s="36"/>
      <c r="AM789" s="14"/>
    </row>
    <row r="790" spans="1:39" ht="14.45" customHeight="1" x14ac:dyDescent="0.25">
      <c r="A790" s="17">
        <v>6</v>
      </c>
      <c r="B790" s="78"/>
      <c r="C790" s="50" t="s">
        <v>3604</v>
      </c>
      <c r="D790" s="20" t="s">
        <v>3605</v>
      </c>
      <c r="E790" s="21" t="s">
        <v>56</v>
      </c>
      <c r="F790" s="22" t="s">
        <v>41</v>
      </c>
      <c r="G790" s="23" t="s">
        <v>137</v>
      </c>
      <c r="H790" s="22" t="s">
        <v>138</v>
      </c>
      <c r="I790" s="22" t="s">
        <v>44</v>
      </c>
      <c r="J790" s="22" t="s">
        <v>3056</v>
      </c>
      <c r="K790" s="24">
        <v>45566</v>
      </c>
      <c r="L790" s="28" t="s">
        <v>3606</v>
      </c>
      <c r="M790" s="26">
        <v>74862</v>
      </c>
      <c r="N790" s="26">
        <v>43518</v>
      </c>
      <c r="O790" s="27" t="s">
        <v>1324</v>
      </c>
      <c r="P790" s="28" t="s">
        <v>3607</v>
      </c>
      <c r="Q790" s="29">
        <v>42107</v>
      </c>
      <c r="R790" s="26">
        <v>43507</v>
      </c>
      <c r="S790" s="23" t="s">
        <v>3013</v>
      </c>
      <c r="T790" s="23"/>
      <c r="U790" s="23"/>
      <c r="V790" s="23"/>
      <c r="W790" s="30">
        <v>40148</v>
      </c>
      <c r="X790" s="30">
        <v>40238</v>
      </c>
      <c r="Y790" s="30">
        <v>41579</v>
      </c>
      <c r="Z790" s="31" t="str">
        <f t="shared" ca="1" si="54"/>
        <v>15 Tahun 10 Bulan 30 Hari</v>
      </c>
      <c r="AA790" s="31" t="s">
        <v>50</v>
      </c>
      <c r="AB790" s="32">
        <v>32195</v>
      </c>
      <c r="AC790" s="32" t="s">
        <v>3608</v>
      </c>
      <c r="AD790" s="22" t="str">
        <f t="shared" ca="1" si="52"/>
        <v xml:space="preserve">37 Tahun 8 Bulan </v>
      </c>
      <c r="AE790" s="33" t="s">
        <v>1106</v>
      </c>
      <c r="AF790" s="34"/>
      <c r="AG790" s="22" t="s">
        <v>3546</v>
      </c>
      <c r="AH790" s="22"/>
      <c r="AI790" s="22"/>
      <c r="AJ790" s="22"/>
      <c r="AK790" s="33"/>
      <c r="AL790" s="22"/>
    </row>
    <row r="791" spans="1:39" ht="14.45" customHeight="1" x14ac:dyDescent="0.25">
      <c r="A791" s="17">
        <v>7</v>
      </c>
      <c r="B791" s="80"/>
      <c r="C791" s="138" t="s">
        <v>5910</v>
      </c>
      <c r="D791" s="51" t="s">
        <v>3610</v>
      </c>
      <c r="E791" s="52" t="s">
        <v>56</v>
      </c>
      <c r="F791" s="58" t="s">
        <v>41</v>
      </c>
      <c r="G791" s="23" t="s">
        <v>57</v>
      </c>
      <c r="H791" s="60" t="s">
        <v>58</v>
      </c>
      <c r="I791" s="60" t="s">
        <v>44</v>
      </c>
      <c r="J791" s="22" t="s">
        <v>1212</v>
      </c>
      <c r="K791" s="24">
        <v>45505</v>
      </c>
      <c r="L791" s="192" t="s">
        <v>3611</v>
      </c>
      <c r="M791" s="190">
        <v>42969</v>
      </c>
      <c r="N791" s="26">
        <v>44572</v>
      </c>
      <c r="O791" s="193" t="s">
        <v>1214</v>
      </c>
      <c r="P791" s="192" t="s">
        <v>3612</v>
      </c>
      <c r="Q791" s="190">
        <v>43129</v>
      </c>
      <c r="R791" s="26">
        <v>44572</v>
      </c>
      <c r="S791" s="85" t="s">
        <v>1216</v>
      </c>
      <c r="T791" s="85"/>
      <c r="U791" s="85"/>
      <c r="V791" s="85"/>
      <c r="W791" s="82">
        <v>38353</v>
      </c>
      <c r="X791" s="82">
        <v>38353</v>
      </c>
      <c r="Y791" s="82">
        <v>41791</v>
      </c>
      <c r="Z791" s="55" t="str">
        <f t="shared" ca="1" si="54"/>
        <v>20 Tahun 9 Bulan 30 Hari</v>
      </c>
      <c r="AA791" s="66" t="s">
        <v>76</v>
      </c>
      <c r="AB791" s="83">
        <v>29891</v>
      </c>
      <c r="AC791" s="84" t="s">
        <v>3613</v>
      </c>
      <c r="AD791" s="57" t="str">
        <f t="shared" ca="1" si="52"/>
        <v xml:space="preserve">43 Tahun 11 Bulan </v>
      </c>
      <c r="AE791" s="33" t="s">
        <v>1151</v>
      </c>
      <c r="AF791" s="71" t="s">
        <v>3614</v>
      </c>
      <c r="AG791" s="22" t="s">
        <v>3615</v>
      </c>
      <c r="AH791" s="22"/>
      <c r="AI791" s="22"/>
      <c r="AJ791" s="22"/>
      <c r="AK791" s="33"/>
      <c r="AL791" s="36"/>
    </row>
    <row r="792" spans="1:39" ht="14.45" customHeight="1" x14ac:dyDescent="0.25">
      <c r="A792" s="17">
        <v>8</v>
      </c>
      <c r="B792" s="80"/>
      <c r="C792" s="138" t="s">
        <v>5911</v>
      </c>
      <c r="D792" s="51" t="s">
        <v>3616</v>
      </c>
      <c r="E792" s="52" t="s">
        <v>56</v>
      </c>
      <c r="F792" s="58" t="s">
        <v>41</v>
      </c>
      <c r="G792" s="89" t="s">
        <v>42</v>
      </c>
      <c r="H792" s="58" t="s">
        <v>43</v>
      </c>
      <c r="I792" s="60" t="s">
        <v>44</v>
      </c>
      <c r="J792" s="22" t="s">
        <v>1212</v>
      </c>
      <c r="K792" s="24">
        <v>45200</v>
      </c>
      <c r="L792" s="192" t="s">
        <v>3617</v>
      </c>
      <c r="M792" s="190">
        <v>42969</v>
      </c>
      <c r="N792" s="190">
        <v>44924</v>
      </c>
      <c r="O792" s="193" t="s">
        <v>1214</v>
      </c>
      <c r="P792" s="192" t="s">
        <v>3618</v>
      </c>
      <c r="Q792" s="190">
        <v>43143</v>
      </c>
      <c r="R792" s="190">
        <v>44924</v>
      </c>
      <c r="S792" s="59" t="s">
        <v>1216</v>
      </c>
      <c r="T792" s="59"/>
      <c r="U792" s="59"/>
      <c r="V792" s="59"/>
      <c r="W792" s="82">
        <v>33939</v>
      </c>
      <c r="X792" s="82">
        <v>33939</v>
      </c>
      <c r="Y792" s="30">
        <v>42339</v>
      </c>
      <c r="Z792" s="55" t="str">
        <f t="shared" ca="1" si="54"/>
        <v>32 Tahun 10 Bulan 30 Hari</v>
      </c>
      <c r="AA792" s="66" t="s">
        <v>3619</v>
      </c>
      <c r="AB792" s="83">
        <v>27027</v>
      </c>
      <c r="AC792" s="102" t="s">
        <v>3620</v>
      </c>
      <c r="AD792" s="57" t="str">
        <f t="shared" ca="1" si="52"/>
        <v xml:space="preserve">51 Tahun 10 Bulan </v>
      </c>
      <c r="AE792" s="33" t="s">
        <v>1158</v>
      </c>
      <c r="AF792" s="71"/>
      <c r="AG792" s="22" t="s">
        <v>3615</v>
      </c>
      <c r="AH792" s="22"/>
      <c r="AI792" s="22"/>
      <c r="AJ792" s="22"/>
      <c r="AK792" s="33"/>
      <c r="AL792" s="36"/>
    </row>
    <row r="793" spans="1:39" ht="14.45" customHeight="1" x14ac:dyDescent="0.25">
      <c r="A793" s="17">
        <v>9</v>
      </c>
      <c r="B793" s="78"/>
      <c r="C793" s="50" t="s">
        <v>5912</v>
      </c>
      <c r="D793" s="20" t="s">
        <v>3621</v>
      </c>
      <c r="E793" s="21" t="s">
        <v>56</v>
      </c>
      <c r="F793" s="22" t="s">
        <v>41</v>
      </c>
      <c r="G793" s="23" t="s">
        <v>57</v>
      </c>
      <c r="H793" s="22" t="s">
        <v>58</v>
      </c>
      <c r="I793" s="22" t="s">
        <v>44</v>
      </c>
      <c r="J793" s="22" t="s">
        <v>1212</v>
      </c>
      <c r="K793" s="24">
        <v>45323</v>
      </c>
      <c r="L793" s="53" t="s">
        <v>3622</v>
      </c>
      <c r="M793" s="26">
        <v>42969</v>
      </c>
      <c r="N793" s="26">
        <v>44859</v>
      </c>
      <c r="O793" s="27" t="s">
        <v>1214</v>
      </c>
      <c r="P793" s="53" t="s">
        <v>3623</v>
      </c>
      <c r="Q793" s="26">
        <v>43143</v>
      </c>
      <c r="R793" s="26">
        <v>44859</v>
      </c>
      <c r="S793" s="23" t="s">
        <v>1216</v>
      </c>
      <c r="T793" s="23"/>
      <c r="U793" s="23"/>
      <c r="V793" s="23"/>
      <c r="W793" s="30">
        <v>35855</v>
      </c>
      <c r="X793" s="30">
        <v>35855</v>
      </c>
      <c r="Y793" s="30">
        <v>43887</v>
      </c>
      <c r="Z793" s="31" t="str">
        <f t="shared" ca="1" si="54"/>
        <v>27 Tahun 7 Bulan 30 Hari</v>
      </c>
      <c r="AA793" s="31" t="s">
        <v>1540</v>
      </c>
      <c r="AB793" s="32">
        <v>28058</v>
      </c>
      <c r="AC793" s="32" t="s">
        <v>3624</v>
      </c>
      <c r="AD793" s="22" t="str">
        <f t="shared" ca="1" si="52"/>
        <v xml:space="preserve">49 Tahun 0 Bulan </v>
      </c>
      <c r="AE793" s="33" t="s">
        <v>1106</v>
      </c>
      <c r="AF793" s="34"/>
      <c r="AG793" s="22" t="s">
        <v>3615</v>
      </c>
      <c r="AH793" s="22"/>
      <c r="AI793" s="22"/>
      <c r="AJ793" s="22"/>
      <c r="AK793" s="33"/>
      <c r="AL793" s="36"/>
    </row>
    <row r="794" spans="1:39" ht="14.45" customHeight="1" x14ac:dyDescent="0.25">
      <c r="A794" s="17">
        <v>10</v>
      </c>
      <c r="B794" s="78"/>
      <c r="C794" s="50" t="s">
        <v>5913</v>
      </c>
      <c r="D794" s="20" t="s">
        <v>3625</v>
      </c>
      <c r="E794" s="21" t="s">
        <v>56</v>
      </c>
      <c r="F794" s="22" t="s">
        <v>41</v>
      </c>
      <c r="G794" s="23" t="s">
        <v>137</v>
      </c>
      <c r="H794" s="22" t="s">
        <v>138</v>
      </c>
      <c r="I794" s="22" t="s">
        <v>44</v>
      </c>
      <c r="J794" s="22" t="s">
        <v>3056</v>
      </c>
      <c r="K794" s="24">
        <v>45505</v>
      </c>
      <c r="L794" s="53" t="s">
        <v>3626</v>
      </c>
      <c r="M794" s="26">
        <v>41990</v>
      </c>
      <c r="N794" s="26">
        <v>43530</v>
      </c>
      <c r="O794" s="27" t="s">
        <v>1324</v>
      </c>
      <c r="P794" s="53" t="s">
        <v>3627</v>
      </c>
      <c r="Q794" s="26">
        <v>42107</v>
      </c>
      <c r="R794" s="26">
        <v>43530</v>
      </c>
      <c r="S794" s="23" t="s">
        <v>1216</v>
      </c>
      <c r="T794" s="23"/>
      <c r="U794" s="23"/>
      <c r="V794" s="23"/>
      <c r="W794" s="30">
        <v>39448</v>
      </c>
      <c r="X794" s="30">
        <v>39448</v>
      </c>
      <c r="Y794" s="30"/>
      <c r="Z794" s="31" t="str">
        <f t="shared" ca="1" si="54"/>
        <v>17 Tahun 9 Bulan 30 Hari</v>
      </c>
      <c r="AA794" s="31" t="s">
        <v>1788</v>
      </c>
      <c r="AB794" s="32">
        <v>31477</v>
      </c>
      <c r="AC794" s="32" t="s">
        <v>3628</v>
      </c>
      <c r="AD794" s="22" t="str">
        <f t="shared" ca="1" si="52"/>
        <v xml:space="preserve">39 Tahun 7 Bulan </v>
      </c>
      <c r="AE794" s="33" t="s">
        <v>1106</v>
      </c>
      <c r="AF794" s="34"/>
      <c r="AG794" s="22" t="s">
        <v>3615</v>
      </c>
      <c r="AH794" s="22"/>
      <c r="AI794" s="22"/>
      <c r="AJ794" s="22"/>
      <c r="AK794" s="33"/>
      <c r="AL794" s="36"/>
    </row>
    <row r="795" spans="1:39" ht="13.5" customHeight="1" x14ac:dyDescent="0.25">
      <c r="A795" s="17">
        <v>11</v>
      </c>
      <c r="B795" s="21"/>
      <c r="C795" s="50" t="s">
        <v>3629</v>
      </c>
      <c r="D795" s="20" t="s">
        <v>3630</v>
      </c>
      <c r="E795" s="52" t="s">
        <v>56</v>
      </c>
      <c r="F795" s="22" t="s">
        <v>41</v>
      </c>
      <c r="G795" s="33" t="s">
        <v>193</v>
      </c>
      <c r="H795" s="22" t="s">
        <v>194</v>
      </c>
      <c r="I795" s="22" t="s">
        <v>44</v>
      </c>
      <c r="J795" s="22" t="s">
        <v>3631</v>
      </c>
      <c r="K795" s="30">
        <v>44621</v>
      </c>
      <c r="L795" s="53"/>
      <c r="M795" s="26"/>
      <c r="N795" s="26"/>
      <c r="O795" s="27"/>
      <c r="P795" s="53"/>
      <c r="Q795" s="26"/>
      <c r="R795" s="26"/>
      <c r="S795" s="33" t="s">
        <v>3632</v>
      </c>
      <c r="T795" s="33">
        <v>2018</v>
      </c>
      <c r="U795" s="23"/>
      <c r="V795" s="23"/>
      <c r="W795" s="30">
        <v>44621</v>
      </c>
      <c r="X795" s="30">
        <v>44621</v>
      </c>
      <c r="Y795" s="30">
        <v>44621</v>
      </c>
      <c r="Z795" s="55" t="str">
        <f ca="1">DATEDIF(X795,TODAY(),"y")&amp;" Tahun "&amp;DATEDIF(X795,TODAY(),"ym")&amp;" Bulan "&amp;DATEDIF(X795,TODAY(),"md")&amp;" Hari"</f>
        <v>3 Tahun 7 Bulan 30 Hari</v>
      </c>
      <c r="AA795" s="55" t="s">
        <v>3633</v>
      </c>
      <c r="AB795" s="56">
        <v>34492</v>
      </c>
      <c r="AC795" s="32" t="s">
        <v>3634</v>
      </c>
      <c r="AD795" s="57" t="str">
        <f t="shared" ca="1" si="52"/>
        <v xml:space="preserve">31 Tahun 4 Bulan </v>
      </c>
      <c r="AE795" s="33" t="s">
        <v>1106</v>
      </c>
      <c r="AF795" s="34"/>
      <c r="AG795" s="22" t="s">
        <v>3615</v>
      </c>
      <c r="AH795" s="22"/>
      <c r="AI795" s="22"/>
      <c r="AJ795" s="22"/>
      <c r="AK795" s="33"/>
      <c r="AL795" s="22"/>
    </row>
    <row r="796" spans="1:39" ht="14.45" customHeight="1" x14ac:dyDescent="0.25">
      <c r="A796" s="17">
        <v>12</v>
      </c>
      <c r="B796" s="78"/>
      <c r="C796" s="19" t="s">
        <v>3635</v>
      </c>
      <c r="D796" s="20" t="s">
        <v>3636</v>
      </c>
      <c r="E796" s="21" t="s">
        <v>56</v>
      </c>
      <c r="F796" s="22" t="s">
        <v>41</v>
      </c>
      <c r="G796" s="23" t="s">
        <v>102</v>
      </c>
      <c r="H796" s="22" t="s">
        <v>103</v>
      </c>
      <c r="I796" s="60" t="s">
        <v>44</v>
      </c>
      <c r="J796" s="22" t="s">
        <v>3056</v>
      </c>
      <c r="K796" s="24">
        <v>45323</v>
      </c>
      <c r="L796" s="28" t="s">
        <v>3637</v>
      </c>
      <c r="M796" s="26">
        <v>41990</v>
      </c>
      <c r="N796" s="26">
        <v>43492</v>
      </c>
      <c r="O796" s="27" t="s">
        <v>1324</v>
      </c>
      <c r="P796" s="28" t="s">
        <v>3638</v>
      </c>
      <c r="Q796" s="29">
        <v>42108</v>
      </c>
      <c r="R796" s="26">
        <v>43492</v>
      </c>
      <c r="S796" s="59" t="s">
        <v>3013</v>
      </c>
      <c r="T796" s="23"/>
      <c r="U796" s="23"/>
      <c r="V796" s="23"/>
      <c r="W796" s="30">
        <v>40513</v>
      </c>
      <c r="X796" s="30">
        <v>40664</v>
      </c>
      <c r="Y796" s="30">
        <v>40664</v>
      </c>
      <c r="Z796" s="31" t="str">
        <f ca="1">DATEDIF(W796,TODAY(),"y")&amp;" Tahun "&amp;DATEDIF(W796,TODAY(),"ym")&amp;" Bulan "&amp;DATEDIF(W796,TODAY(),"md")&amp;" Hari"</f>
        <v>14 Tahun 10 Bulan 30 Hari</v>
      </c>
      <c r="AA796" s="31" t="s">
        <v>1540</v>
      </c>
      <c r="AB796" s="32">
        <v>32535</v>
      </c>
      <c r="AC796" s="32" t="s">
        <v>3639</v>
      </c>
      <c r="AD796" s="22" t="str">
        <f t="shared" ca="1" si="52"/>
        <v xml:space="preserve">36 Tahun 9 Bulan </v>
      </c>
      <c r="AE796" s="33" t="s">
        <v>1106</v>
      </c>
      <c r="AF796" s="34"/>
      <c r="AG796" s="22" t="s">
        <v>3615</v>
      </c>
      <c r="AH796" s="22"/>
      <c r="AI796" s="22"/>
      <c r="AJ796" s="22"/>
      <c r="AK796" s="33"/>
      <c r="AL796" s="36"/>
    </row>
    <row r="797" spans="1:39" ht="14.45" customHeight="1" x14ac:dyDescent="0.25">
      <c r="A797" s="17">
        <v>13</v>
      </c>
      <c r="B797" s="78"/>
      <c r="C797" s="50" t="s">
        <v>5914</v>
      </c>
      <c r="D797" s="20" t="s">
        <v>3640</v>
      </c>
      <c r="E797" s="22" t="s">
        <v>56</v>
      </c>
      <c r="F797" s="22" t="s">
        <v>41</v>
      </c>
      <c r="G797" s="23" t="s">
        <v>227</v>
      </c>
      <c r="H797" s="22" t="s">
        <v>228</v>
      </c>
      <c r="I797" s="60" t="s">
        <v>44</v>
      </c>
      <c r="J797" s="22" t="s">
        <v>3558</v>
      </c>
      <c r="K797" s="24">
        <v>45200</v>
      </c>
      <c r="L797" s="28" t="s">
        <v>3641</v>
      </c>
      <c r="M797" s="26">
        <v>41870</v>
      </c>
      <c r="N797" s="26">
        <v>43549</v>
      </c>
      <c r="O797" s="27" t="s">
        <v>1324</v>
      </c>
      <c r="P797" s="28" t="s">
        <v>3642</v>
      </c>
      <c r="Q797" s="29">
        <v>42024</v>
      </c>
      <c r="R797" s="26">
        <v>43549</v>
      </c>
      <c r="S797" s="23" t="s">
        <v>3013</v>
      </c>
      <c r="T797" s="23"/>
      <c r="U797" s="23"/>
      <c r="V797" s="23"/>
      <c r="W797" s="30">
        <v>41671</v>
      </c>
      <c r="X797" s="30"/>
      <c r="Y797" s="30">
        <v>41730</v>
      </c>
      <c r="Z797" s="31" t="str">
        <f ca="1">DATEDIF(W797,TODAY(),"y")&amp;" Tahun "&amp;DATEDIF(W797,TODAY(),"ym")&amp;" Bulan "&amp;DATEDIF(W797,TODAY(),"md")&amp;" Hari"</f>
        <v>11 Tahun 8 Bulan 30 Hari</v>
      </c>
      <c r="AA797" s="31" t="s">
        <v>563</v>
      </c>
      <c r="AB797" s="32">
        <v>33688</v>
      </c>
      <c r="AC797" s="32" t="s">
        <v>3643</v>
      </c>
      <c r="AD797" s="22" t="str">
        <f t="shared" ca="1" si="52"/>
        <v xml:space="preserve">33 Tahun 7 Bulan </v>
      </c>
      <c r="AE797" s="33" t="s">
        <v>1106</v>
      </c>
      <c r="AF797" s="34"/>
      <c r="AG797" s="22" t="s">
        <v>3615</v>
      </c>
      <c r="AH797" s="22"/>
      <c r="AI797" s="22"/>
      <c r="AJ797" s="22"/>
      <c r="AK797" s="33" t="s">
        <v>314</v>
      </c>
      <c r="AL797" s="36"/>
    </row>
    <row r="798" spans="1:39" ht="14.45" customHeight="1" x14ac:dyDescent="0.25">
      <c r="A798" s="17">
        <v>14</v>
      </c>
      <c r="B798" s="78"/>
      <c r="C798" s="50" t="s">
        <v>3644</v>
      </c>
      <c r="D798" s="20" t="s">
        <v>3645</v>
      </c>
      <c r="E798" s="21" t="s">
        <v>56</v>
      </c>
      <c r="F798" s="22" t="s">
        <v>41</v>
      </c>
      <c r="G798" s="23" t="s">
        <v>102</v>
      </c>
      <c r="H798" s="22" t="s">
        <v>103</v>
      </c>
      <c r="I798" s="22" t="s">
        <v>44</v>
      </c>
      <c r="J798" s="22" t="s">
        <v>3062</v>
      </c>
      <c r="K798" s="24">
        <v>45505</v>
      </c>
      <c r="L798" s="53" t="s">
        <v>3646</v>
      </c>
      <c r="M798" s="26">
        <v>41990</v>
      </c>
      <c r="N798" s="26">
        <v>43510</v>
      </c>
      <c r="O798" s="27" t="s">
        <v>1324</v>
      </c>
      <c r="P798" s="53" t="s">
        <v>3647</v>
      </c>
      <c r="Q798" s="26">
        <v>74979</v>
      </c>
      <c r="R798" s="26">
        <v>43510</v>
      </c>
      <c r="S798" s="23" t="s">
        <v>3013</v>
      </c>
      <c r="T798" s="23"/>
      <c r="U798" s="23"/>
      <c r="V798" s="23"/>
      <c r="W798" s="30">
        <v>39448</v>
      </c>
      <c r="X798" s="30">
        <v>39448</v>
      </c>
      <c r="Y798" s="30"/>
      <c r="Z798" s="31" t="str">
        <f ca="1">DATEDIF(W798,TODAY(),"y")&amp;" Tahun "&amp;DATEDIF(W798,TODAY(),"ym")&amp;" Bulan "&amp;DATEDIF(W798,TODAY(),"md")&amp;" Hari"</f>
        <v>17 Tahun 9 Bulan 30 Hari</v>
      </c>
      <c r="AA798" s="31" t="s">
        <v>76</v>
      </c>
      <c r="AB798" s="32">
        <v>31457</v>
      </c>
      <c r="AC798" s="32" t="s">
        <v>3648</v>
      </c>
      <c r="AD798" s="22" t="str">
        <f t="shared" ca="1" si="52"/>
        <v xml:space="preserve">39 Tahun 8 Bulan </v>
      </c>
      <c r="AE798" s="33" t="s">
        <v>1106</v>
      </c>
      <c r="AF798" s="34"/>
      <c r="AG798" s="22" t="s">
        <v>3615</v>
      </c>
      <c r="AH798" s="22"/>
      <c r="AI798" s="22"/>
      <c r="AJ798" s="22"/>
      <c r="AK798" s="33"/>
      <c r="AL798" s="36"/>
    </row>
    <row r="799" spans="1:39" ht="14.45" customHeight="1" x14ac:dyDescent="0.25">
      <c r="A799" s="17">
        <v>15</v>
      </c>
      <c r="B799" s="78"/>
      <c r="C799" s="50" t="s">
        <v>5915</v>
      </c>
      <c r="D799" s="20" t="s">
        <v>3649</v>
      </c>
      <c r="E799" s="21" t="s">
        <v>56</v>
      </c>
      <c r="F799" s="22" t="s">
        <v>41</v>
      </c>
      <c r="G799" s="23" t="s">
        <v>227</v>
      </c>
      <c r="H799" s="22" t="s">
        <v>228</v>
      </c>
      <c r="I799" s="22" t="s">
        <v>44</v>
      </c>
      <c r="J799" s="22" t="s">
        <v>1559</v>
      </c>
      <c r="K799" s="24">
        <v>45200</v>
      </c>
      <c r="L799" s="53" t="s">
        <v>3650</v>
      </c>
      <c r="M799" s="26">
        <v>42634</v>
      </c>
      <c r="N799" s="26">
        <v>44536</v>
      </c>
      <c r="O799" s="27" t="s">
        <v>1324</v>
      </c>
      <c r="P799" s="53" t="s">
        <v>3651</v>
      </c>
      <c r="Q799" s="26">
        <v>42884</v>
      </c>
      <c r="R799" s="26">
        <v>44536</v>
      </c>
      <c r="S799" s="23" t="s">
        <v>3013</v>
      </c>
      <c r="T799" s="23"/>
      <c r="U799" s="23"/>
      <c r="V799" s="23"/>
      <c r="W799" s="30">
        <v>42095</v>
      </c>
      <c r="X799" s="30">
        <v>42095</v>
      </c>
      <c r="Y799" s="30">
        <v>42095</v>
      </c>
      <c r="Z799" s="31" t="str">
        <f ca="1">DATEDIF(W799,TODAY(),"y")&amp;" Tahun "&amp;DATEDIF(W799,TODAY(),"ym")&amp;" Bulan "&amp;DATEDIF(W799,TODAY(),"md")&amp;" Hari"</f>
        <v>10 Tahun 6 Bulan 30 Hari</v>
      </c>
      <c r="AA799" s="31" t="s">
        <v>76</v>
      </c>
      <c r="AB799" s="32">
        <v>31022</v>
      </c>
      <c r="AC799" s="32" t="s">
        <v>3652</v>
      </c>
      <c r="AD799" s="22" t="str">
        <f t="shared" ca="1" si="52"/>
        <v xml:space="preserve">40 Tahun 10 Bulan </v>
      </c>
      <c r="AE799" s="33" t="s">
        <v>1106</v>
      </c>
      <c r="AF799" s="34"/>
      <c r="AG799" s="22" t="s">
        <v>3615</v>
      </c>
      <c r="AH799" s="22"/>
      <c r="AI799" s="22"/>
      <c r="AJ799" s="22"/>
      <c r="AK799" s="33"/>
      <c r="AL799" s="36"/>
    </row>
    <row r="800" spans="1:39" ht="14.45" customHeight="1" x14ac:dyDescent="0.25">
      <c r="A800" s="17">
        <v>16</v>
      </c>
      <c r="B800" s="78"/>
      <c r="C800" s="50" t="s">
        <v>6171</v>
      </c>
      <c r="D800" s="20" t="s">
        <v>5916</v>
      </c>
      <c r="E800" s="21" t="s">
        <v>56</v>
      </c>
      <c r="F800" s="22" t="s">
        <v>238</v>
      </c>
      <c r="G800" s="23" t="s">
        <v>3872</v>
      </c>
      <c r="H800" s="22" t="s">
        <v>1078</v>
      </c>
      <c r="I800" s="22" t="s">
        <v>44</v>
      </c>
      <c r="J800" s="22" t="s">
        <v>3187</v>
      </c>
      <c r="K800" s="24"/>
      <c r="L800" s="53" t="s">
        <v>3653</v>
      </c>
      <c r="M800" s="26">
        <v>42059</v>
      </c>
      <c r="N800" s="26">
        <v>43877</v>
      </c>
      <c r="O800" s="27" t="s">
        <v>1324</v>
      </c>
      <c r="P800" s="53" t="s">
        <v>3654</v>
      </c>
      <c r="Q800" s="26">
        <v>42226</v>
      </c>
      <c r="R800" s="26">
        <v>43877</v>
      </c>
      <c r="S800" s="23" t="s">
        <v>3013</v>
      </c>
      <c r="T800" s="23"/>
      <c r="U800" s="23"/>
      <c r="V800" s="23"/>
      <c r="W800" s="30">
        <v>45931</v>
      </c>
      <c r="X800" s="30">
        <v>40787</v>
      </c>
      <c r="Y800" s="30">
        <v>40787</v>
      </c>
      <c r="Z800" s="31" t="str">
        <f ca="1">DATEDIF(X800,TODAY(),"y")&amp;" Tahun "&amp;DATEDIF(X800,TODAY(),"ym")&amp;" Bulan "&amp;DATEDIF(X800,TODAY(),"md")&amp;" Hari"</f>
        <v>14 Tahun 1 Bulan 30 Hari</v>
      </c>
      <c r="AA800" s="31" t="s">
        <v>76</v>
      </c>
      <c r="AB800" s="32">
        <v>32189</v>
      </c>
      <c r="AC800" s="32" t="s">
        <v>5917</v>
      </c>
      <c r="AD800" s="22" t="str">
        <f t="shared" ca="1" si="52"/>
        <v xml:space="preserve">37 Tahun 8 Bulan </v>
      </c>
      <c r="AE800" s="33" t="s">
        <v>1106</v>
      </c>
      <c r="AF800" s="34"/>
      <c r="AG800" s="22" t="s">
        <v>3615</v>
      </c>
      <c r="AH800" s="22"/>
      <c r="AI800" s="22"/>
      <c r="AJ800" s="22"/>
      <c r="AK800" s="33" t="s">
        <v>3609</v>
      </c>
      <c r="AL800" s="36"/>
    </row>
    <row r="801" spans="1:39" ht="14.45" customHeight="1" x14ac:dyDescent="0.25">
      <c r="A801" s="17">
        <v>17</v>
      </c>
      <c r="B801" s="78"/>
      <c r="C801" s="50" t="s">
        <v>6172</v>
      </c>
      <c r="D801" s="20" t="s">
        <v>5918</v>
      </c>
      <c r="E801" s="21" t="s">
        <v>56</v>
      </c>
      <c r="F801" s="22" t="s">
        <v>238</v>
      </c>
      <c r="G801" s="23" t="s">
        <v>3872</v>
      </c>
      <c r="H801" s="22" t="s">
        <v>1078</v>
      </c>
      <c r="I801" s="22" t="s">
        <v>44</v>
      </c>
      <c r="J801" s="22" t="s">
        <v>3187</v>
      </c>
      <c r="K801" s="24"/>
      <c r="L801" s="53" t="s">
        <v>3655</v>
      </c>
      <c r="M801" s="26">
        <v>42059</v>
      </c>
      <c r="N801" s="26">
        <v>44189</v>
      </c>
      <c r="O801" s="27" t="s">
        <v>1324</v>
      </c>
      <c r="P801" s="53" t="s">
        <v>3656</v>
      </c>
      <c r="Q801" s="26">
        <v>42226</v>
      </c>
      <c r="R801" s="26">
        <v>44189</v>
      </c>
      <c r="S801" s="23" t="s">
        <v>3013</v>
      </c>
      <c r="T801" s="23"/>
      <c r="U801" s="23"/>
      <c r="V801" s="23"/>
      <c r="W801" s="30">
        <v>45931</v>
      </c>
      <c r="X801" s="30">
        <v>40787</v>
      </c>
      <c r="Y801" s="30">
        <v>41674</v>
      </c>
      <c r="Z801" s="31" t="str">
        <f ca="1">DATEDIF(X801,TODAY(),"y")&amp;" Tahun "&amp;DATEDIF(X801,TODAY(),"ym")&amp;" Bulan "&amp;DATEDIF(X801,TODAY(),"md")&amp;" Hari"</f>
        <v>14 Tahun 1 Bulan 30 Hari</v>
      </c>
      <c r="AA801" s="31" t="s">
        <v>76</v>
      </c>
      <c r="AB801" s="32">
        <v>32135</v>
      </c>
      <c r="AC801" s="32" t="s">
        <v>5919</v>
      </c>
      <c r="AD801" s="22" t="str">
        <f t="shared" ca="1" si="52"/>
        <v xml:space="preserve">37 Tahun 10 Bulan </v>
      </c>
      <c r="AE801" s="33" t="s">
        <v>1106</v>
      </c>
      <c r="AF801" s="34"/>
      <c r="AG801" s="22" t="s">
        <v>3615</v>
      </c>
      <c r="AH801" s="22"/>
      <c r="AI801" s="22"/>
      <c r="AJ801" s="22"/>
      <c r="AK801" s="33"/>
      <c r="AL801" s="22"/>
    </row>
    <row r="802" spans="1:39" ht="15" x14ac:dyDescent="0.25">
      <c r="A802" s="17">
        <v>1</v>
      </c>
      <c r="B802" s="72"/>
      <c r="C802" s="143" t="s">
        <v>5920</v>
      </c>
      <c r="D802" s="45" t="s">
        <v>3657</v>
      </c>
      <c r="E802" s="46" t="s">
        <v>56</v>
      </c>
      <c r="F802" s="6" t="s">
        <v>41</v>
      </c>
      <c r="G802" s="15" t="s">
        <v>137</v>
      </c>
      <c r="H802" s="6" t="s">
        <v>138</v>
      </c>
      <c r="I802" s="6" t="s">
        <v>44</v>
      </c>
      <c r="J802" s="6" t="s">
        <v>3056</v>
      </c>
      <c r="K802" s="24">
        <v>44470</v>
      </c>
      <c r="L802" s="144" t="s">
        <v>3658</v>
      </c>
      <c r="M802" s="145">
        <v>42969</v>
      </c>
      <c r="N802" s="145">
        <v>44762</v>
      </c>
      <c r="O802" s="146" t="s">
        <v>1214</v>
      </c>
      <c r="P802" s="144" t="s">
        <v>3659</v>
      </c>
      <c r="Q802" s="145">
        <v>43143</v>
      </c>
      <c r="R802" s="145">
        <v>44762</v>
      </c>
      <c r="S802" s="15" t="s">
        <v>3013</v>
      </c>
      <c r="T802" s="15"/>
      <c r="U802" s="15"/>
      <c r="V802" s="15"/>
      <c r="W802" s="10">
        <v>36220</v>
      </c>
      <c r="X802" s="10">
        <v>36220</v>
      </c>
      <c r="Y802" s="10">
        <v>41122</v>
      </c>
      <c r="Z802" s="11" t="str">
        <f ca="1">DATEDIF(W802,TODAY(),"y")&amp;" Tahun "&amp;DATEDIF(W802,TODAY(),"ym")&amp;" Bulan "&amp;DATEDIF(W802,TODAY(),"md")&amp;" Hari"</f>
        <v>26 Tahun 7 Bulan 30 Hari</v>
      </c>
      <c r="AA802" s="11" t="s">
        <v>76</v>
      </c>
      <c r="AB802" s="48">
        <v>27961</v>
      </c>
      <c r="AC802" s="11" t="s">
        <v>3660</v>
      </c>
      <c r="AD802" s="6" t="str">
        <f t="shared" ca="1" si="52"/>
        <v xml:space="preserve">49 Tahun 3 Bulan </v>
      </c>
      <c r="AE802" s="8" t="s">
        <v>1106</v>
      </c>
      <c r="AG802" s="22" t="s">
        <v>3615</v>
      </c>
      <c r="AH802" s="58"/>
      <c r="AI802" s="58"/>
      <c r="AJ802" s="58"/>
      <c r="AK802" s="85"/>
      <c r="AL802" s="36"/>
    </row>
    <row r="803" spans="1:39" ht="14.45" customHeight="1" x14ac:dyDescent="0.25">
      <c r="A803" s="17">
        <v>2</v>
      </c>
      <c r="B803" s="78"/>
      <c r="C803" s="50" t="s">
        <v>6173</v>
      </c>
      <c r="D803" s="20" t="s">
        <v>3661</v>
      </c>
      <c r="E803" s="52" t="s">
        <v>56</v>
      </c>
      <c r="F803" s="58" t="s">
        <v>238</v>
      </c>
      <c r="G803" s="33" t="s">
        <v>3872</v>
      </c>
      <c r="H803" s="22" t="s">
        <v>1078</v>
      </c>
      <c r="I803" s="22" t="s">
        <v>44</v>
      </c>
      <c r="J803" s="22" t="s">
        <v>3187</v>
      </c>
      <c r="K803" s="30"/>
      <c r="L803" s="53" t="s">
        <v>3662</v>
      </c>
      <c r="M803" s="26">
        <v>42969</v>
      </c>
      <c r="N803" s="26">
        <v>44617</v>
      </c>
      <c r="O803" s="27" t="s">
        <v>1214</v>
      </c>
      <c r="P803" s="53" t="s">
        <v>3663</v>
      </c>
      <c r="Q803" s="26">
        <v>42792</v>
      </c>
      <c r="R803" s="29">
        <v>44617</v>
      </c>
      <c r="S803" s="23" t="s">
        <v>3013</v>
      </c>
      <c r="T803" s="23"/>
      <c r="U803" s="23"/>
      <c r="V803" s="23"/>
      <c r="W803" s="77">
        <v>45047</v>
      </c>
      <c r="X803" s="30">
        <v>41030</v>
      </c>
      <c r="Y803" s="30">
        <v>41061</v>
      </c>
      <c r="Z803" s="55" t="str">
        <f ca="1">DATEDIF(X803,TODAY(),"y")&amp;" Tahun "&amp;DATEDIF(X803,TODAY(),"ym")&amp;" Bulan "&amp;DATEDIF(X803,TODAY(),"md")&amp;" Hari"</f>
        <v>13 Tahun 5 Bulan 30 Hari</v>
      </c>
      <c r="AA803" s="55" t="s">
        <v>76</v>
      </c>
      <c r="AB803" s="56">
        <v>32929</v>
      </c>
      <c r="AC803" s="31" t="s">
        <v>3664</v>
      </c>
      <c r="AD803" s="57" t="str">
        <f t="shared" ca="1" si="52"/>
        <v xml:space="preserve">35 Tahun 8 Bulan </v>
      </c>
      <c r="AE803" s="33" t="s">
        <v>1106</v>
      </c>
      <c r="AF803" s="129"/>
      <c r="AG803" s="22" t="s">
        <v>3615</v>
      </c>
      <c r="AH803" s="58"/>
      <c r="AI803" s="58"/>
      <c r="AJ803" s="58"/>
      <c r="AK803" s="85"/>
      <c r="AL803" s="36"/>
    </row>
    <row r="804" spans="1:39" ht="14.45" customHeight="1" x14ac:dyDescent="0.25">
      <c r="A804" s="17">
        <v>3</v>
      </c>
      <c r="B804" s="18"/>
      <c r="C804" s="50" t="s">
        <v>3665</v>
      </c>
      <c r="D804" s="20" t="s">
        <v>3666</v>
      </c>
      <c r="E804" s="21" t="s">
        <v>56</v>
      </c>
      <c r="F804" s="22" t="s">
        <v>238</v>
      </c>
      <c r="G804" s="33" t="s">
        <v>3872</v>
      </c>
      <c r="H804" s="22" t="s">
        <v>1078</v>
      </c>
      <c r="I804" s="22" t="s">
        <v>44</v>
      </c>
      <c r="J804" s="22" t="s">
        <v>3187</v>
      </c>
      <c r="K804" s="22"/>
      <c r="L804" s="25" t="s">
        <v>3667</v>
      </c>
      <c r="M804" s="26">
        <v>41990</v>
      </c>
      <c r="N804" s="26">
        <v>43819</v>
      </c>
      <c r="O804" s="27" t="s">
        <v>1324</v>
      </c>
      <c r="P804" s="28" t="s">
        <v>3668</v>
      </c>
      <c r="Q804" s="29">
        <v>42107</v>
      </c>
      <c r="R804" s="26">
        <v>43819</v>
      </c>
      <c r="S804" s="23" t="s">
        <v>3669</v>
      </c>
      <c r="T804" s="23"/>
      <c r="U804" s="23"/>
      <c r="V804" s="23"/>
      <c r="W804" s="77">
        <v>45047</v>
      </c>
      <c r="X804" s="30">
        <v>39424</v>
      </c>
      <c r="Y804" s="30">
        <v>39424</v>
      </c>
      <c r="Z804" s="31" t="str">
        <f ca="1">DATEDIF(X804,TODAY(),"y")&amp;" Tahun "&amp;DATEDIF(X804,TODAY(),"ym")&amp;" Bulan "&amp;DATEDIF(X804,TODAY(),"md")&amp;" Hari"</f>
        <v>17 Tahun 10 Bulan 23 Hari</v>
      </c>
      <c r="AA804" s="31" t="s">
        <v>76</v>
      </c>
      <c r="AB804" s="32">
        <v>31036</v>
      </c>
      <c r="AC804" s="31" t="s">
        <v>3670</v>
      </c>
      <c r="AD804" s="22" t="str">
        <f t="shared" ca="1" si="52"/>
        <v xml:space="preserve">40 Tahun 10 Bulan </v>
      </c>
      <c r="AE804" s="33" t="s">
        <v>1106</v>
      </c>
      <c r="AF804" s="34"/>
      <c r="AG804" s="22" t="s">
        <v>3615</v>
      </c>
      <c r="AH804" s="22"/>
      <c r="AI804" s="22"/>
      <c r="AJ804" s="22"/>
      <c r="AK804" s="33"/>
      <c r="AL804" s="36"/>
    </row>
    <row r="805" spans="1:39" ht="14.45" customHeight="1" x14ac:dyDescent="0.25">
      <c r="A805" s="17">
        <v>4</v>
      </c>
      <c r="B805" s="78"/>
      <c r="C805" s="50" t="s">
        <v>3671</v>
      </c>
      <c r="D805" s="20" t="s">
        <v>3672</v>
      </c>
      <c r="E805" s="21" t="s">
        <v>56</v>
      </c>
      <c r="F805" s="22" t="s">
        <v>41</v>
      </c>
      <c r="G805" s="23" t="s">
        <v>193</v>
      </c>
      <c r="H805" s="22" t="s">
        <v>194</v>
      </c>
      <c r="I805" s="60" t="s">
        <v>44</v>
      </c>
      <c r="J805" s="22" t="s">
        <v>3631</v>
      </c>
      <c r="K805" s="24">
        <v>45505</v>
      </c>
      <c r="L805" s="28" t="s">
        <v>3673</v>
      </c>
      <c r="M805" s="26">
        <v>42048</v>
      </c>
      <c r="N805" s="26">
        <v>44024</v>
      </c>
      <c r="O805" s="27" t="s">
        <v>1324</v>
      </c>
      <c r="P805" s="28" t="s">
        <v>3674</v>
      </c>
      <c r="Q805" s="29">
        <v>42296</v>
      </c>
      <c r="R805" s="26">
        <v>44024</v>
      </c>
      <c r="S805" s="33" t="s">
        <v>1216</v>
      </c>
      <c r="T805" s="23"/>
      <c r="U805" s="23"/>
      <c r="V805" s="23"/>
      <c r="W805" s="30">
        <v>41671</v>
      </c>
      <c r="X805" s="30"/>
      <c r="Y805" s="30">
        <v>41730</v>
      </c>
      <c r="Z805" s="31" t="str">
        <f ca="1">DATEDIF(W805,TODAY(),"y")&amp;" Tahun "&amp;DATEDIF(W805,TODAY(),"ym")&amp;" Bulan "&amp;DATEDIF(W805,TODAY(),"md")&amp;" Hari"</f>
        <v>11 Tahun 8 Bulan 30 Hari</v>
      </c>
      <c r="AA805" s="31" t="s">
        <v>1435</v>
      </c>
      <c r="AB805" s="32">
        <v>33767</v>
      </c>
      <c r="AC805" s="32" t="s">
        <v>3675</v>
      </c>
      <c r="AD805" s="22" t="str">
        <f t="shared" ca="1" si="52"/>
        <v xml:space="preserve">33 Tahun 4 Bulan </v>
      </c>
      <c r="AE805" s="33" t="s">
        <v>1106</v>
      </c>
      <c r="AF805" s="34"/>
      <c r="AG805" s="22" t="s">
        <v>3615</v>
      </c>
      <c r="AH805" s="22"/>
      <c r="AI805" s="22"/>
      <c r="AJ805" s="22"/>
      <c r="AK805" s="33"/>
      <c r="AL805" s="36"/>
    </row>
    <row r="806" spans="1:39" ht="14.45" customHeight="1" x14ac:dyDescent="0.25">
      <c r="A806" s="17">
        <v>5</v>
      </c>
      <c r="B806" s="78"/>
      <c r="C806" s="50" t="s">
        <v>3676</v>
      </c>
      <c r="D806" s="20">
        <v>2024080764</v>
      </c>
      <c r="E806" s="21" t="s">
        <v>56</v>
      </c>
      <c r="F806" s="22" t="s">
        <v>1063</v>
      </c>
      <c r="G806" s="23" t="s">
        <v>3872</v>
      </c>
      <c r="H806" s="22" t="s">
        <v>3872</v>
      </c>
      <c r="I806" s="22"/>
      <c r="J806" s="22"/>
      <c r="K806" s="30"/>
      <c r="L806" s="53"/>
      <c r="M806" s="26"/>
      <c r="N806" s="26"/>
      <c r="O806" s="27"/>
      <c r="P806" s="53"/>
      <c r="Q806" s="26"/>
      <c r="R806" s="29"/>
      <c r="S806" s="23" t="s">
        <v>1216</v>
      </c>
      <c r="T806" s="23"/>
      <c r="U806" s="23"/>
      <c r="V806" s="23"/>
      <c r="W806" s="30"/>
      <c r="X806" s="30">
        <v>45505</v>
      </c>
      <c r="Y806" s="30">
        <v>45505</v>
      </c>
      <c r="Z806" s="31" t="str">
        <f ca="1">DATEDIF(X806,TODAY(),"y")&amp;" Tahun "&amp;DATEDIF(X806,TODAY(),"ym")&amp;" Bulan "&amp;DATEDIF(X806,TODAY(),"md")&amp;" Hari"</f>
        <v>1 Tahun 2 Bulan 30 Hari</v>
      </c>
      <c r="AA806" s="31" t="s">
        <v>846</v>
      </c>
      <c r="AB806" s="32">
        <v>35788</v>
      </c>
      <c r="AC806" s="31" t="s">
        <v>3677</v>
      </c>
      <c r="AD806" s="22" t="str">
        <f t="shared" ca="1" si="52"/>
        <v xml:space="preserve">27 Tahun 10 Bulan </v>
      </c>
      <c r="AE806" s="33" t="s">
        <v>1106</v>
      </c>
      <c r="AF806" s="34"/>
      <c r="AG806" s="22" t="s">
        <v>3615</v>
      </c>
      <c r="AH806" s="22"/>
      <c r="AI806" s="22"/>
      <c r="AJ806" s="22"/>
      <c r="AK806" s="33"/>
      <c r="AL806" s="36"/>
    </row>
    <row r="807" spans="1:39" ht="14.45" customHeight="1" x14ac:dyDescent="0.25">
      <c r="A807" s="17">
        <v>6</v>
      </c>
      <c r="B807" s="18"/>
      <c r="C807" s="50" t="s">
        <v>3678</v>
      </c>
      <c r="D807" s="20" t="s">
        <v>3679</v>
      </c>
      <c r="E807" s="21" t="s">
        <v>40</v>
      </c>
      <c r="F807" s="22" t="s">
        <v>41</v>
      </c>
      <c r="G807" s="23" t="s">
        <v>42</v>
      </c>
      <c r="H807" s="22" t="s">
        <v>43</v>
      </c>
      <c r="I807" s="22" t="s">
        <v>44</v>
      </c>
      <c r="J807" s="22" t="s">
        <v>148</v>
      </c>
      <c r="K807" s="24">
        <v>45200</v>
      </c>
      <c r="L807" s="53" t="s">
        <v>3680</v>
      </c>
      <c r="M807" s="26">
        <v>43145</v>
      </c>
      <c r="N807" s="26">
        <v>45272</v>
      </c>
      <c r="O807" s="27" t="s">
        <v>84</v>
      </c>
      <c r="P807" s="53" t="s">
        <v>3681</v>
      </c>
      <c r="Q807" s="26">
        <v>43322</v>
      </c>
      <c r="R807" s="29">
        <v>45272</v>
      </c>
      <c r="S807" s="23" t="s">
        <v>84</v>
      </c>
      <c r="T807" s="23"/>
      <c r="U807" s="23"/>
      <c r="V807" s="23"/>
      <c r="W807" s="30">
        <v>34759</v>
      </c>
      <c r="X807" s="30">
        <v>34759</v>
      </c>
      <c r="Y807" s="30">
        <v>42339</v>
      </c>
      <c r="Z807" s="31" t="str">
        <f t="shared" ref="Z807:Z821" ca="1" si="55">DATEDIF(W807,TODAY(),"y")&amp;" Tahun "&amp;DATEDIF(W807,TODAY(),"ym")&amp;" Bulan "&amp;DATEDIF(W807,TODAY(),"md")&amp;" Hari"</f>
        <v>30 Tahun 7 Bulan 30 Hari</v>
      </c>
      <c r="AA807" s="31" t="s">
        <v>76</v>
      </c>
      <c r="AB807" s="32">
        <v>27740</v>
      </c>
      <c r="AC807" s="32" t="s">
        <v>3682</v>
      </c>
      <c r="AD807" s="22" t="str">
        <f t="shared" ca="1" si="52"/>
        <v xml:space="preserve">49 Tahun 10 Bulan </v>
      </c>
      <c r="AE807" s="33" t="s">
        <v>1151</v>
      </c>
      <c r="AF807" s="34"/>
      <c r="AG807" s="22" t="s">
        <v>3683</v>
      </c>
      <c r="AH807" s="22"/>
      <c r="AI807" s="22"/>
      <c r="AJ807" s="22"/>
      <c r="AK807" s="33"/>
      <c r="AL807" s="36"/>
    </row>
    <row r="808" spans="1:39" s="47" customFormat="1" ht="14.25" customHeight="1" x14ac:dyDescent="0.25">
      <c r="A808" s="17">
        <v>7</v>
      </c>
      <c r="B808" s="78"/>
      <c r="C808" s="50" t="s">
        <v>3684</v>
      </c>
      <c r="D808" s="20" t="s">
        <v>3685</v>
      </c>
      <c r="E808" s="21" t="s">
        <v>40</v>
      </c>
      <c r="F808" s="22" t="s">
        <v>41</v>
      </c>
      <c r="G808" s="23" t="s">
        <v>42</v>
      </c>
      <c r="H808" s="22" t="s">
        <v>43</v>
      </c>
      <c r="I808" s="22" t="s">
        <v>44</v>
      </c>
      <c r="J808" s="22" t="s">
        <v>148</v>
      </c>
      <c r="K808" s="24">
        <v>45200</v>
      </c>
      <c r="L808" s="53" t="s">
        <v>3686</v>
      </c>
      <c r="M808" s="26">
        <v>43117</v>
      </c>
      <c r="N808" s="26">
        <v>45049</v>
      </c>
      <c r="O808" s="27" t="s">
        <v>148</v>
      </c>
      <c r="P808" s="28" t="s">
        <v>3687</v>
      </c>
      <c r="Q808" s="29">
        <v>43192</v>
      </c>
      <c r="R808" s="26">
        <v>45049</v>
      </c>
      <c r="S808" s="23" t="s">
        <v>84</v>
      </c>
      <c r="T808" s="23"/>
      <c r="U808" s="23"/>
      <c r="V808" s="23"/>
      <c r="W808" s="30">
        <v>33664</v>
      </c>
      <c r="X808" s="30">
        <v>33664</v>
      </c>
      <c r="Y808" s="22"/>
      <c r="Z808" s="31" t="str">
        <f t="shared" ca="1" si="55"/>
        <v>33 Tahun 7 Bulan 30 Hari</v>
      </c>
      <c r="AA808" s="31" t="s">
        <v>1821</v>
      </c>
      <c r="AB808" s="32">
        <v>26422</v>
      </c>
      <c r="AC808" s="32" t="s">
        <v>3688</v>
      </c>
      <c r="AD808" s="22" t="str">
        <f t="shared" ref="AD808:AD871" ca="1" si="56">DATEDIF(AB808,TODAY(),"y")&amp;" Tahun "&amp;DATEDIF(AB808,TODAY(),"ym")&amp;" Bulan "</f>
        <v xml:space="preserve">53 Tahun 5 Bulan </v>
      </c>
      <c r="AE808" s="33" t="s">
        <v>1158</v>
      </c>
      <c r="AF808" s="34"/>
      <c r="AG808" s="22" t="s">
        <v>3683</v>
      </c>
      <c r="AH808" s="22"/>
      <c r="AI808" s="22"/>
      <c r="AJ808" s="22"/>
      <c r="AK808" s="33"/>
      <c r="AL808" s="36"/>
      <c r="AM808" s="13"/>
    </row>
    <row r="809" spans="1:39" ht="14.45" customHeight="1" x14ac:dyDescent="0.25">
      <c r="A809" s="17">
        <v>8</v>
      </c>
      <c r="B809" s="78"/>
      <c r="C809" s="50" t="s">
        <v>3689</v>
      </c>
      <c r="D809" s="20" t="s">
        <v>3690</v>
      </c>
      <c r="E809" s="21" t="s">
        <v>40</v>
      </c>
      <c r="F809" s="22" t="s">
        <v>41</v>
      </c>
      <c r="G809" s="23" t="s">
        <v>42</v>
      </c>
      <c r="H809" s="22" t="s">
        <v>43</v>
      </c>
      <c r="I809" s="22" t="s">
        <v>44</v>
      </c>
      <c r="J809" s="22" t="s">
        <v>148</v>
      </c>
      <c r="K809" s="24">
        <v>45200</v>
      </c>
      <c r="L809" s="53" t="s">
        <v>3691</v>
      </c>
      <c r="M809" s="26">
        <v>43145</v>
      </c>
      <c r="N809" s="26">
        <v>44978</v>
      </c>
      <c r="O809" s="27" t="s">
        <v>148</v>
      </c>
      <c r="P809" s="28" t="s">
        <v>3692</v>
      </c>
      <c r="Q809" s="29">
        <v>43192</v>
      </c>
      <c r="R809" s="26">
        <v>44978</v>
      </c>
      <c r="S809" s="23" t="s">
        <v>84</v>
      </c>
      <c r="T809" s="23"/>
      <c r="U809" s="23"/>
      <c r="V809" s="23"/>
      <c r="W809" s="30">
        <v>34394</v>
      </c>
      <c r="X809" s="30">
        <v>34394</v>
      </c>
      <c r="Y809" s="22">
        <v>42005</v>
      </c>
      <c r="Z809" s="31" t="str">
        <f t="shared" ca="1" si="55"/>
        <v>31 Tahun 7 Bulan 30 Hari</v>
      </c>
      <c r="AA809" s="31" t="s">
        <v>76</v>
      </c>
      <c r="AB809" s="32">
        <v>26716</v>
      </c>
      <c r="AC809" s="32" t="s">
        <v>3693</v>
      </c>
      <c r="AD809" s="22" t="str">
        <f t="shared" ca="1" si="56"/>
        <v xml:space="preserve">52 Tahun 8 Bulan </v>
      </c>
      <c r="AE809" s="33" t="s">
        <v>1158</v>
      </c>
      <c r="AF809" s="34"/>
      <c r="AG809" s="58" t="s">
        <v>3683</v>
      </c>
      <c r="AH809" s="22"/>
      <c r="AI809" s="22"/>
      <c r="AJ809" s="22"/>
      <c r="AK809" s="33"/>
      <c r="AL809" s="36"/>
    </row>
    <row r="810" spans="1:39" ht="14.45" customHeight="1" x14ac:dyDescent="0.25">
      <c r="A810" s="17">
        <v>9</v>
      </c>
      <c r="B810" s="78"/>
      <c r="C810" s="50" t="s">
        <v>3694</v>
      </c>
      <c r="D810" s="20" t="s">
        <v>3695</v>
      </c>
      <c r="E810" s="21" t="s">
        <v>40</v>
      </c>
      <c r="F810" s="22" t="s">
        <v>41</v>
      </c>
      <c r="G810" s="23" t="s">
        <v>137</v>
      </c>
      <c r="H810" s="22" t="s">
        <v>138</v>
      </c>
      <c r="I810" s="22" t="s">
        <v>44</v>
      </c>
      <c r="J810" s="22" t="s">
        <v>1166</v>
      </c>
      <c r="K810" s="24">
        <v>43252</v>
      </c>
      <c r="L810" s="53" t="s">
        <v>3696</v>
      </c>
      <c r="M810" s="26">
        <v>43117</v>
      </c>
      <c r="N810" s="26">
        <v>45008</v>
      </c>
      <c r="O810" s="27" t="s">
        <v>148</v>
      </c>
      <c r="P810" s="28" t="s">
        <v>3697</v>
      </c>
      <c r="Q810" s="29">
        <v>43192</v>
      </c>
      <c r="R810" s="26">
        <v>45008</v>
      </c>
      <c r="S810" s="23" t="s">
        <v>1167</v>
      </c>
      <c r="T810" s="23"/>
      <c r="U810" s="23"/>
      <c r="V810" s="23"/>
      <c r="W810" s="30">
        <v>36220</v>
      </c>
      <c r="X810" s="30">
        <v>36342</v>
      </c>
      <c r="Y810" s="22">
        <v>41791</v>
      </c>
      <c r="Z810" s="31" t="str">
        <f t="shared" ca="1" si="55"/>
        <v>26 Tahun 7 Bulan 30 Hari</v>
      </c>
      <c r="AA810" s="31" t="s">
        <v>2508</v>
      </c>
      <c r="AB810" s="32">
        <v>26381</v>
      </c>
      <c r="AC810" s="32" t="s">
        <v>3698</v>
      </c>
      <c r="AD810" s="22" t="str">
        <f t="shared" ca="1" si="56"/>
        <v xml:space="preserve">53 Tahun 7 Bulan </v>
      </c>
      <c r="AE810" s="33" t="s">
        <v>1106</v>
      </c>
      <c r="AF810" s="34"/>
      <c r="AG810" s="58" t="s">
        <v>3683</v>
      </c>
      <c r="AH810" s="22"/>
      <c r="AI810" s="22"/>
      <c r="AJ810" s="22"/>
      <c r="AK810" s="33"/>
      <c r="AL810" s="36"/>
    </row>
    <row r="811" spans="1:39" ht="14.45" customHeight="1" x14ac:dyDescent="0.25">
      <c r="A811" s="17">
        <v>10</v>
      </c>
      <c r="B811" s="78"/>
      <c r="C811" s="50" t="s">
        <v>3699</v>
      </c>
      <c r="D811" s="20" t="s">
        <v>3700</v>
      </c>
      <c r="E811" s="21" t="s">
        <v>40</v>
      </c>
      <c r="F811" s="22" t="s">
        <v>41</v>
      </c>
      <c r="G811" s="23" t="s">
        <v>42</v>
      </c>
      <c r="H811" s="22" t="s">
        <v>43</v>
      </c>
      <c r="I811" s="22" t="s">
        <v>44</v>
      </c>
      <c r="J811" s="22" t="s">
        <v>148</v>
      </c>
      <c r="K811" s="24">
        <v>45505</v>
      </c>
      <c r="L811" s="53" t="s">
        <v>3701</v>
      </c>
      <c r="M811" s="26">
        <v>42290</v>
      </c>
      <c r="N811" s="26">
        <v>43961</v>
      </c>
      <c r="O811" s="27" t="s">
        <v>84</v>
      </c>
      <c r="P811" s="28" t="s">
        <v>3702</v>
      </c>
      <c r="Q811" s="29">
        <v>43151</v>
      </c>
      <c r="R811" s="26">
        <v>43961</v>
      </c>
      <c r="S811" s="23" t="s">
        <v>84</v>
      </c>
      <c r="T811" s="23"/>
      <c r="U811" s="23"/>
      <c r="V811" s="23"/>
      <c r="W811" s="30">
        <v>35490</v>
      </c>
      <c r="X811" s="30">
        <v>35490</v>
      </c>
      <c r="Y811" s="22">
        <v>40664</v>
      </c>
      <c r="Z811" s="31" t="str">
        <f t="shared" ca="1" si="55"/>
        <v>28 Tahun 7 Bulan 30 Hari</v>
      </c>
      <c r="AA811" s="31" t="s">
        <v>76</v>
      </c>
      <c r="AB811" s="32">
        <v>26429</v>
      </c>
      <c r="AC811" s="32" t="s">
        <v>3703</v>
      </c>
      <c r="AD811" s="22" t="str">
        <f t="shared" ca="1" si="56"/>
        <v xml:space="preserve">53 Tahun 5 Bulan </v>
      </c>
      <c r="AE811" s="33" t="s">
        <v>1106</v>
      </c>
      <c r="AF811" s="34"/>
      <c r="AG811" s="22" t="s">
        <v>3683</v>
      </c>
      <c r="AH811" s="22"/>
      <c r="AI811" s="22"/>
      <c r="AJ811" s="22"/>
      <c r="AK811" s="33"/>
      <c r="AL811" s="36"/>
    </row>
    <row r="812" spans="1:39" ht="14.45" customHeight="1" x14ac:dyDescent="0.25">
      <c r="A812" s="17">
        <v>11</v>
      </c>
      <c r="B812" s="78"/>
      <c r="C812" s="50" t="s">
        <v>5921</v>
      </c>
      <c r="D812" s="20" t="s">
        <v>3704</v>
      </c>
      <c r="E812" s="21" t="s">
        <v>40</v>
      </c>
      <c r="F812" s="22" t="s">
        <v>41</v>
      </c>
      <c r="G812" s="23" t="s">
        <v>137</v>
      </c>
      <c r="H812" s="22" t="s">
        <v>138</v>
      </c>
      <c r="I812" s="22" t="s">
        <v>44</v>
      </c>
      <c r="J812" s="22" t="s">
        <v>1166</v>
      </c>
      <c r="K812" s="24">
        <v>42826</v>
      </c>
      <c r="L812" s="53" t="s">
        <v>3705</v>
      </c>
      <c r="M812" s="26">
        <v>43145</v>
      </c>
      <c r="N812" s="26">
        <v>45130</v>
      </c>
      <c r="O812" s="27" t="s">
        <v>148</v>
      </c>
      <c r="P812" s="28" t="s">
        <v>3706</v>
      </c>
      <c r="Q812" s="29">
        <v>43192</v>
      </c>
      <c r="R812" s="26">
        <v>45130</v>
      </c>
      <c r="S812" s="23" t="s">
        <v>1172</v>
      </c>
      <c r="T812" s="23"/>
      <c r="U812" s="23"/>
      <c r="V812" s="23"/>
      <c r="W812" s="30">
        <v>35855</v>
      </c>
      <c r="X812" s="30">
        <v>35855</v>
      </c>
      <c r="Y812" s="22"/>
      <c r="Z812" s="31" t="str">
        <f t="shared" ca="1" si="55"/>
        <v>27 Tahun 7 Bulan 30 Hari</v>
      </c>
      <c r="AA812" s="31" t="s">
        <v>164</v>
      </c>
      <c r="AB812" s="32">
        <v>26503</v>
      </c>
      <c r="AC812" s="32" t="s">
        <v>3707</v>
      </c>
      <c r="AD812" s="22" t="str">
        <f t="shared" ca="1" si="56"/>
        <v xml:space="preserve">53 Tahun 3 Bulan </v>
      </c>
      <c r="AE812" s="33" t="s">
        <v>1106</v>
      </c>
      <c r="AF812" s="34"/>
      <c r="AG812" s="58" t="s">
        <v>3683</v>
      </c>
      <c r="AH812" s="22"/>
      <c r="AI812" s="22"/>
      <c r="AJ812" s="22"/>
      <c r="AK812" s="33"/>
      <c r="AL812" s="36"/>
    </row>
    <row r="813" spans="1:39" ht="14.45" customHeight="1" x14ac:dyDescent="0.25">
      <c r="A813" s="17">
        <v>12</v>
      </c>
      <c r="B813" s="78"/>
      <c r="C813" s="50" t="s">
        <v>5922</v>
      </c>
      <c r="D813" s="20" t="s">
        <v>3708</v>
      </c>
      <c r="E813" s="21" t="s">
        <v>40</v>
      </c>
      <c r="F813" s="22" t="s">
        <v>41</v>
      </c>
      <c r="G813" s="23" t="s">
        <v>137</v>
      </c>
      <c r="H813" s="22" t="s">
        <v>138</v>
      </c>
      <c r="I813" s="22" t="s">
        <v>44</v>
      </c>
      <c r="J813" s="22" t="s">
        <v>1166</v>
      </c>
      <c r="K813" s="24">
        <v>42826</v>
      </c>
      <c r="L813" s="53" t="s">
        <v>3709</v>
      </c>
      <c r="M813" s="26">
        <v>43117</v>
      </c>
      <c r="N813" s="26">
        <v>45229</v>
      </c>
      <c r="O813" s="27" t="s">
        <v>148</v>
      </c>
      <c r="P813" s="28" t="s">
        <v>3710</v>
      </c>
      <c r="Q813" s="29">
        <v>43192</v>
      </c>
      <c r="R813" s="26">
        <v>45229</v>
      </c>
      <c r="S813" s="23" t="s">
        <v>1167</v>
      </c>
      <c r="T813" s="23"/>
      <c r="U813" s="23"/>
      <c r="V813" s="23"/>
      <c r="W813" s="30">
        <v>36586</v>
      </c>
      <c r="X813" s="30">
        <v>36586</v>
      </c>
      <c r="Y813" s="22">
        <v>41730</v>
      </c>
      <c r="Z813" s="31" t="str">
        <f t="shared" ca="1" si="55"/>
        <v>25 Tahun 7 Bulan 30 Hari</v>
      </c>
      <c r="AA813" s="31" t="s">
        <v>1540</v>
      </c>
      <c r="AB813" s="32">
        <v>26602</v>
      </c>
      <c r="AC813" s="32" t="s">
        <v>3711</v>
      </c>
      <c r="AD813" s="22" t="str">
        <f t="shared" ca="1" si="56"/>
        <v xml:space="preserve">53 Tahun 0 Bulan </v>
      </c>
      <c r="AE813" s="33" t="s">
        <v>1106</v>
      </c>
      <c r="AF813" s="34"/>
      <c r="AG813" s="22" t="s">
        <v>3683</v>
      </c>
      <c r="AM813" s="14"/>
    </row>
    <row r="814" spans="1:39" ht="14.45" customHeight="1" x14ac:dyDescent="0.25">
      <c r="A814" s="17">
        <v>13</v>
      </c>
      <c r="B814" s="78"/>
      <c r="C814" s="50" t="s">
        <v>5923</v>
      </c>
      <c r="D814" s="20" t="s">
        <v>3712</v>
      </c>
      <c r="E814" s="21" t="s">
        <v>40</v>
      </c>
      <c r="F814" s="22" t="s">
        <v>41</v>
      </c>
      <c r="G814" s="23" t="s">
        <v>137</v>
      </c>
      <c r="H814" s="22" t="s">
        <v>138</v>
      </c>
      <c r="I814" s="22" t="s">
        <v>44</v>
      </c>
      <c r="J814" s="22" t="s">
        <v>1166</v>
      </c>
      <c r="K814" s="24">
        <v>45200</v>
      </c>
      <c r="L814" s="25" t="s">
        <v>3713</v>
      </c>
      <c r="M814" s="26">
        <v>42290</v>
      </c>
      <c r="N814" s="26">
        <v>43873</v>
      </c>
      <c r="O814" s="27" t="s">
        <v>148</v>
      </c>
      <c r="P814" s="28" t="s">
        <v>3714</v>
      </c>
      <c r="Q814" s="29">
        <v>43192</v>
      </c>
      <c r="R814" s="26">
        <v>43873</v>
      </c>
      <c r="S814" s="23" t="s">
        <v>1172</v>
      </c>
      <c r="T814" s="23"/>
      <c r="U814" s="23"/>
      <c r="V814" s="23"/>
      <c r="W814" s="30">
        <v>36220</v>
      </c>
      <c r="X814" s="30">
        <v>36220</v>
      </c>
      <c r="Y814" s="22"/>
      <c r="Z814" s="31" t="str">
        <f t="shared" ca="1" si="55"/>
        <v>26 Tahun 7 Bulan 30 Hari</v>
      </c>
      <c r="AA814" s="31" t="s">
        <v>697</v>
      </c>
      <c r="AB814" s="32">
        <v>26707</v>
      </c>
      <c r="AC814" s="32" t="s">
        <v>3715</v>
      </c>
      <c r="AD814" s="22" t="str">
        <f t="shared" ca="1" si="56"/>
        <v xml:space="preserve">52 Tahun 8 Bulan </v>
      </c>
      <c r="AE814" s="33" t="s">
        <v>1106</v>
      </c>
      <c r="AF814" s="34"/>
      <c r="AG814" s="58" t="s">
        <v>3683</v>
      </c>
      <c r="AH814" s="22"/>
      <c r="AI814" s="22"/>
      <c r="AJ814" s="22"/>
      <c r="AK814" s="33" t="s">
        <v>314</v>
      </c>
      <c r="AL814" s="36"/>
    </row>
    <row r="815" spans="1:39" ht="14.45" customHeight="1" x14ac:dyDescent="0.25">
      <c r="A815" s="17">
        <v>14</v>
      </c>
      <c r="B815" s="78"/>
      <c r="C815" s="50" t="s">
        <v>5924</v>
      </c>
      <c r="D815" s="20" t="s">
        <v>3716</v>
      </c>
      <c r="E815" s="21" t="s">
        <v>56</v>
      </c>
      <c r="F815" s="22" t="s">
        <v>41</v>
      </c>
      <c r="G815" s="23" t="s">
        <v>137</v>
      </c>
      <c r="H815" s="22" t="s">
        <v>138</v>
      </c>
      <c r="I815" s="22" t="s">
        <v>44</v>
      </c>
      <c r="J815" s="22" t="s">
        <v>1166</v>
      </c>
      <c r="K815" s="24">
        <v>42826</v>
      </c>
      <c r="L815" s="53" t="s">
        <v>3717</v>
      </c>
      <c r="M815" s="26">
        <v>44943</v>
      </c>
      <c r="N815" s="26">
        <v>45218</v>
      </c>
      <c r="O815" s="27" t="s">
        <v>148</v>
      </c>
      <c r="P815" s="28" t="s">
        <v>3718</v>
      </c>
      <c r="Q815" s="29">
        <v>43192</v>
      </c>
      <c r="R815" s="26">
        <v>45218</v>
      </c>
      <c r="S815" s="23" t="s">
        <v>1167</v>
      </c>
      <c r="T815" s="23"/>
      <c r="U815" s="23"/>
      <c r="V815" s="23"/>
      <c r="W815" s="30">
        <v>36220</v>
      </c>
      <c r="X815" s="30">
        <v>36220</v>
      </c>
      <c r="Y815" s="30"/>
      <c r="Z815" s="31" t="str">
        <f t="shared" ca="1" si="55"/>
        <v>26 Tahun 7 Bulan 30 Hari</v>
      </c>
      <c r="AA815" s="31" t="s">
        <v>76</v>
      </c>
      <c r="AB815" s="32">
        <v>27321</v>
      </c>
      <c r="AC815" s="31" t="s">
        <v>3719</v>
      </c>
      <c r="AD815" s="22" t="str">
        <f t="shared" ca="1" si="56"/>
        <v xml:space="preserve">51 Tahun 0 Bulan </v>
      </c>
      <c r="AE815" s="85" t="s">
        <v>1106</v>
      </c>
      <c r="AF815" s="34"/>
      <c r="AG815" s="22" t="s">
        <v>3683</v>
      </c>
      <c r="AH815" s="22"/>
      <c r="AI815" s="22"/>
      <c r="AJ815" s="22"/>
      <c r="AK815" s="33" t="s">
        <v>314</v>
      </c>
      <c r="AL815" s="36"/>
      <c r="AM815" s="14"/>
    </row>
    <row r="816" spans="1:39" ht="14.45" customHeight="1" x14ac:dyDescent="0.25">
      <c r="A816" s="17">
        <v>15</v>
      </c>
      <c r="B816" s="134"/>
      <c r="C816" s="50" t="s">
        <v>3720</v>
      </c>
      <c r="D816" s="20" t="s">
        <v>3721</v>
      </c>
      <c r="E816" s="52" t="s">
        <v>40</v>
      </c>
      <c r="F816" s="58" t="s">
        <v>41</v>
      </c>
      <c r="G816" s="89" t="s">
        <v>42</v>
      </c>
      <c r="H816" s="22" t="s">
        <v>43</v>
      </c>
      <c r="I816" s="58" t="s">
        <v>44</v>
      </c>
      <c r="J816" s="22" t="s">
        <v>148</v>
      </c>
      <c r="K816" s="24">
        <v>45505</v>
      </c>
      <c r="L816" s="53" t="s">
        <v>3722</v>
      </c>
      <c r="M816" s="26">
        <v>43117</v>
      </c>
      <c r="N816" s="26">
        <v>45050</v>
      </c>
      <c r="O816" s="27" t="s">
        <v>148</v>
      </c>
      <c r="P816" s="28" t="s">
        <v>3723</v>
      </c>
      <c r="Q816" s="29">
        <v>43192</v>
      </c>
      <c r="R816" s="26">
        <v>45050</v>
      </c>
      <c r="S816" s="23" t="s">
        <v>1172</v>
      </c>
      <c r="T816" s="23"/>
      <c r="U816" s="23"/>
      <c r="V816" s="23"/>
      <c r="W816" s="30">
        <v>34394</v>
      </c>
      <c r="X816" s="30">
        <v>34394</v>
      </c>
      <c r="Y816" s="22"/>
      <c r="Z816" s="55" t="str">
        <f t="shared" ca="1" si="55"/>
        <v>31 Tahun 7 Bulan 30 Hari</v>
      </c>
      <c r="AA816" s="55" t="s">
        <v>76</v>
      </c>
      <c r="AB816" s="56">
        <v>27518</v>
      </c>
      <c r="AC816" s="32" t="s">
        <v>3724</v>
      </c>
      <c r="AD816" s="57" t="str">
        <f t="shared" ca="1" si="56"/>
        <v xml:space="preserve">50 Tahun 5 Bulan </v>
      </c>
      <c r="AE816" s="33" t="s">
        <v>1106</v>
      </c>
      <c r="AF816" s="71"/>
      <c r="AG816" s="58" t="s">
        <v>3683</v>
      </c>
      <c r="AH816" s="22"/>
      <c r="AI816" s="22"/>
      <c r="AJ816" s="22"/>
      <c r="AK816" s="33"/>
      <c r="AL816" s="36"/>
    </row>
    <row r="817" spans="1:39" ht="14.45" customHeight="1" x14ac:dyDescent="0.25">
      <c r="A817" s="17">
        <v>16</v>
      </c>
      <c r="B817" s="134"/>
      <c r="C817" s="50" t="s">
        <v>3725</v>
      </c>
      <c r="D817" s="20" t="s">
        <v>3726</v>
      </c>
      <c r="E817" s="52" t="s">
        <v>40</v>
      </c>
      <c r="F817" s="58" t="s">
        <v>41</v>
      </c>
      <c r="G817" s="59" t="s">
        <v>137</v>
      </c>
      <c r="H817" s="58" t="s">
        <v>138</v>
      </c>
      <c r="I817" s="58" t="s">
        <v>44</v>
      </c>
      <c r="J817" s="22" t="s">
        <v>1166</v>
      </c>
      <c r="K817" s="24">
        <v>43252</v>
      </c>
      <c r="L817" s="25" t="s">
        <v>3727</v>
      </c>
      <c r="M817" s="26">
        <v>42926</v>
      </c>
      <c r="N817" s="26">
        <v>44777</v>
      </c>
      <c r="O817" s="27" t="s">
        <v>1155</v>
      </c>
      <c r="P817" s="53" t="s">
        <v>3728</v>
      </c>
      <c r="Q817" s="26">
        <v>43242</v>
      </c>
      <c r="R817" s="26">
        <v>44659</v>
      </c>
      <c r="S817" s="23" t="s">
        <v>1167</v>
      </c>
      <c r="T817" s="23"/>
      <c r="U817" s="23"/>
      <c r="V817" s="23"/>
      <c r="W817" s="30">
        <v>35125</v>
      </c>
      <c r="X817" s="30">
        <v>35125</v>
      </c>
      <c r="Y817" s="30">
        <v>39753</v>
      </c>
      <c r="Z817" s="55" t="str">
        <f t="shared" ca="1" si="55"/>
        <v>29 Tahun 7 Bulan 30 Hari</v>
      </c>
      <c r="AA817" s="55" t="s">
        <v>1279</v>
      </c>
      <c r="AB817" s="56">
        <v>27858</v>
      </c>
      <c r="AC817" s="32" t="s">
        <v>3729</v>
      </c>
      <c r="AD817" s="57" t="str">
        <f t="shared" ca="1" si="56"/>
        <v xml:space="preserve">49 Tahun 6 Bulan </v>
      </c>
      <c r="AE817" s="33" t="s">
        <v>1106</v>
      </c>
      <c r="AF817" s="71"/>
      <c r="AG817" s="22" t="s">
        <v>3683</v>
      </c>
      <c r="AH817" s="22"/>
      <c r="AI817" s="22"/>
      <c r="AJ817" s="22"/>
      <c r="AK817" s="33" t="s">
        <v>1421</v>
      </c>
      <c r="AL817" s="36"/>
      <c r="AM817" s="14"/>
    </row>
    <row r="818" spans="1:39" ht="14.45" customHeight="1" x14ac:dyDescent="0.25">
      <c r="A818" s="17">
        <v>1</v>
      </c>
      <c r="B818" s="78"/>
      <c r="C818" s="50" t="s">
        <v>5925</v>
      </c>
      <c r="D818" s="20" t="s">
        <v>3730</v>
      </c>
      <c r="E818" s="21" t="s">
        <v>56</v>
      </c>
      <c r="F818" s="22" t="s">
        <v>41</v>
      </c>
      <c r="G818" s="23" t="s">
        <v>137</v>
      </c>
      <c r="H818" s="22" t="s">
        <v>138</v>
      </c>
      <c r="I818" s="22" t="s">
        <v>44</v>
      </c>
      <c r="J818" s="22" t="s">
        <v>1166</v>
      </c>
      <c r="K818" s="24">
        <v>45200</v>
      </c>
      <c r="L818" s="53" t="s">
        <v>3731</v>
      </c>
      <c r="M818" s="26">
        <v>43117</v>
      </c>
      <c r="N818" s="26">
        <v>45255</v>
      </c>
      <c r="O818" s="27" t="s">
        <v>148</v>
      </c>
      <c r="P818" s="28" t="s">
        <v>3732</v>
      </c>
      <c r="Q818" s="29">
        <v>43192</v>
      </c>
      <c r="R818" s="26">
        <v>45255</v>
      </c>
      <c r="S818" s="23" t="s">
        <v>1172</v>
      </c>
      <c r="T818" s="23"/>
      <c r="U818" s="23"/>
      <c r="V818" s="23"/>
      <c r="W818" s="30">
        <v>39783</v>
      </c>
      <c r="X818" s="30">
        <v>39085</v>
      </c>
      <c r="Y818" s="30">
        <v>40551</v>
      </c>
      <c r="Z818" s="31" t="str">
        <f t="shared" ca="1" si="55"/>
        <v>16 Tahun 10 Bulan 30 Hari</v>
      </c>
      <c r="AA818" s="31" t="s">
        <v>164</v>
      </c>
      <c r="AB818" s="32">
        <v>31011</v>
      </c>
      <c r="AC818" s="31" t="s">
        <v>3733</v>
      </c>
      <c r="AD818" s="57" t="str">
        <f t="shared" ca="1" si="56"/>
        <v xml:space="preserve">40 Tahun 11 Bulan </v>
      </c>
      <c r="AE818" s="33" t="s">
        <v>1106</v>
      </c>
      <c r="AF818" s="34"/>
      <c r="AG818" s="58" t="s">
        <v>3683</v>
      </c>
      <c r="AH818" s="22"/>
      <c r="AI818" s="22"/>
      <c r="AJ818" s="22"/>
      <c r="AK818" s="33"/>
      <c r="AL818" s="36"/>
    </row>
    <row r="819" spans="1:39" ht="14.45" customHeight="1" x14ac:dyDescent="0.25">
      <c r="A819" s="17">
        <v>2</v>
      </c>
      <c r="B819" s="78"/>
      <c r="C819" s="50" t="s">
        <v>3734</v>
      </c>
      <c r="D819" s="20" t="s">
        <v>3735</v>
      </c>
      <c r="E819" s="21" t="s">
        <v>40</v>
      </c>
      <c r="F819" s="22" t="s">
        <v>41</v>
      </c>
      <c r="G819" s="23" t="s">
        <v>137</v>
      </c>
      <c r="H819" s="22" t="s">
        <v>138</v>
      </c>
      <c r="I819" s="22" t="s">
        <v>44</v>
      </c>
      <c r="J819" s="22" t="s">
        <v>1166</v>
      </c>
      <c r="K819" s="24">
        <v>45566</v>
      </c>
      <c r="L819" s="25" t="s">
        <v>3736</v>
      </c>
      <c r="M819" s="26">
        <v>42143</v>
      </c>
      <c r="N819" s="26">
        <v>43930</v>
      </c>
      <c r="O819" s="27" t="s">
        <v>148</v>
      </c>
      <c r="P819" s="53" t="s">
        <v>3737</v>
      </c>
      <c r="Q819" s="26">
        <v>43256</v>
      </c>
      <c r="R819" s="29">
        <v>43930</v>
      </c>
      <c r="S819" s="23" t="s">
        <v>1172</v>
      </c>
      <c r="T819" s="23"/>
      <c r="U819" s="23"/>
      <c r="V819" s="23"/>
      <c r="W819" s="30">
        <v>40148</v>
      </c>
      <c r="X819" s="30">
        <v>40238</v>
      </c>
      <c r="Y819" s="30">
        <v>41122</v>
      </c>
      <c r="Z819" s="31" t="str">
        <f t="shared" ca="1" si="55"/>
        <v>15 Tahun 10 Bulan 30 Hari</v>
      </c>
      <c r="AA819" s="31" t="s">
        <v>260</v>
      </c>
      <c r="AB819" s="32">
        <v>31876</v>
      </c>
      <c r="AC819" s="32" t="s">
        <v>3738</v>
      </c>
      <c r="AD819" s="22" t="str">
        <f t="shared" ca="1" si="56"/>
        <v xml:space="preserve">38 Tahun 6 Bulan </v>
      </c>
      <c r="AE819" s="33" t="s">
        <v>1106</v>
      </c>
      <c r="AF819" s="34"/>
      <c r="AG819" s="58" t="s">
        <v>3683</v>
      </c>
      <c r="AH819" s="22"/>
      <c r="AI819" s="22"/>
      <c r="AJ819" s="22"/>
      <c r="AK819" s="33"/>
      <c r="AL819" s="22"/>
      <c r="AM819" s="14"/>
    </row>
    <row r="820" spans="1:39" ht="14.45" customHeight="1" x14ac:dyDescent="0.25">
      <c r="A820" s="17">
        <v>3</v>
      </c>
      <c r="B820" s="134"/>
      <c r="C820" s="50" t="s">
        <v>5926</v>
      </c>
      <c r="D820" s="20" t="s">
        <v>3739</v>
      </c>
      <c r="E820" s="52" t="s">
        <v>56</v>
      </c>
      <c r="F820" s="58" t="s">
        <v>41</v>
      </c>
      <c r="G820" s="23" t="s">
        <v>102</v>
      </c>
      <c r="H820" s="22" t="s">
        <v>103</v>
      </c>
      <c r="I820" s="58" t="s">
        <v>44</v>
      </c>
      <c r="J820" s="22" t="s">
        <v>1166</v>
      </c>
      <c r="K820" s="24">
        <v>45200</v>
      </c>
      <c r="L820" s="53" t="s">
        <v>3740</v>
      </c>
      <c r="M820" s="26">
        <v>43117</v>
      </c>
      <c r="N820" s="26">
        <v>45021</v>
      </c>
      <c r="O820" s="27" t="s">
        <v>148</v>
      </c>
      <c r="P820" s="28" t="s">
        <v>3741</v>
      </c>
      <c r="Q820" s="29">
        <v>42015</v>
      </c>
      <c r="R820" s="26">
        <v>42830</v>
      </c>
      <c r="S820" s="23" t="s">
        <v>1172</v>
      </c>
      <c r="T820" s="23"/>
      <c r="U820" s="23"/>
      <c r="V820" s="23"/>
      <c r="W820" s="30">
        <v>40513</v>
      </c>
      <c r="X820" s="30">
        <v>40664</v>
      </c>
      <c r="Y820" s="30">
        <v>40664</v>
      </c>
      <c r="Z820" s="55" t="str">
        <f t="shared" ca="1" si="55"/>
        <v>14 Tahun 10 Bulan 30 Hari</v>
      </c>
      <c r="AA820" s="55" t="s">
        <v>1279</v>
      </c>
      <c r="AB820" s="56">
        <v>32603</v>
      </c>
      <c r="AC820" s="32" t="s">
        <v>3742</v>
      </c>
      <c r="AD820" s="57" t="str">
        <f t="shared" ca="1" si="56"/>
        <v xml:space="preserve">36 Tahun 6 Bulan </v>
      </c>
      <c r="AE820" s="33" t="s">
        <v>1106</v>
      </c>
      <c r="AF820" s="71"/>
      <c r="AG820" s="22" t="s">
        <v>3683</v>
      </c>
      <c r="AH820" s="22"/>
      <c r="AI820" s="22"/>
      <c r="AJ820" s="22"/>
      <c r="AK820" s="33"/>
      <c r="AL820" s="22"/>
      <c r="AM820" s="14"/>
    </row>
    <row r="821" spans="1:39" ht="14.45" customHeight="1" x14ac:dyDescent="0.25">
      <c r="A821" s="17">
        <v>4</v>
      </c>
      <c r="B821" s="134"/>
      <c r="C821" s="19" t="s">
        <v>5927</v>
      </c>
      <c r="D821" s="20" t="s">
        <v>3743</v>
      </c>
      <c r="E821" s="52" t="s">
        <v>56</v>
      </c>
      <c r="F821" s="58" t="s">
        <v>41</v>
      </c>
      <c r="G821" s="23" t="s">
        <v>102</v>
      </c>
      <c r="H821" s="22" t="s">
        <v>103</v>
      </c>
      <c r="I821" s="58" t="s">
        <v>44</v>
      </c>
      <c r="J821" s="22" t="s">
        <v>1166</v>
      </c>
      <c r="K821" s="24">
        <v>45323</v>
      </c>
      <c r="L821" s="53" t="s">
        <v>3744</v>
      </c>
      <c r="M821" s="26">
        <v>43117</v>
      </c>
      <c r="N821" s="26">
        <v>45057</v>
      </c>
      <c r="O821" s="27" t="s">
        <v>148</v>
      </c>
      <c r="P821" s="28" t="s">
        <v>3745</v>
      </c>
      <c r="Q821" s="29">
        <v>43192</v>
      </c>
      <c r="R821" s="26">
        <v>45057</v>
      </c>
      <c r="S821" s="23" t="s">
        <v>1172</v>
      </c>
      <c r="T821" s="23"/>
      <c r="U821" s="23"/>
      <c r="V821" s="23"/>
      <c r="W821" s="30">
        <v>40513</v>
      </c>
      <c r="X821" s="30">
        <v>40664</v>
      </c>
      <c r="Y821" s="30">
        <v>40664</v>
      </c>
      <c r="Z821" s="55" t="str">
        <f t="shared" ca="1" si="55"/>
        <v>14 Tahun 10 Bulan 30 Hari</v>
      </c>
      <c r="AA821" s="55" t="s">
        <v>1512</v>
      </c>
      <c r="AB821" s="56">
        <v>32639</v>
      </c>
      <c r="AC821" s="31" t="s">
        <v>3746</v>
      </c>
      <c r="AD821" s="57" t="str">
        <f t="shared" ca="1" si="56"/>
        <v xml:space="preserve">36 Tahun 5 Bulan </v>
      </c>
      <c r="AE821" s="33" t="s">
        <v>1106</v>
      </c>
      <c r="AF821" s="34"/>
      <c r="AG821" s="58" t="s">
        <v>3683</v>
      </c>
      <c r="AH821" s="22"/>
      <c r="AI821" s="22"/>
      <c r="AJ821" s="22"/>
      <c r="AK821" s="33"/>
      <c r="AL821" s="22"/>
      <c r="AM821" s="14"/>
    </row>
    <row r="822" spans="1:39" ht="14.45" customHeight="1" x14ac:dyDescent="0.25">
      <c r="A822" s="17">
        <v>5</v>
      </c>
      <c r="B822" s="134"/>
      <c r="C822" s="50" t="s">
        <v>3747</v>
      </c>
      <c r="D822" s="62" t="s">
        <v>3748</v>
      </c>
      <c r="E822" s="52" t="s">
        <v>56</v>
      </c>
      <c r="F822" s="58" t="s">
        <v>41</v>
      </c>
      <c r="G822" s="23" t="s">
        <v>102</v>
      </c>
      <c r="H822" s="22" t="s">
        <v>103</v>
      </c>
      <c r="I822" s="22" t="s">
        <v>44</v>
      </c>
      <c r="J822" s="22" t="s">
        <v>1148</v>
      </c>
      <c r="K822" s="24">
        <v>45870</v>
      </c>
      <c r="L822" s="25" t="s">
        <v>3749</v>
      </c>
      <c r="M822" s="29">
        <v>42629</v>
      </c>
      <c r="N822" s="26">
        <v>44452</v>
      </c>
      <c r="O822" s="27" t="s">
        <v>84</v>
      </c>
      <c r="P822" s="28" t="s">
        <v>3750</v>
      </c>
      <c r="Q822" s="29">
        <v>43124</v>
      </c>
      <c r="R822" s="26">
        <v>44452</v>
      </c>
      <c r="S822" s="33" t="s">
        <v>84</v>
      </c>
      <c r="T822" s="33">
        <v>2015</v>
      </c>
      <c r="U822" s="33"/>
      <c r="V822" s="33"/>
      <c r="W822" s="30">
        <v>43497</v>
      </c>
      <c r="X822" s="30">
        <v>43070</v>
      </c>
      <c r="Y822" s="30">
        <v>43070</v>
      </c>
      <c r="Z822" s="55" t="str">
        <f ca="1">DATEDIF(X822,TODAY(),"y")&amp;" Tahun "&amp;DATEDIF(X822,TODAY(),"ym")&amp;" Bulan "&amp;DATEDIF(X822,TODAY(),"md")&amp;" Hari"</f>
        <v>7 Tahun 10 Bulan 30 Hari</v>
      </c>
      <c r="AA822" s="55" t="s">
        <v>76</v>
      </c>
      <c r="AB822" s="56">
        <v>33860</v>
      </c>
      <c r="AC822" s="31" t="s">
        <v>3751</v>
      </c>
      <c r="AD822" s="57" t="str">
        <f t="shared" ca="1" si="56"/>
        <v xml:space="preserve">33 Tahun 1 Bulan </v>
      </c>
      <c r="AE822" s="33" t="s">
        <v>1106</v>
      </c>
      <c r="AF822" s="71"/>
      <c r="AG822" s="22" t="s">
        <v>3683</v>
      </c>
      <c r="AH822" s="22"/>
      <c r="AI822" s="22"/>
      <c r="AJ822" s="22"/>
      <c r="AK822" s="33"/>
      <c r="AL822" s="22"/>
      <c r="AM822" s="14"/>
    </row>
    <row r="823" spans="1:39" ht="14.45" customHeight="1" x14ac:dyDescent="0.25">
      <c r="A823" s="17">
        <v>6</v>
      </c>
      <c r="B823" s="78">
        <v>1386</v>
      </c>
      <c r="C823" s="50" t="s">
        <v>3752</v>
      </c>
      <c r="D823" s="20" t="s">
        <v>3753</v>
      </c>
      <c r="E823" s="22" t="s">
        <v>40</v>
      </c>
      <c r="F823" s="22" t="s">
        <v>41</v>
      </c>
      <c r="G823" s="23" t="s">
        <v>227</v>
      </c>
      <c r="H823" s="22" t="s">
        <v>228</v>
      </c>
      <c r="I823" s="22" t="s">
        <v>44</v>
      </c>
      <c r="J823" s="22" t="s">
        <v>1148</v>
      </c>
      <c r="K823" s="24">
        <v>45505</v>
      </c>
      <c r="L823" s="25"/>
      <c r="M823" s="26"/>
      <c r="N823" s="26"/>
      <c r="O823" s="27"/>
      <c r="P823" s="28"/>
      <c r="Q823" s="29"/>
      <c r="R823" s="26"/>
      <c r="S823" s="23" t="s">
        <v>84</v>
      </c>
      <c r="T823" s="23"/>
      <c r="U823" s="23"/>
      <c r="V823" s="23"/>
      <c r="W823" s="30">
        <v>44166</v>
      </c>
      <c r="X823" s="30">
        <v>44197</v>
      </c>
      <c r="Y823" s="30">
        <v>44197</v>
      </c>
      <c r="Z823" s="31" t="str">
        <f ca="1">DATEDIF(X823,TODAY(),"y")&amp;" Tahun "&amp;DATEDIF(X823,TODAY(),"ym")&amp;" Bulan "&amp;DATEDIF(X823,TODAY(),"md")&amp;" Hari"</f>
        <v>4 Tahun 9 Bulan 30 Hari</v>
      </c>
      <c r="AA823" s="31" t="s">
        <v>3754</v>
      </c>
      <c r="AB823" s="32">
        <v>34502</v>
      </c>
      <c r="AC823" s="32" t="s">
        <v>3755</v>
      </c>
      <c r="AD823" s="22" t="str">
        <f t="shared" ca="1" si="56"/>
        <v xml:space="preserve">31 Tahun 4 Bulan </v>
      </c>
      <c r="AE823" s="33" t="s">
        <v>1106</v>
      </c>
      <c r="AF823" s="71"/>
      <c r="AG823" s="58" t="s">
        <v>3683</v>
      </c>
      <c r="AH823" s="22"/>
      <c r="AI823" s="22"/>
      <c r="AJ823" s="22"/>
      <c r="AK823" s="33"/>
      <c r="AL823" s="22"/>
      <c r="AM823" s="14"/>
    </row>
    <row r="824" spans="1:39" ht="14.45" customHeight="1" x14ac:dyDescent="0.25">
      <c r="A824" s="17">
        <v>7</v>
      </c>
      <c r="B824" s="52"/>
      <c r="C824" s="50" t="s">
        <v>3756</v>
      </c>
      <c r="D824" s="20" t="s">
        <v>3757</v>
      </c>
      <c r="E824" s="52" t="s">
        <v>56</v>
      </c>
      <c r="F824" s="22" t="s">
        <v>41</v>
      </c>
      <c r="G824" s="23" t="s">
        <v>227</v>
      </c>
      <c r="H824" s="22" t="s">
        <v>228</v>
      </c>
      <c r="I824" s="22" t="s">
        <v>44</v>
      </c>
      <c r="J824" s="22" t="s">
        <v>1104</v>
      </c>
      <c r="K824" s="77">
        <v>44621</v>
      </c>
      <c r="L824" s="25"/>
      <c r="M824" s="26"/>
      <c r="N824" s="26"/>
      <c r="O824" s="27"/>
      <c r="P824" s="28"/>
      <c r="Q824" s="29"/>
      <c r="R824" s="26"/>
      <c r="S824" s="23" t="s">
        <v>84</v>
      </c>
      <c r="T824" s="23"/>
      <c r="U824" s="23"/>
      <c r="V824" s="23"/>
      <c r="W824" s="77">
        <v>44621</v>
      </c>
      <c r="X824" s="77">
        <v>44621</v>
      </c>
      <c r="Y824" s="77">
        <v>44621</v>
      </c>
      <c r="Z824" s="55" t="str">
        <f ca="1">DATEDIF(X824,TODAY(),"y")&amp;" Tahun "&amp;DATEDIF(X824,TODAY(),"ym")&amp;" Bulan "&amp;DATEDIF(X824,TODAY(),"md")&amp;" Hari"</f>
        <v>3 Tahun 7 Bulan 30 Hari</v>
      </c>
      <c r="AA824" s="55" t="s">
        <v>3758</v>
      </c>
      <c r="AB824" s="56">
        <v>33491</v>
      </c>
      <c r="AC824" s="32" t="s">
        <v>3759</v>
      </c>
      <c r="AD824" s="57" t="str">
        <f t="shared" ca="1" si="56"/>
        <v xml:space="preserve">34 Tahun 1 Bulan </v>
      </c>
      <c r="AE824" s="33" t="s">
        <v>1106</v>
      </c>
      <c r="AF824" s="71"/>
      <c r="AG824" s="22" t="s">
        <v>3683</v>
      </c>
      <c r="AH824" s="22"/>
      <c r="AI824" s="22"/>
      <c r="AJ824" s="22"/>
      <c r="AK824" s="33"/>
      <c r="AL824" s="22"/>
      <c r="AM824" s="14"/>
    </row>
    <row r="825" spans="1:39" ht="20.25" customHeight="1" x14ac:dyDescent="0.25">
      <c r="A825" s="17">
        <v>8</v>
      </c>
      <c r="B825" s="52"/>
      <c r="C825" s="50" t="s">
        <v>3760</v>
      </c>
      <c r="D825" s="20" t="s">
        <v>3761</v>
      </c>
      <c r="E825" s="52" t="s">
        <v>40</v>
      </c>
      <c r="F825" s="22" t="s">
        <v>41</v>
      </c>
      <c r="G825" s="23" t="s">
        <v>227</v>
      </c>
      <c r="H825" s="22" t="s">
        <v>228</v>
      </c>
      <c r="I825" s="22" t="s">
        <v>44</v>
      </c>
      <c r="J825" s="22" t="s">
        <v>1104</v>
      </c>
      <c r="K825" s="77">
        <v>44621</v>
      </c>
      <c r="L825" s="25"/>
      <c r="M825" s="26"/>
      <c r="N825" s="26"/>
      <c r="O825" s="27"/>
      <c r="P825" s="28"/>
      <c r="Q825" s="29"/>
      <c r="R825" s="26"/>
      <c r="S825" s="23" t="s">
        <v>84</v>
      </c>
      <c r="T825" s="23">
        <v>2015</v>
      </c>
      <c r="U825" s="23"/>
      <c r="V825" s="23"/>
      <c r="W825" s="77">
        <v>44621</v>
      </c>
      <c r="X825" s="77">
        <v>44621</v>
      </c>
      <c r="Y825" s="77">
        <v>44621</v>
      </c>
      <c r="Z825" s="55" t="str">
        <f ca="1">DATEDIF(X825,TODAY(),"y")&amp;" Tahun "&amp;DATEDIF(X825,TODAY(),"ym")&amp;" Bulan "&amp;DATEDIF(X825,TODAY(),"md")&amp;" Hari"</f>
        <v>3 Tahun 7 Bulan 30 Hari</v>
      </c>
      <c r="AA825" s="55" t="s">
        <v>1178</v>
      </c>
      <c r="AB825" s="56">
        <v>33441</v>
      </c>
      <c r="AC825" s="32" t="s">
        <v>3762</v>
      </c>
      <c r="AD825" s="57" t="str">
        <f t="shared" ca="1" si="56"/>
        <v xml:space="preserve">34 Tahun 3 Bulan </v>
      </c>
      <c r="AE825" s="33" t="s">
        <v>1106</v>
      </c>
      <c r="AF825" s="71"/>
      <c r="AG825" s="58" t="s">
        <v>3683</v>
      </c>
      <c r="AH825" s="22"/>
      <c r="AI825" s="22"/>
      <c r="AJ825" s="22"/>
      <c r="AK825" s="33"/>
      <c r="AL825" s="22"/>
      <c r="AM825" s="14"/>
    </row>
    <row r="826" spans="1:39" ht="14.45" customHeight="1" x14ac:dyDescent="0.25">
      <c r="A826" s="17">
        <v>9</v>
      </c>
      <c r="B826" s="78">
        <v>1415</v>
      </c>
      <c r="C826" s="50" t="s">
        <v>5928</v>
      </c>
      <c r="D826" s="20" t="s">
        <v>3763</v>
      </c>
      <c r="E826" s="22" t="s">
        <v>56</v>
      </c>
      <c r="F826" s="22" t="s">
        <v>41</v>
      </c>
      <c r="G826" s="23" t="s">
        <v>102</v>
      </c>
      <c r="H826" s="22" t="s">
        <v>103</v>
      </c>
      <c r="I826" s="22" t="s">
        <v>44</v>
      </c>
      <c r="J826" s="22" t="s">
        <v>1166</v>
      </c>
      <c r="K826" s="24">
        <v>45870</v>
      </c>
      <c r="L826" s="25"/>
      <c r="M826" s="26"/>
      <c r="N826" s="26"/>
      <c r="O826" s="27"/>
      <c r="P826" s="28"/>
      <c r="Q826" s="29"/>
      <c r="R826" s="26"/>
      <c r="S826" s="23" t="s">
        <v>1172</v>
      </c>
      <c r="T826" s="23"/>
      <c r="U826" s="23"/>
      <c r="V826" s="23"/>
      <c r="W826" s="30">
        <v>39873</v>
      </c>
      <c r="X826" s="30">
        <v>44348</v>
      </c>
      <c r="Y826" s="30">
        <v>44348</v>
      </c>
      <c r="Z826" s="31" t="str">
        <f ca="1">DATEDIF(W826,TODAY(),"y")&amp;" Tahun "&amp;DATEDIF(W826,TODAY(),"ym")&amp;" Bulan "&amp;DATEDIF(W826,TODAY(),"md")&amp;" Hari"</f>
        <v>16 Tahun 7 Bulan 30 Hari</v>
      </c>
      <c r="AA826" s="32" t="s">
        <v>76</v>
      </c>
      <c r="AB826" s="32">
        <v>27668</v>
      </c>
      <c r="AC826" s="32" t="s">
        <v>3764</v>
      </c>
      <c r="AD826" s="22" t="str">
        <f t="shared" ca="1" si="56"/>
        <v xml:space="preserve">50 Tahun 0 Bulan </v>
      </c>
      <c r="AE826" s="33" t="s">
        <v>1106</v>
      </c>
      <c r="AF826" s="34"/>
      <c r="AG826" s="58" t="s">
        <v>3683</v>
      </c>
      <c r="AH826" s="22"/>
      <c r="AI826" s="22"/>
      <c r="AJ826" s="22"/>
      <c r="AK826" s="33"/>
      <c r="AL826" s="22"/>
    </row>
    <row r="827" spans="1:39" ht="14.45" customHeight="1" x14ac:dyDescent="0.25">
      <c r="A827" s="17">
        <v>10</v>
      </c>
      <c r="B827" s="52"/>
      <c r="C827" s="50" t="s">
        <v>3766</v>
      </c>
      <c r="D827" s="20" t="s">
        <v>3767</v>
      </c>
      <c r="E827" s="52" t="s">
        <v>40</v>
      </c>
      <c r="F827" s="22" t="s">
        <v>41</v>
      </c>
      <c r="G827" s="23" t="s">
        <v>227</v>
      </c>
      <c r="H827" s="22" t="s">
        <v>228</v>
      </c>
      <c r="I827" s="22" t="s">
        <v>44</v>
      </c>
      <c r="J827" s="22" t="s">
        <v>1104</v>
      </c>
      <c r="K827" s="77">
        <v>44621</v>
      </c>
      <c r="L827" s="25"/>
      <c r="M827" s="26"/>
      <c r="N827" s="26"/>
      <c r="O827" s="27"/>
      <c r="P827" s="28"/>
      <c r="Q827" s="29"/>
      <c r="R827" s="26"/>
      <c r="S827" s="23" t="s">
        <v>84</v>
      </c>
      <c r="T827" s="23">
        <v>2020</v>
      </c>
      <c r="U827" s="23"/>
      <c r="V827" s="23"/>
      <c r="W827" s="77">
        <v>44621</v>
      </c>
      <c r="X827" s="77">
        <v>44621</v>
      </c>
      <c r="Y827" s="77">
        <v>44621</v>
      </c>
      <c r="Z827" s="55" t="str">
        <f t="shared" ref="Z827:Z841" ca="1" si="57">DATEDIF(X827,TODAY(),"y")&amp;" Tahun "&amp;DATEDIF(X827,TODAY(),"ym")&amp;" Bulan "&amp;DATEDIF(X827,TODAY(),"md")&amp;" Hari"</f>
        <v>3 Tahun 7 Bulan 30 Hari</v>
      </c>
      <c r="AA827" s="55" t="s">
        <v>171</v>
      </c>
      <c r="AB827" s="56">
        <v>35268</v>
      </c>
      <c r="AC827" s="32" t="s">
        <v>3768</v>
      </c>
      <c r="AD827" s="57" t="str">
        <f t="shared" ca="1" si="56"/>
        <v xml:space="preserve">29 Tahun 3 Bulan </v>
      </c>
      <c r="AE827" s="33" t="s">
        <v>1106</v>
      </c>
      <c r="AF827" s="71"/>
      <c r="AG827" s="58" t="s">
        <v>3683</v>
      </c>
      <c r="AH827" s="58"/>
      <c r="AI827" s="58"/>
      <c r="AJ827" s="58"/>
      <c r="AK827" s="33"/>
      <c r="AL827" s="22"/>
      <c r="AM827" s="14"/>
    </row>
    <row r="828" spans="1:39" ht="14.45" customHeight="1" x14ac:dyDescent="0.25">
      <c r="A828" s="17">
        <v>11</v>
      </c>
      <c r="B828" s="134"/>
      <c r="C828" s="50" t="s">
        <v>5929</v>
      </c>
      <c r="D828" s="20" t="s">
        <v>3769</v>
      </c>
      <c r="E828" s="52" t="s">
        <v>56</v>
      </c>
      <c r="F828" s="58" t="s">
        <v>238</v>
      </c>
      <c r="G828" s="23" t="s">
        <v>3872</v>
      </c>
      <c r="H828" s="22" t="s">
        <v>1078</v>
      </c>
      <c r="I828" s="22" t="s">
        <v>44</v>
      </c>
      <c r="J828" s="22" t="s">
        <v>1293</v>
      </c>
      <c r="K828" s="22"/>
      <c r="L828" s="53" t="s">
        <v>3770</v>
      </c>
      <c r="M828" s="26">
        <v>43117</v>
      </c>
      <c r="N828" s="26">
        <v>45063</v>
      </c>
      <c r="O828" s="27" t="s">
        <v>148</v>
      </c>
      <c r="P828" s="28" t="s">
        <v>3771</v>
      </c>
      <c r="Q828" s="29">
        <v>43192</v>
      </c>
      <c r="R828" s="26">
        <v>45002</v>
      </c>
      <c r="S828" s="23" t="s">
        <v>1172</v>
      </c>
      <c r="T828" s="23"/>
      <c r="U828" s="23"/>
      <c r="V828" s="23"/>
      <c r="W828" s="77">
        <v>45047</v>
      </c>
      <c r="X828" s="30">
        <v>40330</v>
      </c>
      <c r="Y828" s="30">
        <v>40360</v>
      </c>
      <c r="Z828" s="55" t="str">
        <f t="shared" ca="1" si="57"/>
        <v>15 Tahun 4 Bulan 30 Hari</v>
      </c>
      <c r="AA828" s="55" t="s">
        <v>97</v>
      </c>
      <c r="AB828" s="56">
        <v>31123</v>
      </c>
      <c r="AC828" s="31" t="s">
        <v>3772</v>
      </c>
      <c r="AD828" s="57" t="str">
        <f t="shared" ca="1" si="56"/>
        <v xml:space="preserve">40 Tahun 7 Bulan </v>
      </c>
      <c r="AE828" s="33" t="s">
        <v>1106</v>
      </c>
      <c r="AF828" s="71"/>
      <c r="AG828" s="58" t="s">
        <v>3683</v>
      </c>
      <c r="AH828" s="58"/>
      <c r="AI828" s="58"/>
      <c r="AJ828" s="58"/>
      <c r="AK828" s="85"/>
      <c r="AL828" s="22"/>
      <c r="AM828" s="14"/>
    </row>
    <row r="829" spans="1:39" ht="14.45" customHeight="1" x14ac:dyDescent="0.25">
      <c r="A829" s="17">
        <v>12</v>
      </c>
      <c r="B829" s="134"/>
      <c r="C829" s="50" t="s">
        <v>5930</v>
      </c>
      <c r="D829" s="20" t="s">
        <v>3773</v>
      </c>
      <c r="E829" s="58" t="s">
        <v>40</v>
      </c>
      <c r="F829" s="58" t="s">
        <v>238</v>
      </c>
      <c r="G829" s="89" t="s">
        <v>3872</v>
      </c>
      <c r="H829" s="22" t="s">
        <v>305</v>
      </c>
      <c r="I829" s="58" t="s">
        <v>44</v>
      </c>
      <c r="J829" s="22" t="s">
        <v>1104</v>
      </c>
      <c r="K829" s="22"/>
      <c r="L829" s="25"/>
      <c r="M829" s="26"/>
      <c r="N829" s="26"/>
      <c r="O829" s="27"/>
      <c r="P829" s="28"/>
      <c r="Q829" s="29"/>
      <c r="R829" s="26"/>
      <c r="S829" s="23" t="s">
        <v>84</v>
      </c>
      <c r="T829" s="23"/>
      <c r="U829" s="23"/>
      <c r="V829" s="23"/>
      <c r="W829" s="77">
        <v>45047</v>
      </c>
      <c r="X829" s="30">
        <v>45048</v>
      </c>
      <c r="Y829" s="30">
        <v>45048</v>
      </c>
      <c r="Z829" s="55" t="str">
        <f t="shared" ca="1" si="57"/>
        <v>2 Tahun 5 Bulan 29 Hari</v>
      </c>
      <c r="AA829" s="55" t="s">
        <v>171</v>
      </c>
      <c r="AB829" s="56">
        <v>33344</v>
      </c>
      <c r="AC829" s="31" t="s">
        <v>3774</v>
      </c>
      <c r="AD829" s="57" t="str">
        <f t="shared" ca="1" si="56"/>
        <v xml:space="preserve">34 Tahun 6 Bulan </v>
      </c>
      <c r="AE829" s="33" t="s">
        <v>1106</v>
      </c>
      <c r="AF829" s="71"/>
      <c r="AG829" s="58" t="s">
        <v>3683</v>
      </c>
      <c r="AH829" s="22"/>
      <c r="AI829" s="22"/>
      <c r="AJ829" s="22"/>
      <c r="AK829" s="33"/>
      <c r="AL829" s="36"/>
    </row>
    <row r="830" spans="1:39" ht="14.45" customHeight="1" x14ac:dyDescent="0.25">
      <c r="A830" s="17">
        <v>13</v>
      </c>
      <c r="B830" s="78"/>
      <c r="C830" s="295" t="s">
        <v>3775</v>
      </c>
      <c r="D830" s="20" t="s">
        <v>3776</v>
      </c>
      <c r="E830" s="52" t="s">
        <v>56</v>
      </c>
      <c r="F830" s="58" t="s">
        <v>238</v>
      </c>
      <c r="G830" s="23" t="s">
        <v>3872</v>
      </c>
      <c r="H830" s="22" t="s">
        <v>1078</v>
      </c>
      <c r="I830" s="22" t="s">
        <v>44</v>
      </c>
      <c r="J830" s="22" t="s">
        <v>1293</v>
      </c>
      <c r="K830" s="22"/>
      <c r="L830" s="25" t="s">
        <v>3777</v>
      </c>
      <c r="M830" s="26">
        <v>42290</v>
      </c>
      <c r="N830" s="26">
        <v>44007</v>
      </c>
      <c r="O830" s="27" t="s">
        <v>148</v>
      </c>
      <c r="P830" s="28" t="s">
        <v>3778</v>
      </c>
      <c r="Q830" s="29">
        <v>43151</v>
      </c>
      <c r="R830" s="26">
        <v>44007</v>
      </c>
      <c r="S830" s="23" t="s">
        <v>1172</v>
      </c>
      <c r="T830" s="23"/>
      <c r="U830" s="23"/>
      <c r="V830" s="23"/>
      <c r="W830" s="77">
        <v>45383</v>
      </c>
      <c r="X830" s="30">
        <v>39752</v>
      </c>
      <c r="Y830" s="30">
        <v>42005</v>
      </c>
      <c r="Z830" s="55" t="str">
        <f t="shared" ca="1" si="57"/>
        <v>17 Tahun 0 Bulan 0 Hari</v>
      </c>
      <c r="AA830" s="55" t="s">
        <v>76</v>
      </c>
      <c r="AB830" s="56">
        <v>31588</v>
      </c>
      <c r="AC830" s="32" t="s">
        <v>3779</v>
      </c>
      <c r="AD830" s="57" t="str">
        <f t="shared" ca="1" si="56"/>
        <v xml:space="preserve">39 Tahun 4 Bulan </v>
      </c>
      <c r="AE830" s="33" t="s">
        <v>1106</v>
      </c>
      <c r="AF830" s="71"/>
      <c r="AG830" s="58" t="s">
        <v>3683</v>
      </c>
      <c r="AH830" s="22"/>
      <c r="AI830" s="22"/>
      <c r="AJ830" s="22"/>
      <c r="AK830" s="85"/>
      <c r="AL830" s="22"/>
      <c r="AM830" s="14"/>
    </row>
    <row r="831" spans="1:39" ht="14.45" customHeight="1" x14ac:dyDescent="0.25">
      <c r="A831" s="17">
        <v>14</v>
      </c>
      <c r="B831" s="78"/>
      <c r="C831" s="50" t="s">
        <v>3780</v>
      </c>
      <c r="D831" s="62" t="s">
        <v>3781</v>
      </c>
      <c r="E831" s="21" t="s">
        <v>56</v>
      </c>
      <c r="F831" s="22" t="s">
        <v>238</v>
      </c>
      <c r="G831" s="23" t="s">
        <v>3872</v>
      </c>
      <c r="H831" s="22" t="s">
        <v>305</v>
      </c>
      <c r="I831" s="22" t="s">
        <v>44</v>
      </c>
      <c r="J831" s="22" t="s">
        <v>1104</v>
      </c>
      <c r="K831" s="30"/>
      <c r="L831" s="25"/>
      <c r="M831" s="29"/>
      <c r="N831" s="26"/>
      <c r="O831" s="27"/>
      <c r="P831" s="28"/>
      <c r="Q831" s="29"/>
      <c r="R831" s="26"/>
      <c r="S831" s="23" t="s">
        <v>84</v>
      </c>
      <c r="T831" s="23"/>
      <c r="U831" s="23"/>
      <c r="V831" s="23"/>
      <c r="W831" s="30">
        <v>45383</v>
      </c>
      <c r="X831" s="30">
        <v>45383</v>
      </c>
      <c r="Y831" s="30">
        <v>45383</v>
      </c>
      <c r="Z831" s="31" t="str">
        <f t="shared" ca="1" si="57"/>
        <v>1 Tahun 6 Bulan 30 Hari</v>
      </c>
      <c r="AA831" s="31" t="s">
        <v>1045</v>
      </c>
      <c r="AB831" s="32">
        <v>34157</v>
      </c>
      <c r="AC831" s="31" t="s">
        <v>3782</v>
      </c>
      <c r="AD831" s="22" t="str">
        <f t="shared" ca="1" si="56"/>
        <v xml:space="preserve">32 Tahun 3 Bulan </v>
      </c>
      <c r="AE831" s="33" t="s">
        <v>1106</v>
      </c>
      <c r="AF831" s="34"/>
      <c r="AG831" s="58" t="s">
        <v>3683</v>
      </c>
      <c r="AH831" s="58"/>
      <c r="AI831" s="58"/>
      <c r="AJ831" s="58"/>
      <c r="AK831" s="33"/>
      <c r="AL831" s="36"/>
    </row>
    <row r="832" spans="1:39" ht="14.45" customHeight="1" x14ac:dyDescent="0.25">
      <c r="A832" s="17">
        <v>15</v>
      </c>
      <c r="B832" s="78"/>
      <c r="C832" s="50" t="s">
        <v>3783</v>
      </c>
      <c r="D832" s="62" t="s">
        <v>3784</v>
      </c>
      <c r="E832" s="21" t="s">
        <v>40</v>
      </c>
      <c r="F832" s="22" t="s">
        <v>238</v>
      </c>
      <c r="G832" s="23" t="s">
        <v>3872</v>
      </c>
      <c r="H832" s="22" t="s">
        <v>305</v>
      </c>
      <c r="I832" s="22" t="s">
        <v>44</v>
      </c>
      <c r="J832" s="22" t="s">
        <v>1104</v>
      </c>
      <c r="K832" s="30"/>
      <c r="L832" s="25"/>
      <c r="M832" s="29"/>
      <c r="N832" s="26"/>
      <c r="O832" s="27"/>
      <c r="P832" s="28"/>
      <c r="Q832" s="29"/>
      <c r="R832" s="26"/>
      <c r="S832" s="23" t="s">
        <v>84</v>
      </c>
      <c r="T832" s="23"/>
      <c r="U832" s="23"/>
      <c r="V832" s="23"/>
      <c r="W832" s="30">
        <v>45383</v>
      </c>
      <c r="X832" s="30">
        <v>45383</v>
      </c>
      <c r="Y832" s="30">
        <v>45383</v>
      </c>
      <c r="Z832" s="31" t="str">
        <f t="shared" ca="1" si="57"/>
        <v>1 Tahun 6 Bulan 30 Hari</v>
      </c>
      <c r="AA832" s="31" t="s">
        <v>3785</v>
      </c>
      <c r="AB832" s="32">
        <v>33292</v>
      </c>
      <c r="AC832" s="31" t="s">
        <v>3786</v>
      </c>
      <c r="AD832" s="22" t="str">
        <f t="shared" ca="1" si="56"/>
        <v xml:space="preserve">34 Tahun 8 Bulan </v>
      </c>
      <c r="AE832" s="33" t="s">
        <v>1106</v>
      </c>
      <c r="AF832" s="34"/>
      <c r="AG832" s="58" t="s">
        <v>3683</v>
      </c>
      <c r="AH832" s="58"/>
      <c r="AI832" s="58"/>
      <c r="AJ832" s="58"/>
      <c r="AK832" s="33"/>
      <c r="AL832" s="22"/>
      <c r="AM832" s="14"/>
    </row>
    <row r="833" spans="1:39" ht="14.45" customHeight="1" x14ac:dyDescent="0.25">
      <c r="A833" s="17">
        <v>16</v>
      </c>
      <c r="B833" s="78"/>
      <c r="C833" s="50" t="s">
        <v>3787</v>
      </c>
      <c r="D833" s="62">
        <v>2023110704</v>
      </c>
      <c r="E833" s="21" t="s">
        <v>56</v>
      </c>
      <c r="F833" s="22" t="s">
        <v>1063</v>
      </c>
      <c r="G833" s="23" t="s">
        <v>3872</v>
      </c>
      <c r="H833" s="22" t="s">
        <v>3872</v>
      </c>
      <c r="I833" s="22"/>
      <c r="J833" s="22"/>
      <c r="K833" s="30"/>
      <c r="L833" s="25"/>
      <c r="M833" s="29"/>
      <c r="N833" s="26"/>
      <c r="O833" s="27"/>
      <c r="P833" s="28"/>
      <c r="Q833" s="29"/>
      <c r="R833" s="26"/>
      <c r="S833" s="23" t="s">
        <v>1172</v>
      </c>
      <c r="T833" s="23">
        <v>2013</v>
      </c>
      <c r="U833" s="23"/>
      <c r="V833" s="23"/>
      <c r="W833" s="30"/>
      <c r="X833" s="30">
        <v>45231</v>
      </c>
      <c r="Y833" s="30">
        <v>45231</v>
      </c>
      <c r="Z833" s="31" t="str">
        <f t="shared" ca="1" si="57"/>
        <v>1 Tahun 11 Bulan 30 Hari</v>
      </c>
      <c r="AA833" s="31" t="s">
        <v>76</v>
      </c>
      <c r="AB833" s="32">
        <v>34175</v>
      </c>
      <c r="AC833" s="31" t="s">
        <v>3788</v>
      </c>
      <c r="AD833" s="22" t="str">
        <f t="shared" ca="1" si="56"/>
        <v xml:space="preserve">32 Tahun 3 Bulan </v>
      </c>
      <c r="AE833" s="33" t="s">
        <v>1106</v>
      </c>
      <c r="AF833" s="34"/>
      <c r="AG833" s="58" t="s">
        <v>3683</v>
      </c>
      <c r="AH833" s="58"/>
      <c r="AI833" s="58"/>
      <c r="AJ833" s="58"/>
      <c r="AK833" s="33"/>
      <c r="AL833" s="36"/>
    </row>
    <row r="834" spans="1:39" ht="14.45" customHeight="1" x14ac:dyDescent="0.25">
      <c r="A834" s="17">
        <v>17</v>
      </c>
      <c r="B834" s="78"/>
      <c r="C834" s="50" t="s">
        <v>5931</v>
      </c>
      <c r="D834" s="62">
        <v>2023110698</v>
      </c>
      <c r="E834" s="21" t="s">
        <v>40</v>
      </c>
      <c r="F834" s="22" t="s">
        <v>1063</v>
      </c>
      <c r="G834" s="23" t="s">
        <v>3872</v>
      </c>
      <c r="H834" s="22" t="s">
        <v>3872</v>
      </c>
      <c r="I834" s="22"/>
      <c r="J834" s="22"/>
      <c r="K834" s="30"/>
      <c r="L834" s="25"/>
      <c r="M834" s="29"/>
      <c r="N834" s="26"/>
      <c r="O834" s="27"/>
      <c r="P834" s="28"/>
      <c r="Q834" s="29"/>
      <c r="R834" s="26"/>
      <c r="S834" s="23" t="s">
        <v>1172</v>
      </c>
      <c r="T834" s="23">
        <v>2017</v>
      </c>
      <c r="U834" s="23"/>
      <c r="V834" s="23"/>
      <c r="W834" s="30"/>
      <c r="X834" s="30">
        <v>45231</v>
      </c>
      <c r="Y834" s="30">
        <v>45231</v>
      </c>
      <c r="Z834" s="31" t="str">
        <f t="shared" ca="1" si="57"/>
        <v>1 Tahun 11 Bulan 30 Hari</v>
      </c>
      <c r="AA834" s="31" t="s">
        <v>171</v>
      </c>
      <c r="AB834" s="32">
        <v>35252</v>
      </c>
      <c r="AC834" s="31" t="s">
        <v>3789</v>
      </c>
      <c r="AD834" s="22" t="str">
        <f t="shared" ca="1" si="56"/>
        <v xml:space="preserve">29 Tahun 3 Bulan </v>
      </c>
      <c r="AE834" s="33" t="s">
        <v>1106</v>
      </c>
      <c r="AF834" s="34"/>
      <c r="AG834" s="58" t="s">
        <v>3683</v>
      </c>
      <c r="AH834" s="58"/>
      <c r="AI834" s="58"/>
      <c r="AJ834" s="58"/>
      <c r="AK834" s="85" t="s">
        <v>676</v>
      </c>
      <c r="AL834" s="36"/>
    </row>
    <row r="835" spans="1:39" ht="14.45" customHeight="1" x14ac:dyDescent="0.25">
      <c r="A835" s="17">
        <v>18</v>
      </c>
      <c r="B835" s="78"/>
      <c r="C835" s="50" t="s">
        <v>5932</v>
      </c>
      <c r="D835" s="62" t="s">
        <v>5933</v>
      </c>
      <c r="E835" s="21" t="s">
        <v>40</v>
      </c>
      <c r="F835" s="22" t="s">
        <v>238</v>
      </c>
      <c r="G835" s="23" t="s">
        <v>3872</v>
      </c>
      <c r="H835" s="22" t="s">
        <v>239</v>
      </c>
      <c r="I835" s="22" t="s">
        <v>155</v>
      </c>
      <c r="J835" s="22" t="s">
        <v>5687</v>
      </c>
      <c r="K835" s="30"/>
      <c r="L835" s="25"/>
      <c r="M835" s="29"/>
      <c r="N835" s="26"/>
      <c r="O835" s="27"/>
      <c r="P835" s="28"/>
      <c r="Q835" s="29"/>
      <c r="R835" s="26"/>
      <c r="S835" s="23" t="s">
        <v>202</v>
      </c>
      <c r="T835" s="23"/>
      <c r="U835" s="23"/>
      <c r="V835" s="23"/>
      <c r="W835" s="30">
        <v>45931</v>
      </c>
      <c r="X835" s="30">
        <v>45261</v>
      </c>
      <c r="Y835" s="30">
        <v>45261</v>
      </c>
      <c r="Z835" s="31" t="str">
        <f t="shared" ca="1" si="57"/>
        <v>1 Tahun 10 Bulan 30 Hari</v>
      </c>
      <c r="AA835" s="31" t="s">
        <v>76</v>
      </c>
      <c r="AB835" s="32">
        <v>31489</v>
      </c>
      <c r="AC835" s="31" t="s">
        <v>5934</v>
      </c>
      <c r="AD835" s="22" t="str">
        <f t="shared" ca="1" si="56"/>
        <v xml:space="preserve">39 Tahun 7 Bulan </v>
      </c>
      <c r="AE835" s="33" t="s">
        <v>1341</v>
      </c>
      <c r="AF835" s="34"/>
      <c r="AG835" s="58" t="s">
        <v>3683</v>
      </c>
      <c r="AH835" s="58"/>
      <c r="AI835" s="58"/>
      <c r="AJ835" s="58"/>
      <c r="AK835" s="33"/>
      <c r="AL835" s="36"/>
    </row>
    <row r="836" spans="1:39" ht="14.45" customHeight="1" x14ac:dyDescent="0.25">
      <c r="A836" s="17">
        <v>19</v>
      </c>
      <c r="B836" s="78"/>
      <c r="C836" s="50" t="s">
        <v>3790</v>
      </c>
      <c r="D836" s="20">
        <v>2024080715</v>
      </c>
      <c r="E836" s="21" t="s">
        <v>40</v>
      </c>
      <c r="F836" s="22" t="s">
        <v>1063</v>
      </c>
      <c r="G836" s="23" t="s">
        <v>3872</v>
      </c>
      <c r="H836" s="22" t="s">
        <v>3872</v>
      </c>
      <c r="I836" s="22"/>
      <c r="J836" s="22"/>
      <c r="K836" s="30"/>
      <c r="L836" s="53"/>
      <c r="M836" s="26"/>
      <c r="N836" s="26"/>
      <c r="O836" s="27"/>
      <c r="P836" s="53"/>
      <c r="Q836" s="26"/>
      <c r="R836" s="29"/>
      <c r="S836" s="23" t="s">
        <v>84</v>
      </c>
      <c r="T836" s="23"/>
      <c r="U836" s="23"/>
      <c r="V836" s="23"/>
      <c r="W836" s="30"/>
      <c r="X836" s="30">
        <v>45505</v>
      </c>
      <c r="Y836" s="30">
        <v>45505</v>
      </c>
      <c r="Z836" s="31" t="str">
        <f t="shared" ca="1" si="57"/>
        <v>1 Tahun 2 Bulan 30 Hari</v>
      </c>
      <c r="AA836" s="31" t="s">
        <v>76</v>
      </c>
      <c r="AB836" s="32">
        <v>33063</v>
      </c>
      <c r="AC836" s="31" t="s">
        <v>3791</v>
      </c>
      <c r="AD836" s="22" t="str">
        <f t="shared" ca="1" si="56"/>
        <v xml:space="preserve">35 Tahun 3 Bulan </v>
      </c>
      <c r="AE836" s="33" t="s">
        <v>1106</v>
      </c>
      <c r="AF836" s="34"/>
      <c r="AG836" s="58" t="s">
        <v>3683</v>
      </c>
      <c r="AH836" s="58"/>
      <c r="AI836" s="58"/>
      <c r="AJ836" s="58"/>
      <c r="AK836" s="33"/>
      <c r="AL836" s="36"/>
    </row>
    <row r="837" spans="1:39" ht="14.45" customHeight="1" x14ac:dyDescent="0.25">
      <c r="A837" s="17">
        <v>20</v>
      </c>
      <c r="B837" s="78"/>
      <c r="C837" s="50" t="s">
        <v>3792</v>
      </c>
      <c r="D837" s="20">
        <v>2024080733</v>
      </c>
      <c r="E837" s="21" t="s">
        <v>40</v>
      </c>
      <c r="F837" s="22" t="s">
        <v>1063</v>
      </c>
      <c r="G837" s="23" t="s">
        <v>3872</v>
      </c>
      <c r="H837" s="22" t="s">
        <v>3872</v>
      </c>
      <c r="I837" s="22"/>
      <c r="J837" s="22"/>
      <c r="K837" s="30"/>
      <c r="L837" s="53"/>
      <c r="M837" s="26"/>
      <c r="N837" s="26"/>
      <c r="O837" s="27"/>
      <c r="P837" s="53"/>
      <c r="Q837" s="26"/>
      <c r="R837" s="29"/>
      <c r="S837" s="23" t="s">
        <v>84</v>
      </c>
      <c r="T837" s="23"/>
      <c r="U837" s="23"/>
      <c r="V837" s="23"/>
      <c r="W837" s="30"/>
      <c r="X837" s="30">
        <v>45505</v>
      </c>
      <c r="Y837" s="30">
        <v>45505</v>
      </c>
      <c r="Z837" s="31" t="str">
        <f t="shared" ca="1" si="57"/>
        <v>1 Tahun 2 Bulan 30 Hari</v>
      </c>
      <c r="AA837" s="31" t="s">
        <v>128</v>
      </c>
      <c r="AB837" s="32">
        <v>33497</v>
      </c>
      <c r="AC837" s="31" t="s">
        <v>3793</v>
      </c>
      <c r="AD837" s="22" t="str">
        <f t="shared" ca="1" si="56"/>
        <v xml:space="preserve">34 Tahun 1 Bulan </v>
      </c>
      <c r="AE837" s="33" t="s">
        <v>1106</v>
      </c>
      <c r="AF837" s="34"/>
      <c r="AG837" s="58" t="s">
        <v>3683</v>
      </c>
      <c r="AH837" s="22"/>
      <c r="AI837" s="22"/>
      <c r="AJ837" s="22"/>
      <c r="AK837" s="33" t="s">
        <v>3765</v>
      </c>
      <c r="AL837" s="22"/>
      <c r="AM837" s="14"/>
    </row>
    <row r="838" spans="1:39" ht="14.45" customHeight="1" x14ac:dyDescent="0.25">
      <c r="A838" s="17">
        <v>21</v>
      </c>
      <c r="B838" s="78"/>
      <c r="C838" s="50" t="s">
        <v>3794</v>
      </c>
      <c r="D838" s="20">
        <v>2024080741</v>
      </c>
      <c r="E838" s="21" t="s">
        <v>56</v>
      </c>
      <c r="F838" s="22" t="s">
        <v>1063</v>
      </c>
      <c r="G838" s="23" t="s">
        <v>3872</v>
      </c>
      <c r="H838" s="22" t="s">
        <v>3872</v>
      </c>
      <c r="I838" s="22"/>
      <c r="J838" s="22"/>
      <c r="K838" s="30"/>
      <c r="L838" s="53"/>
      <c r="M838" s="26"/>
      <c r="N838" s="26"/>
      <c r="O838" s="27"/>
      <c r="P838" s="53"/>
      <c r="Q838" s="26"/>
      <c r="R838" s="29"/>
      <c r="S838" s="23" t="s">
        <v>84</v>
      </c>
      <c r="T838" s="23"/>
      <c r="U838" s="23"/>
      <c r="V838" s="23"/>
      <c r="W838" s="30"/>
      <c r="X838" s="30">
        <v>45505</v>
      </c>
      <c r="Y838" s="30">
        <v>45505</v>
      </c>
      <c r="Z838" s="31" t="str">
        <f t="shared" ca="1" si="57"/>
        <v>1 Tahun 2 Bulan 30 Hari</v>
      </c>
      <c r="AA838" s="31" t="s">
        <v>76</v>
      </c>
      <c r="AB838" s="32">
        <v>32603</v>
      </c>
      <c r="AC838" s="31" t="s">
        <v>3795</v>
      </c>
      <c r="AD838" s="22" t="str">
        <f t="shared" ca="1" si="56"/>
        <v xml:space="preserve">36 Tahun 6 Bulan </v>
      </c>
      <c r="AE838" s="33" t="s">
        <v>1106</v>
      </c>
      <c r="AF838" s="34"/>
      <c r="AG838" s="58" t="s">
        <v>3683</v>
      </c>
      <c r="AH838" s="58"/>
      <c r="AI838" s="58"/>
      <c r="AJ838" s="58"/>
      <c r="AK838" s="33"/>
      <c r="AL838" s="36"/>
    </row>
    <row r="839" spans="1:39" ht="14.45" customHeight="1" x14ac:dyDescent="0.25">
      <c r="A839" s="17">
        <v>22</v>
      </c>
      <c r="B839" s="52"/>
      <c r="C839" s="50" t="s">
        <v>3796</v>
      </c>
      <c r="D839" s="20" t="s">
        <v>3797</v>
      </c>
      <c r="E839" s="52" t="s">
        <v>56</v>
      </c>
      <c r="F839" s="22" t="s">
        <v>41</v>
      </c>
      <c r="G839" s="23" t="s">
        <v>227</v>
      </c>
      <c r="H839" s="22" t="s">
        <v>228</v>
      </c>
      <c r="I839" s="22" t="s">
        <v>44</v>
      </c>
      <c r="J839" s="22" t="s">
        <v>1104</v>
      </c>
      <c r="K839" s="77">
        <v>44621</v>
      </c>
      <c r="L839" s="25"/>
      <c r="M839" s="26"/>
      <c r="N839" s="26"/>
      <c r="O839" s="27"/>
      <c r="P839" s="28"/>
      <c r="Q839" s="29"/>
      <c r="R839" s="26"/>
      <c r="S839" s="23" t="s">
        <v>84</v>
      </c>
      <c r="T839" s="23">
        <v>2020</v>
      </c>
      <c r="U839" s="23"/>
      <c r="V839" s="23"/>
      <c r="W839" s="77">
        <v>44621</v>
      </c>
      <c r="X839" s="77">
        <v>44621</v>
      </c>
      <c r="Y839" s="77">
        <v>44621</v>
      </c>
      <c r="Z839" s="55" t="str">
        <f t="shared" ca="1" si="57"/>
        <v>3 Tahun 7 Bulan 30 Hari</v>
      </c>
      <c r="AA839" s="55" t="s">
        <v>76</v>
      </c>
      <c r="AB839" s="56">
        <v>35411</v>
      </c>
      <c r="AC839" s="32" t="s">
        <v>3798</v>
      </c>
      <c r="AD839" s="57" t="str">
        <f t="shared" ca="1" si="56"/>
        <v xml:space="preserve">28 Tahun 10 Bulan </v>
      </c>
      <c r="AE839" s="33" t="s">
        <v>1106</v>
      </c>
      <c r="AF839" s="71"/>
      <c r="AG839" s="58" t="s">
        <v>3683</v>
      </c>
      <c r="AH839" s="58"/>
      <c r="AI839" s="58"/>
      <c r="AJ839" s="58"/>
      <c r="AK839" s="33" t="s">
        <v>314</v>
      </c>
      <c r="AL839" s="36"/>
      <c r="AM839" s="14"/>
    </row>
    <row r="840" spans="1:39" ht="14.45" customHeight="1" x14ac:dyDescent="0.25">
      <c r="A840" s="17">
        <v>23</v>
      </c>
      <c r="B840" s="52"/>
      <c r="C840" s="50" t="s">
        <v>3799</v>
      </c>
      <c r="D840" s="20" t="s">
        <v>3800</v>
      </c>
      <c r="E840" s="52" t="s">
        <v>56</v>
      </c>
      <c r="F840" s="58" t="s">
        <v>41</v>
      </c>
      <c r="G840" s="23" t="s">
        <v>227</v>
      </c>
      <c r="H840" s="22" t="s">
        <v>228</v>
      </c>
      <c r="I840" s="22" t="s">
        <v>44</v>
      </c>
      <c r="J840" s="22" t="s">
        <v>1104</v>
      </c>
      <c r="K840" s="77">
        <v>44621</v>
      </c>
      <c r="L840" s="25"/>
      <c r="M840" s="26"/>
      <c r="N840" s="26"/>
      <c r="O840" s="27"/>
      <c r="P840" s="28"/>
      <c r="Q840" s="29"/>
      <c r="R840" s="26"/>
      <c r="S840" s="23" t="s">
        <v>84</v>
      </c>
      <c r="T840" s="23">
        <v>2020</v>
      </c>
      <c r="U840" s="23"/>
      <c r="V840" s="23"/>
      <c r="W840" s="77">
        <v>44621</v>
      </c>
      <c r="X840" s="77">
        <v>44621</v>
      </c>
      <c r="Y840" s="77">
        <v>44621</v>
      </c>
      <c r="Z840" s="55" t="str">
        <f t="shared" ca="1" si="57"/>
        <v>3 Tahun 7 Bulan 30 Hari</v>
      </c>
      <c r="AA840" s="55" t="s">
        <v>563</v>
      </c>
      <c r="AB840" s="56">
        <v>35550</v>
      </c>
      <c r="AC840" s="32" t="s">
        <v>3801</v>
      </c>
      <c r="AD840" s="57" t="str">
        <f t="shared" ca="1" si="56"/>
        <v xml:space="preserve">28 Tahun 6 Bulan </v>
      </c>
      <c r="AE840" s="33" t="s">
        <v>1106</v>
      </c>
      <c r="AF840" s="71"/>
      <c r="AG840" s="58" t="s">
        <v>3683</v>
      </c>
      <c r="AH840" s="58"/>
      <c r="AI840" s="58"/>
      <c r="AJ840" s="58"/>
      <c r="AK840" s="33" t="s">
        <v>308</v>
      </c>
      <c r="AL840" s="36"/>
    </row>
    <row r="841" spans="1:39" ht="14.45" customHeight="1" x14ac:dyDescent="0.25">
      <c r="A841" s="17">
        <v>24</v>
      </c>
      <c r="B841" s="18"/>
      <c r="C841" s="50" t="s">
        <v>5935</v>
      </c>
      <c r="D841" s="20" t="s">
        <v>3802</v>
      </c>
      <c r="E841" s="21" t="s">
        <v>56</v>
      </c>
      <c r="F841" s="22" t="s">
        <v>192</v>
      </c>
      <c r="G841" s="23" t="s">
        <v>227</v>
      </c>
      <c r="H841" s="22" t="s">
        <v>228</v>
      </c>
      <c r="I841" s="22" t="s">
        <v>155</v>
      </c>
      <c r="J841" s="22" t="s">
        <v>1104</v>
      </c>
      <c r="K841" s="24" t="s">
        <v>195</v>
      </c>
      <c r="L841" s="22"/>
      <c r="M841" s="22"/>
      <c r="N841" s="22"/>
      <c r="O841" s="22"/>
      <c r="P841" s="22"/>
      <c r="Q841" s="22"/>
      <c r="R841" s="22"/>
      <c r="S841" s="23" t="s">
        <v>84</v>
      </c>
      <c r="T841" s="23"/>
      <c r="U841" s="23"/>
      <c r="V841" s="23"/>
      <c r="W841" s="69">
        <v>45809</v>
      </c>
      <c r="X841" s="69">
        <v>45810</v>
      </c>
      <c r="Y841" s="69">
        <v>45810</v>
      </c>
      <c r="Z841" s="31" t="str">
        <f t="shared" ca="1" si="57"/>
        <v>0 Tahun 4 Bulan 29 Hari</v>
      </c>
      <c r="AA841" s="23" t="s">
        <v>806</v>
      </c>
      <c r="AB841" s="32">
        <v>35180</v>
      </c>
      <c r="AC841" s="32" t="s">
        <v>3803</v>
      </c>
      <c r="AD841" s="22" t="str">
        <f t="shared" ca="1" si="56"/>
        <v xml:space="preserve">29 Tahun 6 Bulan </v>
      </c>
      <c r="AE841" s="33" t="s">
        <v>1106</v>
      </c>
      <c r="AF841" s="34" t="s">
        <v>1907</v>
      </c>
      <c r="AG841" s="58" t="s">
        <v>3683</v>
      </c>
      <c r="AH841" s="58"/>
      <c r="AI841" s="58"/>
      <c r="AJ841" s="58"/>
      <c r="AK841" s="33" t="s">
        <v>485</v>
      </c>
      <c r="AL841" s="22"/>
      <c r="AM841" s="14"/>
    </row>
    <row r="842" spans="1:39" ht="14.45" customHeight="1" x14ac:dyDescent="0.25">
      <c r="A842" s="17">
        <v>25</v>
      </c>
      <c r="B842" s="78"/>
      <c r="C842" s="50" t="s">
        <v>5936</v>
      </c>
      <c r="D842" s="20" t="s">
        <v>3804</v>
      </c>
      <c r="E842" s="21" t="s">
        <v>40</v>
      </c>
      <c r="F842" s="22" t="s">
        <v>41</v>
      </c>
      <c r="G842" s="23" t="s">
        <v>137</v>
      </c>
      <c r="H842" s="22" t="s">
        <v>138</v>
      </c>
      <c r="I842" s="22" t="s">
        <v>44</v>
      </c>
      <c r="J842" s="22" t="s">
        <v>3805</v>
      </c>
      <c r="K842" s="24">
        <v>45200</v>
      </c>
      <c r="L842" s="25" t="s">
        <v>3806</v>
      </c>
      <c r="M842" s="26">
        <v>42143</v>
      </c>
      <c r="N842" s="26">
        <v>43987</v>
      </c>
      <c r="O842" s="27" t="s">
        <v>1124</v>
      </c>
      <c r="P842" s="28" t="s">
        <v>3807</v>
      </c>
      <c r="Q842" s="29">
        <v>42467</v>
      </c>
      <c r="R842" s="26">
        <v>43987</v>
      </c>
      <c r="S842" s="23" t="s">
        <v>3808</v>
      </c>
      <c r="T842" s="23"/>
      <c r="U842" s="23"/>
      <c r="V842" s="23"/>
      <c r="W842" s="30">
        <v>39783</v>
      </c>
      <c r="X842" s="30">
        <v>38777</v>
      </c>
      <c r="Y842" s="30">
        <v>38777</v>
      </c>
      <c r="Z842" s="31" t="str">
        <f t="shared" ref="Z842:Z851" ca="1" si="58">DATEDIF(W842,TODAY(),"y")&amp;" Tahun "&amp;DATEDIF(W842,TODAY(),"ym")&amp;" Bulan "&amp;DATEDIF(W842,TODAY(),"md")&amp;" Hari"</f>
        <v>16 Tahun 10 Bulan 30 Hari</v>
      </c>
      <c r="AA842" s="31" t="s">
        <v>3809</v>
      </c>
      <c r="AB842" s="32">
        <v>27916</v>
      </c>
      <c r="AC842" s="32" t="s">
        <v>3810</v>
      </c>
      <c r="AD842" s="22" t="str">
        <f t="shared" ca="1" si="56"/>
        <v xml:space="preserve">49 Tahun 4 Bulan </v>
      </c>
      <c r="AE842" s="33" t="s">
        <v>1124</v>
      </c>
      <c r="AF842" s="71"/>
      <c r="AG842" s="58" t="s">
        <v>3811</v>
      </c>
      <c r="AH842" s="22"/>
      <c r="AI842" s="22"/>
      <c r="AJ842" s="22"/>
      <c r="AK842" s="33" t="s">
        <v>485</v>
      </c>
      <c r="AL842" s="36"/>
    </row>
    <row r="843" spans="1:39" ht="14.45" customHeight="1" x14ac:dyDescent="0.25">
      <c r="A843" s="17">
        <v>26</v>
      </c>
      <c r="B843" s="78"/>
      <c r="C843" s="50" t="s">
        <v>5937</v>
      </c>
      <c r="D843" s="20" t="s">
        <v>3812</v>
      </c>
      <c r="E843" s="21" t="s">
        <v>56</v>
      </c>
      <c r="F843" s="22" t="s">
        <v>41</v>
      </c>
      <c r="G843" s="15" t="s">
        <v>42</v>
      </c>
      <c r="H843" s="22" t="s">
        <v>43</v>
      </c>
      <c r="I843" s="22" t="s">
        <v>44</v>
      </c>
      <c r="J843" s="22" t="s">
        <v>3813</v>
      </c>
      <c r="K843" s="24">
        <v>45505</v>
      </c>
      <c r="L843" s="25" t="s">
        <v>3814</v>
      </c>
      <c r="M843" s="26">
        <v>42143</v>
      </c>
      <c r="N843" s="26">
        <v>44167</v>
      </c>
      <c r="O843" s="27" t="s">
        <v>1124</v>
      </c>
      <c r="P843" s="28" t="s">
        <v>3815</v>
      </c>
      <c r="Q843" s="29">
        <v>42467</v>
      </c>
      <c r="R843" s="26">
        <v>44167</v>
      </c>
      <c r="S843" s="23" t="s">
        <v>3816</v>
      </c>
      <c r="T843" s="23"/>
      <c r="U843" s="23"/>
      <c r="V843" s="23"/>
      <c r="W843" s="30">
        <v>34029</v>
      </c>
      <c r="X843" s="30">
        <v>34029</v>
      </c>
      <c r="Y843" s="30">
        <v>34029</v>
      </c>
      <c r="Z843" s="31" t="str">
        <f t="shared" ca="1" si="58"/>
        <v>32 Tahun 7 Bulan 30 Hari</v>
      </c>
      <c r="AA843" s="31" t="s">
        <v>1527</v>
      </c>
      <c r="AB843" s="32">
        <v>24808</v>
      </c>
      <c r="AC843" s="32" t="s">
        <v>3817</v>
      </c>
      <c r="AD843" s="57" t="str">
        <f t="shared" ca="1" si="56"/>
        <v xml:space="preserve">57 Tahun 10 Bulan </v>
      </c>
      <c r="AE843" s="33" t="s">
        <v>1124</v>
      </c>
      <c r="AF843" s="34"/>
      <c r="AG843" s="58" t="s">
        <v>3811</v>
      </c>
      <c r="AH843" s="22"/>
      <c r="AI843" s="22"/>
      <c r="AJ843" s="22"/>
      <c r="AK843" s="33" t="s">
        <v>485</v>
      </c>
      <c r="AL843" s="36"/>
    </row>
    <row r="844" spans="1:39" ht="14.45" customHeight="1" x14ac:dyDescent="0.25">
      <c r="A844" s="17">
        <v>27</v>
      </c>
      <c r="B844" s="18"/>
      <c r="C844" s="50" t="s">
        <v>3818</v>
      </c>
      <c r="D844" s="20" t="s">
        <v>3819</v>
      </c>
      <c r="E844" s="52" t="s">
        <v>56</v>
      </c>
      <c r="F844" s="58" t="s">
        <v>41</v>
      </c>
      <c r="G844" s="59" t="s">
        <v>42</v>
      </c>
      <c r="H844" s="58" t="s">
        <v>43</v>
      </c>
      <c r="I844" s="58" t="s">
        <v>44</v>
      </c>
      <c r="J844" s="22" t="s">
        <v>148</v>
      </c>
      <c r="K844" s="24">
        <v>45200</v>
      </c>
      <c r="L844" s="53" t="s">
        <v>3820</v>
      </c>
      <c r="M844" s="26">
        <v>42717</v>
      </c>
      <c r="N844" s="26">
        <v>44394</v>
      </c>
      <c r="O844" s="27" t="s">
        <v>84</v>
      </c>
      <c r="P844" s="53" t="s">
        <v>3821</v>
      </c>
      <c r="Q844" s="26">
        <v>43131</v>
      </c>
      <c r="R844" s="26">
        <v>44394</v>
      </c>
      <c r="S844" s="23" t="s">
        <v>84</v>
      </c>
      <c r="T844" s="23"/>
      <c r="U844" s="23"/>
      <c r="V844" s="23"/>
      <c r="W844" s="30">
        <v>31837</v>
      </c>
      <c r="X844" s="30">
        <v>31837</v>
      </c>
      <c r="Y844" s="30">
        <v>37681</v>
      </c>
      <c r="Z844" s="55" t="str">
        <f t="shared" ca="1" si="58"/>
        <v>38 Tahun 7 Bulan 30 Hari</v>
      </c>
      <c r="AA844" s="55" t="s">
        <v>76</v>
      </c>
      <c r="AB844" s="56">
        <v>24305</v>
      </c>
      <c r="AC844" s="55" t="s">
        <v>3822</v>
      </c>
      <c r="AD844" s="57" t="str">
        <f t="shared" ca="1" si="56"/>
        <v xml:space="preserve">59 Tahun 3 Bulan </v>
      </c>
      <c r="AE844" s="33" t="s">
        <v>1158</v>
      </c>
      <c r="AF844" s="71"/>
      <c r="AG844" s="58" t="s">
        <v>3811</v>
      </c>
      <c r="AH844" s="22"/>
      <c r="AI844" s="22"/>
      <c r="AJ844" s="22"/>
      <c r="AK844" s="33"/>
      <c r="AL844" s="36"/>
    </row>
    <row r="845" spans="1:39" ht="14.45" customHeight="1" x14ac:dyDescent="0.25">
      <c r="A845" s="17">
        <v>28</v>
      </c>
      <c r="B845" s="78"/>
      <c r="C845" s="50" t="s">
        <v>5938</v>
      </c>
      <c r="D845" s="20" t="s">
        <v>3823</v>
      </c>
      <c r="E845" s="52" t="s">
        <v>40</v>
      </c>
      <c r="F845" s="58" t="s">
        <v>41</v>
      </c>
      <c r="G845" s="23" t="s">
        <v>137</v>
      </c>
      <c r="H845" s="22" t="s">
        <v>138</v>
      </c>
      <c r="I845" s="58" t="s">
        <v>44</v>
      </c>
      <c r="J845" s="22" t="s">
        <v>3813</v>
      </c>
      <c r="K845" s="24">
        <v>43313</v>
      </c>
      <c r="L845" s="25" t="s">
        <v>3824</v>
      </c>
      <c r="M845" s="26">
        <v>42143</v>
      </c>
      <c r="N845" s="26">
        <v>43866</v>
      </c>
      <c r="O845" s="27" t="s">
        <v>1124</v>
      </c>
      <c r="P845" s="28" t="s">
        <v>3825</v>
      </c>
      <c r="Q845" s="29">
        <v>42101</v>
      </c>
      <c r="R845" s="26">
        <v>43866</v>
      </c>
      <c r="S845" s="23" t="s">
        <v>1126</v>
      </c>
      <c r="T845" s="23"/>
      <c r="U845" s="23"/>
      <c r="V845" s="23"/>
      <c r="W845" s="30">
        <v>34394</v>
      </c>
      <c r="X845" s="30">
        <v>34394</v>
      </c>
      <c r="Y845" s="30">
        <v>34394</v>
      </c>
      <c r="Z845" s="55" t="str">
        <f t="shared" ca="1" si="58"/>
        <v>31 Tahun 7 Bulan 30 Hari</v>
      </c>
      <c r="AA845" s="55" t="s">
        <v>76</v>
      </c>
      <c r="AB845" s="56">
        <v>24508</v>
      </c>
      <c r="AC845" s="32" t="s">
        <v>3826</v>
      </c>
      <c r="AD845" s="57" t="str">
        <f t="shared" ca="1" si="56"/>
        <v xml:space="preserve">58 Tahun 8 Bulan </v>
      </c>
      <c r="AE845" s="33" t="s">
        <v>1124</v>
      </c>
      <c r="AF845" s="71"/>
      <c r="AG845" s="58" t="s">
        <v>3811</v>
      </c>
      <c r="AH845" s="22"/>
      <c r="AI845" s="22"/>
      <c r="AJ845" s="22"/>
      <c r="AK845" s="33"/>
      <c r="AL845" s="36"/>
    </row>
    <row r="846" spans="1:39" ht="14.45" customHeight="1" x14ac:dyDescent="0.25">
      <c r="A846" s="17">
        <v>29</v>
      </c>
      <c r="B846" s="78"/>
      <c r="C846" s="50" t="s">
        <v>5939</v>
      </c>
      <c r="D846" s="20" t="s">
        <v>3827</v>
      </c>
      <c r="E846" s="21" t="s">
        <v>40</v>
      </c>
      <c r="F846" s="22" t="s">
        <v>41</v>
      </c>
      <c r="G846" s="15" t="s">
        <v>42</v>
      </c>
      <c r="H846" s="22" t="s">
        <v>43</v>
      </c>
      <c r="I846" s="22" t="s">
        <v>44</v>
      </c>
      <c r="J846" s="22" t="s">
        <v>3813</v>
      </c>
      <c r="K846" s="24">
        <v>45505</v>
      </c>
      <c r="L846" s="25" t="s">
        <v>3828</v>
      </c>
      <c r="M846" s="26">
        <v>42143</v>
      </c>
      <c r="N846" s="26">
        <v>44084</v>
      </c>
      <c r="O846" s="27" t="s">
        <v>1124</v>
      </c>
      <c r="P846" s="28" t="s">
        <v>3829</v>
      </c>
      <c r="Q846" s="29">
        <v>42467</v>
      </c>
      <c r="R846" s="26">
        <v>44084</v>
      </c>
      <c r="S846" s="23" t="s">
        <v>1126</v>
      </c>
      <c r="T846" s="23"/>
      <c r="U846" s="23"/>
      <c r="V846" s="23"/>
      <c r="W846" s="30">
        <v>34759</v>
      </c>
      <c r="X846" s="30">
        <v>34759</v>
      </c>
      <c r="Y846" s="30">
        <v>34759</v>
      </c>
      <c r="Z846" s="55" t="str">
        <f t="shared" ca="1" si="58"/>
        <v>30 Tahun 7 Bulan 30 Hari</v>
      </c>
      <c r="AA846" s="31" t="s">
        <v>1331</v>
      </c>
      <c r="AB846" s="32">
        <v>26186</v>
      </c>
      <c r="AC846" s="32" t="s">
        <v>3830</v>
      </c>
      <c r="AD846" s="57" t="str">
        <f t="shared" ca="1" si="56"/>
        <v xml:space="preserve">54 Tahun 1 Bulan </v>
      </c>
      <c r="AE846" s="33" t="s">
        <v>1124</v>
      </c>
      <c r="AF846" s="34"/>
      <c r="AG846" s="58" t="s">
        <v>3811</v>
      </c>
      <c r="AH846" s="22"/>
      <c r="AI846" s="22"/>
      <c r="AJ846" s="22"/>
      <c r="AK846" s="33"/>
      <c r="AL846" s="36"/>
    </row>
    <row r="847" spans="1:39" ht="14.45" customHeight="1" x14ac:dyDescent="0.25">
      <c r="A847" s="17">
        <v>30</v>
      </c>
      <c r="B847" s="78"/>
      <c r="C847" s="50" t="s">
        <v>5940</v>
      </c>
      <c r="D847" s="20" t="s">
        <v>3831</v>
      </c>
      <c r="E847" s="58" t="s">
        <v>56</v>
      </c>
      <c r="F847" s="87" t="s">
        <v>41</v>
      </c>
      <c r="G847" s="23" t="s">
        <v>137</v>
      </c>
      <c r="H847" s="22" t="s">
        <v>138</v>
      </c>
      <c r="I847" s="60" t="s">
        <v>44</v>
      </c>
      <c r="J847" s="22" t="s">
        <v>3832</v>
      </c>
      <c r="K847" s="24">
        <v>45566</v>
      </c>
      <c r="L847" s="25" t="s">
        <v>3833</v>
      </c>
      <c r="M847" s="26">
        <v>41020</v>
      </c>
      <c r="N847" s="26">
        <v>42872</v>
      </c>
      <c r="O847" s="27" t="s">
        <v>1124</v>
      </c>
      <c r="P847" s="53" t="s">
        <v>3834</v>
      </c>
      <c r="Q847" s="26">
        <v>43304</v>
      </c>
      <c r="R847" s="26">
        <v>43482</v>
      </c>
      <c r="S847" s="23" t="s">
        <v>1126</v>
      </c>
      <c r="T847" s="23"/>
      <c r="U847" s="23"/>
      <c r="V847" s="23"/>
      <c r="W847" s="30">
        <v>38353</v>
      </c>
      <c r="X847" s="30">
        <v>42248</v>
      </c>
      <c r="Y847" s="30">
        <v>42248</v>
      </c>
      <c r="Z847" s="32" t="str">
        <f t="shared" ca="1" si="58"/>
        <v>20 Tahun 9 Bulan 30 Hari</v>
      </c>
      <c r="AA847" s="56" t="s">
        <v>76</v>
      </c>
      <c r="AB847" s="56">
        <v>28627</v>
      </c>
      <c r="AC847" s="31" t="s">
        <v>3835</v>
      </c>
      <c r="AD847" s="55" t="str">
        <f t="shared" ca="1" si="56"/>
        <v xml:space="preserve">47 Tahun 5 Bulan </v>
      </c>
      <c r="AE847" s="33" t="s">
        <v>1124</v>
      </c>
      <c r="AF847" s="34"/>
      <c r="AG847" s="58" t="s">
        <v>3811</v>
      </c>
      <c r="AH847" s="22"/>
      <c r="AI847" s="22"/>
      <c r="AJ847" s="22"/>
      <c r="AK847" s="33" t="s">
        <v>1421</v>
      </c>
      <c r="AL847" s="36"/>
      <c r="AM847" s="14"/>
    </row>
    <row r="848" spans="1:39" ht="14.45" customHeight="1" x14ac:dyDescent="0.25">
      <c r="A848" s="17">
        <v>31</v>
      </c>
      <c r="B848" s="78"/>
      <c r="C848" s="50" t="s">
        <v>5941</v>
      </c>
      <c r="D848" s="20" t="s">
        <v>3836</v>
      </c>
      <c r="E848" s="52" t="s">
        <v>40</v>
      </c>
      <c r="F848" s="87" t="s">
        <v>41</v>
      </c>
      <c r="G848" s="23" t="s">
        <v>57</v>
      </c>
      <c r="H848" s="22" t="s">
        <v>58</v>
      </c>
      <c r="I848" s="60" t="s">
        <v>44</v>
      </c>
      <c r="J848" s="22" t="s">
        <v>3813</v>
      </c>
      <c r="K848" s="24">
        <v>45323</v>
      </c>
      <c r="L848" s="25" t="s">
        <v>3837</v>
      </c>
      <c r="M848" s="26">
        <v>42143</v>
      </c>
      <c r="N848" s="26">
        <v>43895</v>
      </c>
      <c r="O848" s="27" t="s">
        <v>1124</v>
      </c>
      <c r="P848" s="28" t="s">
        <v>3838</v>
      </c>
      <c r="Q848" s="29">
        <v>42467</v>
      </c>
      <c r="R848" s="26">
        <v>43895</v>
      </c>
      <c r="S848" s="23" t="s">
        <v>3808</v>
      </c>
      <c r="T848" s="23"/>
      <c r="U848" s="23"/>
      <c r="V848" s="23"/>
      <c r="W848" s="30">
        <v>40148</v>
      </c>
      <c r="X848" s="30">
        <v>40238</v>
      </c>
      <c r="Y848" s="30">
        <v>40238</v>
      </c>
      <c r="Z848" s="31" t="str">
        <f t="shared" ca="1" si="58"/>
        <v>15 Tahun 10 Bulan 30 Hari</v>
      </c>
      <c r="AA848" s="55" t="s">
        <v>1527</v>
      </c>
      <c r="AB848" s="56">
        <v>30380</v>
      </c>
      <c r="AC848" s="31" t="s">
        <v>3839</v>
      </c>
      <c r="AD848" s="57" t="str">
        <f t="shared" ca="1" si="56"/>
        <v xml:space="preserve">42 Tahun 7 Bulan </v>
      </c>
      <c r="AE848" s="33" t="s">
        <v>1124</v>
      </c>
      <c r="AF848" s="71"/>
      <c r="AG848" s="58" t="s">
        <v>3811</v>
      </c>
      <c r="AH848" s="22"/>
      <c r="AI848" s="22"/>
      <c r="AJ848" s="22"/>
      <c r="AK848" s="33" t="s">
        <v>1421</v>
      </c>
      <c r="AL848" s="36"/>
      <c r="AM848" s="14"/>
    </row>
    <row r="849" spans="1:39" ht="14.45" customHeight="1" x14ac:dyDescent="0.25">
      <c r="A849" s="17">
        <v>32</v>
      </c>
      <c r="B849" s="134"/>
      <c r="C849" s="50" t="s">
        <v>5942</v>
      </c>
      <c r="D849" s="20" t="s">
        <v>3840</v>
      </c>
      <c r="E849" s="52" t="s">
        <v>40</v>
      </c>
      <c r="F849" s="58" t="s">
        <v>41</v>
      </c>
      <c r="G849" s="89" t="s">
        <v>137</v>
      </c>
      <c r="H849" s="22" t="s">
        <v>138</v>
      </c>
      <c r="I849" s="58" t="s">
        <v>44</v>
      </c>
      <c r="J849" s="22" t="s">
        <v>3805</v>
      </c>
      <c r="K849" s="24">
        <v>45505</v>
      </c>
      <c r="L849" s="25" t="s">
        <v>3841</v>
      </c>
      <c r="M849" s="26">
        <v>42143</v>
      </c>
      <c r="N849" s="26">
        <v>44168</v>
      </c>
      <c r="O849" s="27" t="s">
        <v>1124</v>
      </c>
      <c r="P849" s="28" t="s">
        <v>3842</v>
      </c>
      <c r="Q849" s="29">
        <v>42467</v>
      </c>
      <c r="R849" s="26">
        <v>44168</v>
      </c>
      <c r="S849" s="23" t="s">
        <v>3808</v>
      </c>
      <c r="T849" s="23"/>
      <c r="U849" s="23"/>
      <c r="V849" s="23"/>
      <c r="W849" s="30">
        <v>39448</v>
      </c>
      <c r="X849" s="30">
        <v>39448</v>
      </c>
      <c r="Y849" s="30">
        <v>39448</v>
      </c>
      <c r="Z849" s="55" t="str">
        <f t="shared" ca="1" si="58"/>
        <v>17 Tahun 9 Bulan 30 Hari</v>
      </c>
      <c r="AA849" s="55" t="s">
        <v>97</v>
      </c>
      <c r="AB849" s="56">
        <v>31384</v>
      </c>
      <c r="AC849" s="32" t="s">
        <v>3843</v>
      </c>
      <c r="AD849" s="57" t="str">
        <f t="shared" ca="1" si="56"/>
        <v xml:space="preserve">39 Tahun 10 Bulan </v>
      </c>
      <c r="AE849" s="33" t="s">
        <v>1124</v>
      </c>
      <c r="AF849" s="71"/>
      <c r="AG849" s="58" t="s">
        <v>3811</v>
      </c>
      <c r="AH849" s="22"/>
      <c r="AI849" s="22"/>
      <c r="AJ849" s="22"/>
      <c r="AK849" s="33" t="s">
        <v>1421</v>
      </c>
      <c r="AL849" s="36"/>
      <c r="AM849" s="14"/>
    </row>
    <row r="850" spans="1:39" ht="14.45" customHeight="1" x14ac:dyDescent="0.25">
      <c r="A850" s="17">
        <v>33</v>
      </c>
      <c r="B850" s="78"/>
      <c r="C850" s="50" t="s">
        <v>3844</v>
      </c>
      <c r="D850" s="20" t="s">
        <v>3845</v>
      </c>
      <c r="E850" s="52" t="s">
        <v>40</v>
      </c>
      <c r="F850" s="58" t="s">
        <v>41</v>
      </c>
      <c r="G850" s="23" t="s">
        <v>102</v>
      </c>
      <c r="H850" s="22" t="s">
        <v>103</v>
      </c>
      <c r="I850" s="58" t="s">
        <v>44</v>
      </c>
      <c r="J850" s="22" t="s">
        <v>3805</v>
      </c>
      <c r="K850" s="24">
        <v>45200</v>
      </c>
      <c r="L850" s="25" t="s">
        <v>3846</v>
      </c>
      <c r="M850" s="26">
        <v>42143</v>
      </c>
      <c r="N850" s="26">
        <v>43831</v>
      </c>
      <c r="O850" s="27" t="s">
        <v>1124</v>
      </c>
      <c r="P850" s="28" t="s">
        <v>3847</v>
      </c>
      <c r="Q850" s="29">
        <v>42467</v>
      </c>
      <c r="R850" s="26">
        <v>43831</v>
      </c>
      <c r="S850" s="23" t="s">
        <v>3808</v>
      </c>
      <c r="T850" s="23"/>
      <c r="U850" s="23"/>
      <c r="V850" s="23"/>
      <c r="W850" s="30">
        <v>40513</v>
      </c>
      <c r="X850" s="30">
        <v>40638</v>
      </c>
      <c r="Y850" s="30">
        <v>40638</v>
      </c>
      <c r="Z850" s="55" t="str">
        <f t="shared" ca="1" si="58"/>
        <v>14 Tahun 10 Bulan 30 Hari</v>
      </c>
      <c r="AA850" s="55" t="s">
        <v>76</v>
      </c>
      <c r="AB850" s="56">
        <v>32509</v>
      </c>
      <c r="AC850" s="31" t="s">
        <v>3848</v>
      </c>
      <c r="AD850" s="57" t="str">
        <f t="shared" ca="1" si="56"/>
        <v xml:space="preserve">36 Tahun 9 Bulan </v>
      </c>
      <c r="AE850" s="33" t="s">
        <v>1124</v>
      </c>
      <c r="AF850" s="34"/>
      <c r="AG850" s="58" t="s">
        <v>3811</v>
      </c>
      <c r="AH850" s="58"/>
      <c r="AI850" s="58"/>
      <c r="AJ850" s="58"/>
      <c r="AK850" s="33"/>
      <c r="AL850" s="36"/>
    </row>
    <row r="851" spans="1:39" ht="14.45" customHeight="1" x14ac:dyDescent="0.25">
      <c r="A851" s="17">
        <v>34</v>
      </c>
      <c r="B851" s="78"/>
      <c r="C851" s="50" t="s">
        <v>5943</v>
      </c>
      <c r="D851" s="20" t="s">
        <v>3849</v>
      </c>
      <c r="E851" s="21" t="s">
        <v>40</v>
      </c>
      <c r="F851" s="22" t="s">
        <v>41</v>
      </c>
      <c r="G851" s="23" t="s">
        <v>102</v>
      </c>
      <c r="H851" s="22" t="s">
        <v>103</v>
      </c>
      <c r="I851" s="22" t="s">
        <v>44</v>
      </c>
      <c r="J851" s="22" t="s">
        <v>3805</v>
      </c>
      <c r="K851" s="24">
        <v>45323</v>
      </c>
      <c r="L851" s="25" t="s">
        <v>3850</v>
      </c>
      <c r="M851" s="26">
        <v>42143</v>
      </c>
      <c r="N851" s="26">
        <v>43907</v>
      </c>
      <c r="O851" s="27" t="s">
        <v>1124</v>
      </c>
      <c r="P851" s="28" t="s">
        <v>3851</v>
      </c>
      <c r="Q851" s="29">
        <v>42467</v>
      </c>
      <c r="R851" s="26">
        <v>43907</v>
      </c>
      <c r="S851" s="23" t="s">
        <v>3808</v>
      </c>
      <c r="T851" s="23"/>
      <c r="U851" s="23"/>
      <c r="V851" s="23"/>
      <c r="W851" s="30">
        <v>40513</v>
      </c>
      <c r="X851" s="30">
        <v>40638</v>
      </c>
      <c r="Y851" s="30">
        <v>40638</v>
      </c>
      <c r="Z851" s="31" t="str">
        <f t="shared" ca="1" si="58"/>
        <v>14 Tahun 10 Bulan 30 Hari</v>
      </c>
      <c r="AA851" s="31" t="s">
        <v>1572</v>
      </c>
      <c r="AB851" s="32">
        <v>32584</v>
      </c>
      <c r="AC851" s="31" t="s">
        <v>3852</v>
      </c>
      <c r="AD851" s="22" t="str">
        <f t="shared" ca="1" si="56"/>
        <v xml:space="preserve">36 Tahun 7 Bulan </v>
      </c>
      <c r="AE851" s="33" t="s">
        <v>1124</v>
      </c>
      <c r="AF851" s="34"/>
      <c r="AG851" s="58" t="s">
        <v>3811</v>
      </c>
      <c r="AH851" s="58"/>
      <c r="AI851" s="58"/>
      <c r="AJ851" s="58"/>
      <c r="AK851" s="33"/>
      <c r="AL851" s="36"/>
    </row>
    <row r="852" spans="1:39" ht="14.45" customHeight="1" x14ac:dyDescent="0.25">
      <c r="A852" s="17">
        <v>35</v>
      </c>
      <c r="B852" s="134">
        <v>1398</v>
      </c>
      <c r="C852" s="50" t="s">
        <v>5944</v>
      </c>
      <c r="D852" s="20" t="s">
        <v>3853</v>
      </c>
      <c r="E852" s="58" t="s">
        <v>56</v>
      </c>
      <c r="F852" s="58" t="s">
        <v>41</v>
      </c>
      <c r="G852" s="89" t="s">
        <v>227</v>
      </c>
      <c r="H852" s="22" t="s">
        <v>228</v>
      </c>
      <c r="I852" s="22" t="s">
        <v>44</v>
      </c>
      <c r="J852" s="22" t="s">
        <v>3854</v>
      </c>
      <c r="K852" s="24">
        <v>45505</v>
      </c>
      <c r="L852" s="25"/>
      <c r="M852" s="26"/>
      <c r="N852" s="26"/>
      <c r="O852" s="27"/>
      <c r="P852" s="28"/>
      <c r="Q852" s="29"/>
      <c r="R852" s="26"/>
      <c r="S852" s="23" t="s">
        <v>3855</v>
      </c>
      <c r="T852" s="23"/>
      <c r="U852" s="23"/>
      <c r="V852" s="23"/>
      <c r="W852" s="30">
        <v>44166</v>
      </c>
      <c r="X852" s="30">
        <v>44197</v>
      </c>
      <c r="Y852" s="30">
        <v>44197</v>
      </c>
      <c r="Z852" s="55" t="str">
        <f ca="1">DATEDIF(X852,TODAY(),"y")&amp;" Tahun "&amp;DATEDIF(X852,TODAY(),"ym")&amp;" Bulan "&amp;DATEDIF(X852,TODAY(),"md")&amp;" Hari"</f>
        <v>4 Tahun 9 Bulan 30 Hari</v>
      </c>
      <c r="AA852" s="55" t="s">
        <v>3809</v>
      </c>
      <c r="AB852" s="56">
        <v>32608</v>
      </c>
      <c r="AC852" s="32" t="s">
        <v>3856</v>
      </c>
      <c r="AD852" s="57" t="str">
        <f t="shared" ca="1" si="56"/>
        <v xml:space="preserve">36 Tahun 6 Bulan </v>
      </c>
      <c r="AE852" s="33" t="s">
        <v>1124</v>
      </c>
      <c r="AF852" s="71"/>
      <c r="AG852" s="58" t="s">
        <v>3811</v>
      </c>
      <c r="AH852" s="22"/>
      <c r="AI852" s="22"/>
      <c r="AJ852" s="22"/>
      <c r="AK852" s="33" t="s">
        <v>200</v>
      </c>
      <c r="AL852" s="36"/>
    </row>
    <row r="853" spans="1:39" ht="14.45" customHeight="1" x14ac:dyDescent="0.25">
      <c r="A853" s="17">
        <v>36</v>
      </c>
      <c r="B853" s="78"/>
      <c r="C853" s="50" t="s">
        <v>6174</v>
      </c>
      <c r="D853" s="20" t="s">
        <v>3857</v>
      </c>
      <c r="E853" s="58" t="s">
        <v>56</v>
      </c>
      <c r="F853" s="58" t="s">
        <v>41</v>
      </c>
      <c r="G853" s="23" t="s">
        <v>227</v>
      </c>
      <c r="H853" s="22" t="s">
        <v>228</v>
      </c>
      <c r="I853" s="22" t="s">
        <v>44</v>
      </c>
      <c r="J853" s="22" t="s">
        <v>1122</v>
      </c>
      <c r="K853" s="24">
        <v>45200</v>
      </c>
      <c r="L853" s="23" t="s">
        <v>1206</v>
      </c>
      <c r="M853" s="26"/>
      <c r="N853" s="26"/>
      <c r="O853" s="22"/>
      <c r="P853" s="53" t="s">
        <v>3858</v>
      </c>
      <c r="Q853" s="26">
        <v>43192</v>
      </c>
      <c r="R853" s="26">
        <v>43375</v>
      </c>
      <c r="S853" s="33" t="s">
        <v>1126</v>
      </c>
      <c r="T853" s="33"/>
      <c r="U853" s="33"/>
      <c r="V853" s="33"/>
      <c r="W853" s="30">
        <v>40513</v>
      </c>
      <c r="X853" s="30">
        <v>42736</v>
      </c>
      <c r="Y853" s="30">
        <v>42767</v>
      </c>
      <c r="Z853" s="55" t="str">
        <f ca="1">DATEDIF(X853,TODAY(),"y")&amp;" Tahun "&amp;DATEDIF(X853,TODAY(),"ym")&amp;" Bulan "&amp;DATEDIF(X853,TODAY(),"md")&amp;" Hari"</f>
        <v>8 Tahun 9 Bulan 30 Hari</v>
      </c>
      <c r="AA853" s="55" t="s">
        <v>3754</v>
      </c>
      <c r="AB853" s="56">
        <v>32876</v>
      </c>
      <c r="AC853" s="31" t="s">
        <v>3859</v>
      </c>
      <c r="AD853" s="57" t="str">
        <f t="shared" ca="1" si="56"/>
        <v xml:space="preserve">35 Tahun 9 Bulan </v>
      </c>
      <c r="AE853" s="33" t="s">
        <v>1124</v>
      </c>
      <c r="AF853" s="71"/>
      <c r="AG853" s="58" t="s">
        <v>3811</v>
      </c>
      <c r="AH853" s="22"/>
      <c r="AI853" s="22"/>
      <c r="AJ853" s="22"/>
      <c r="AK853" s="33"/>
      <c r="AL853" s="36"/>
      <c r="AM853" s="14"/>
    </row>
    <row r="854" spans="1:39" ht="14.45" customHeight="1" x14ac:dyDescent="0.25">
      <c r="A854" s="115">
        <v>1</v>
      </c>
      <c r="B854" s="134"/>
      <c r="C854" s="50" t="s">
        <v>5945</v>
      </c>
      <c r="D854" s="62" t="s">
        <v>3861</v>
      </c>
      <c r="E854" s="52" t="s">
        <v>56</v>
      </c>
      <c r="F854" s="58" t="s">
        <v>41</v>
      </c>
      <c r="G854" s="89" t="s">
        <v>193</v>
      </c>
      <c r="H854" s="22" t="s">
        <v>194</v>
      </c>
      <c r="I854" s="60" t="s">
        <v>44</v>
      </c>
      <c r="J854" s="58" t="s">
        <v>1122</v>
      </c>
      <c r="K854" s="24">
        <v>45323</v>
      </c>
      <c r="L854" s="73" t="s">
        <v>3862</v>
      </c>
      <c r="M854" s="26">
        <v>42143</v>
      </c>
      <c r="N854" s="135">
        <v>44067</v>
      </c>
      <c r="O854" s="27" t="s">
        <v>1124</v>
      </c>
      <c r="P854" s="53" t="s">
        <v>3863</v>
      </c>
      <c r="Q854" s="182">
        <v>43192</v>
      </c>
      <c r="R854" s="26">
        <v>44067</v>
      </c>
      <c r="S854" s="33" t="s">
        <v>1126</v>
      </c>
      <c r="T854" s="33"/>
      <c r="U854" s="33"/>
      <c r="V854" s="33"/>
      <c r="W854" s="30">
        <v>43101</v>
      </c>
      <c r="X854" s="30">
        <v>43101</v>
      </c>
      <c r="Y854" s="30">
        <v>43101</v>
      </c>
      <c r="Z854" s="55" t="str">
        <f ca="1">DATEDIF(W854,TODAY(),"y")&amp;" Tahun "&amp;DATEDIF(W854,TODAY(),"ym")&amp;" Bulan "&amp;DATEDIF(W854,TODAY(),"md")&amp;" Hari"</f>
        <v>7 Tahun 9 Bulan 30 Hari</v>
      </c>
      <c r="AA854" s="55" t="s">
        <v>303</v>
      </c>
      <c r="AB854" s="56">
        <v>33840</v>
      </c>
      <c r="AC854" s="31" t="s">
        <v>3864</v>
      </c>
      <c r="AD854" s="57" t="str">
        <f t="shared" ca="1" si="56"/>
        <v xml:space="preserve">33 Tahun 2 Bulan </v>
      </c>
      <c r="AE854" s="33" t="s">
        <v>1124</v>
      </c>
      <c r="AF854" s="71"/>
      <c r="AG854" s="58" t="s">
        <v>3811</v>
      </c>
      <c r="AH854" s="58"/>
      <c r="AI854" s="58"/>
      <c r="AJ854" s="58"/>
      <c r="AK854" s="33"/>
      <c r="AL854" s="36"/>
    </row>
    <row r="855" spans="1:39" ht="14.45" customHeight="1" x14ac:dyDescent="0.25">
      <c r="A855" s="115">
        <v>2</v>
      </c>
      <c r="B855" s="18"/>
      <c r="C855" s="50" t="s">
        <v>3865</v>
      </c>
      <c r="D855" s="20" t="s">
        <v>3866</v>
      </c>
      <c r="E855" s="21" t="s">
        <v>56</v>
      </c>
      <c r="F855" s="22" t="s">
        <v>41</v>
      </c>
      <c r="G855" s="23" t="s">
        <v>227</v>
      </c>
      <c r="H855" s="22" t="s">
        <v>228</v>
      </c>
      <c r="I855" s="22" t="s">
        <v>155</v>
      </c>
      <c r="J855" s="22" t="s">
        <v>280</v>
      </c>
      <c r="K855" s="24">
        <v>43466</v>
      </c>
      <c r="L855" s="22"/>
      <c r="M855" s="22"/>
      <c r="N855" s="22"/>
      <c r="O855" s="22"/>
      <c r="P855" s="22"/>
      <c r="Q855" s="22"/>
      <c r="R855" s="22"/>
      <c r="S855" s="23" t="s">
        <v>3023</v>
      </c>
      <c r="T855" s="23"/>
      <c r="U855" s="23"/>
      <c r="V855" s="23"/>
      <c r="W855" s="30">
        <v>32933</v>
      </c>
      <c r="X855" s="30">
        <v>35735</v>
      </c>
      <c r="Y855" s="30">
        <v>44038</v>
      </c>
      <c r="Z855" s="31" t="str">
        <f ca="1">DATEDIF(W855,TODAY(),"y")&amp;" Tahun "&amp;DATEDIF(W855,TODAY(),"ym")&amp;" Bulan "&amp;DATEDIF(W855,TODAY(),"md")&amp;" Hari"</f>
        <v>35 Tahun 7 Bulan 30 Hari</v>
      </c>
      <c r="AA855" s="31" t="s">
        <v>76</v>
      </c>
      <c r="AB855" s="32">
        <v>25393</v>
      </c>
      <c r="AC855" s="31" t="s">
        <v>3867</v>
      </c>
      <c r="AD855" s="22" t="str">
        <f t="shared" ca="1" si="56"/>
        <v xml:space="preserve">56 Tahun 3 Bulan </v>
      </c>
      <c r="AE855" s="33" t="s">
        <v>3868</v>
      </c>
      <c r="AF855" s="34"/>
      <c r="AG855" s="58" t="s">
        <v>3811</v>
      </c>
      <c r="AH855" s="22"/>
      <c r="AI855" s="22"/>
      <c r="AJ855" s="22"/>
      <c r="AK855" s="33"/>
      <c r="AL855" s="36"/>
    </row>
    <row r="856" spans="1:39" ht="14.45" customHeight="1" x14ac:dyDescent="0.25">
      <c r="A856" s="115">
        <v>3</v>
      </c>
      <c r="B856" s="78"/>
      <c r="C856" s="50" t="s">
        <v>3869</v>
      </c>
      <c r="D856" s="20" t="s">
        <v>3870</v>
      </c>
      <c r="E856" s="21" t="s">
        <v>40</v>
      </c>
      <c r="F856" s="22" t="s">
        <v>41</v>
      </c>
      <c r="G856" s="23" t="s">
        <v>2877</v>
      </c>
      <c r="H856" s="22" t="s">
        <v>2878</v>
      </c>
      <c r="I856" s="22" t="s">
        <v>155</v>
      </c>
      <c r="J856" s="22" t="s">
        <v>3871</v>
      </c>
      <c r="K856" s="24">
        <v>44835</v>
      </c>
      <c r="L856" s="22"/>
      <c r="M856" s="26"/>
      <c r="N856" s="26"/>
      <c r="O856" s="22"/>
      <c r="P856" s="22"/>
      <c r="Q856" s="23"/>
      <c r="R856" s="26"/>
      <c r="S856" s="23" t="s">
        <v>3023</v>
      </c>
      <c r="T856" s="23"/>
      <c r="U856" s="49" t="s">
        <v>3872</v>
      </c>
      <c r="V856" s="49"/>
      <c r="W856" s="30">
        <v>40148</v>
      </c>
      <c r="X856" s="30">
        <v>38169</v>
      </c>
      <c r="Y856" s="30">
        <v>38169</v>
      </c>
      <c r="Z856" s="31" t="str">
        <f ca="1">DATEDIF(W856,TODAY(),"y")&amp;" Tahun "&amp;DATEDIF(W856,TODAY(),"ym")&amp;" Bulan "&amp;DATEDIF(W856,TODAY(),"md")&amp;" Hari"</f>
        <v>15 Tahun 10 Bulan 30 Hari</v>
      </c>
      <c r="AA856" s="31" t="s">
        <v>76</v>
      </c>
      <c r="AB856" s="32">
        <v>26865</v>
      </c>
      <c r="AC856" s="31" t="s">
        <v>3873</v>
      </c>
      <c r="AD856" s="22" t="str">
        <f t="shared" ca="1" si="56"/>
        <v xml:space="preserve">52 Tahun 3 Bulan </v>
      </c>
      <c r="AE856" s="33" t="s">
        <v>3874</v>
      </c>
      <c r="AF856" s="71"/>
      <c r="AG856" s="58" t="s">
        <v>3811</v>
      </c>
      <c r="AH856" s="58"/>
      <c r="AI856" s="58"/>
      <c r="AJ856" s="58"/>
      <c r="AK856" s="33"/>
      <c r="AL856" s="36"/>
    </row>
    <row r="857" spans="1:39" ht="14.45" customHeight="1" x14ac:dyDescent="0.25">
      <c r="A857" s="115">
        <v>4</v>
      </c>
      <c r="B857" s="78"/>
      <c r="C857" s="50" t="s">
        <v>3875</v>
      </c>
      <c r="D857" s="20" t="s">
        <v>3876</v>
      </c>
      <c r="E857" s="21" t="s">
        <v>40</v>
      </c>
      <c r="F857" s="22" t="s">
        <v>41</v>
      </c>
      <c r="G857" s="23" t="s">
        <v>1547</v>
      </c>
      <c r="H857" s="22" t="s">
        <v>1548</v>
      </c>
      <c r="I857" s="22" t="s">
        <v>44</v>
      </c>
      <c r="J857" s="22" t="s">
        <v>3877</v>
      </c>
      <c r="K857" s="24">
        <v>44621</v>
      </c>
      <c r="L857" s="22"/>
      <c r="M857" s="26"/>
      <c r="N857" s="26"/>
      <c r="O857" s="22"/>
      <c r="P857" s="22"/>
      <c r="Q857" s="23"/>
      <c r="R857" s="26"/>
      <c r="S857" s="23" t="s">
        <v>3878</v>
      </c>
      <c r="T857" s="23">
        <v>2012</v>
      </c>
      <c r="U857" s="49"/>
      <c r="V857" s="49"/>
      <c r="W857" s="30">
        <v>44621</v>
      </c>
      <c r="X857" s="30">
        <v>44621</v>
      </c>
      <c r="Y857" s="30">
        <v>44621</v>
      </c>
      <c r="Z857" s="55" t="str">
        <f ca="1">DATEDIF(W857,TODAY(),"y")&amp;" Tahun "&amp;DATEDIF(W857,TODAY(),"ym")&amp;" Bulan "&amp;DATEDIF(W857,TODAY(),"md")&amp;" Hari"</f>
        <v>3 Tahun 7 Bulan 30 Hari</v>
      </c>
      <c r="AA857" s="31" t="s">
        <v>76</v>
      </c>
      <c r="AB857" s="32">
        <v>33528</v>
      </c>
      <c r="AC857" s="31" t="s">
        <v>3879</v>
      </c>
      <c r="AD857" s="57" t="str">
        <f t="shared" ca="1" si="56"/>
        <v xml:space="preserve">34 Tahun 0 Bulan </v>
      </c>
      <c r="AE857" s="33" t="s">
        <v>1124</v>
      </c>
      <c r="AF857" s="71"/>
      <c r="AG857" s="58" t="s">
        <v>3811</v>
      </c>
      <c r="AH857" s="58"/>
      <c r="AI857" s="58"/>
      <c r="AJ857" s="58"/>
      <c r="AK857" s="85"/>
      <c r="AL857" s="36"/>
    </row>
    <row r="858" spans="1:39" ht="14.45" customHeight="1" x14ac:dyDescent="0.25">
      <c r="A858" s="115">
        <v>5</v>
      </c>
      <c r="B858" s="78"/>
      <c r="C858" s="50" t="s">
        <v>5946</v>
      </c>
      <c r="D858" s="20" t="s">
        <v>3880</v>
      </c>
      <c r="E858" s="21" t="s">
        <v>56</v>
      </c>
      <c r="F858" s="58" t="s">
        <v>238</v>
      </c>
      <c r="G858" s="89" t="s">
        <v>3872</v>
      </c>
      <c r="H858" s="22" t="s">
        <v>239</v>
      </c>
      <c r="I858" s="58" t="s">
        <v>44</v>
      </c>
      <c r="J858" s="22" t="s">
        <v>3854</v>
      </c>
      <c r="K858" s="30"/>
      <c r="L858" s="28" t="s">
        <v>3881</v>
      </c>
      <c r="M858" s="26">
        <v>42172</v>
      </c>
      <c r="N858" s="26">
        <v>43986</v>
      </c>
      <c r="O858" s="27" t="s">
        <v>1124</v>
      </c>
      <c r="P858" s="53" t="s">
        <v>3882</v>
      </c>
      <c r="Q858" s="26">
        <v>43031</v>
      </c>
      <c r="R858" s="26">
        <v>43986</v>
      </c>
      <c r="S858" s="23" t="s">
        <v>3883</v>
      </c>
      <c r="T858" s="23"/>
      <c r="U858" s="23"/>
      <c r="V858" s="23"/>
      <c r="W858" s="77">
        <v>45047</v>
      </c>
      <c r="X858" s="30">
        <v>40330</v>
      </c>
      <c r="Y858" s="30">
        <v>40330</v>
      </c>
      <c r="Z858" s="55" t="str">
        <f t="shared" ref="Z858:Z863" ca="1" si="59">DATEDIF(X858,TODAY(),"y")&amp;" Tahun "&amp;DATEDIF(X858,TODAY(),"ym")&amp;" Bulan "&amp;DATEDIF(X858,TODAY(),"md")&amp;" Hari"</f>
        <v>15 Tahun 4 Bulan 30 Hari</v>
      </c>
      <c r="AA858" s="31" t="s">
        <v>1208</v>
      </c>
      <c r="AB858" s="32">
        <v>32298</v>
      </c>
      <c r="AC858" s="31" t="s">
        <v>3884</v>
      </c>
      <c r="AD858" s="57" t="str">
        <f t="shared" ca="1" si="56"/>
        <v xml:space="preserve">37 Tahun 4 Bulan </v>
      </c>
      <c r="AE858" s="33" t="s">
        <v>1124</v>
      </c>
      <c r="AF858" s="34"/>
      <c r="AG858" s="58" t="s">
        <v>3811</v>
      </c>
      <c r="AH858" s="22"/>
      <c r="AI858" s="22"/>
      <c r="AJ858" s="22"/>
      <c r="AK858" s="33"/>
      <c r="AL858" s="36"/>
    </row>
    <row r="859" spans="1:39" ht="14.45" customHeight="1" x14ac:dyDescent="0.25">
      <c r="A859" s="115">
        <v>6</v>
      </c>
      <c r="B859" s="134"/>
      <c r="C859" s="50" t="s">
        <v>6175</v>
      </c>
      <c r="D859" s="20" t="s">
        <v>3886</v>
      </c>
      <c r="E859" s="52" t="s">
        <v>56</v>
      </c>
      <c r="F859" s="58" t="s">
        <v>238</v>
      </c>
      <c r="G859" s="90" t="s">
        <v>3872</v>
      </c>
      <c r="H859" s="22" t="s">
        <v>1078</v>
      </c>
      <c r="I859" s="58" t="s">
        <v>44</v>
      </c>
      <c r="J859" s="22" t="s">
        <v>3887</v>
      </c>
      <c r="K859" s="30"/>
      <c r="L859" s="25" t="s">
        <v>3888</v>
      </c>
      <c r="M859" s="26">
        <v>42143</v>
      </c>
      <c r="N859" s="26">
        <v>44122</v>
      </c>
      <c r="O859" s="27" t="s">
        <v>1124</v>
      </c>
      <c r="P859" s="25" t="s">
        <v>3889</v>
      </c>
      <c r="Q859" s="29">
        <v>42467</v>
      </c>
      <c r="R859" s="26">
        <v>44122</v>
      </c>
      <c r="S859" s="23" t="s">
        <v>1126</v>
      </c>
      <c r="T859" s="23"/>
      <c r="U859" s="23"/>
      <c r="V859" s="23"/>
      <c r="W859" s="77">
        <v>45047</v>
      </c>
      <c r="X859" s="30">
        <v>40330</v>
      </c>
      <c r="Y859" s="30">
        <v>40330</v>
      </c>
      <c r="Z859" s="55" t="str">
        <f t="shared" ca="1" si="59"/>
        <v>15 Tahun 4 Bulan 30 Hari</v>
      </c>
      <c r="AA859" s="55" t="s">
        <v>76</v>
      </c>
      <c r="AB859" s="56">
        <v>30973</v>
      </c>
      <c r="AC859" s="31" t="s">
        <v>3890</v>
      </c>
      <c r="AD859" s="57" t="str">
        <f t="shared" ca="1" si="56"/>
        <v xml:space="preserve">41 Tahun 0 Bulan </v>
      </c>
      <c r="AE859" s="33" t="s">
        <v>1124</v>
      </c>
      <c r="AF859" s="71"/>
      <c r="AG859" s="58" t="s">
        <v>3811</v>
      </c>
      <c r="AH859" s="58"/>
      <c r="AI859" s="58"/>
      <c r="AJ859" s="58"/>
      <c r="AK859" s="33"/>
      <c r="AL859" s="22"/>
    </row>
    <row r="860" spans="1:39" ht="14.45" customHeight="1" x14ac:dyDescent="0.25">
      <c r="A860" s="115">
        <v>7</v>
      </c>
      <c r="B860" s="134"/>
      <c r="C860" s="50" t="s">
        <v>3891</v>
      </c>
      <c r="D860" s="62" t="s">
        <v>3892</v>
      </c>
      <c r="E860" s="52" t="s">
        <v>56</v>
      </c>
      <c r="F860" s="58" t="s">
        <v>238</v>
      </c>
      <c r="G860" s="89" t="s">
        <v>3872</v>
      </c>
      <c r="H860" s="22" t="s">
        <v>239</v>
      </c>
      <c r="I860" s="58" t="s">
        <v>44</v>
      </c>
      <c r="J860" s="22" t="s">
        <v>3893</v>
      </c>
      <c r="K860" s="30"/>
      <c r="L860" s="25"/>
      <c r="M860" s="26"/>
      <c r="N860" s="26"/>
      <c r="O860" s="27"/>
      <c r="P860" s="53" t="s">
        <v>3894</v>
      </c>
      <c r="Q860" s="26">
        <v>43297</v>
      </c>
      <c r="R860" s="26">
        <v>43450</v>
      </c>
      <c r="S860" s="23" t="s">
        <v>3895</v>
      </c>
      <c r="T860" s="23"/>
      <c r="U860" s="23"/>
      <c r="V860" s="23"/>
      <c r="W860" s="30">
        <v>45047</v>
      </c>
      <c r="X860" s="30">
        <v>43070</v>
      </c>
      <c r="Y860" s="30">
        <v>43070</v>
      </c>
      <c r="Z860" s="55" t="str">
        <f t="shared" ca="1" si="59"/>
        <v>7 Tahun 10 Bulan 30 Hari</v>
      </c>
      <c r="AA860" s="55" t="s">
        <v>437</v>
      </c>
      <c r="AB860" s="56">
        <v>30534</v>
      </c>
      <c r="AC860" s="31" t="s">
        <v>3896</v>
      </c>
      <c r="AD860" s="57" t="str">
        <f t="shared" ca="1" si="56"/>
        <v xml:space="preserve">42 Tahun 2 Bulan </v>
      </c>
      <c r="AE860" s="33" t="s">
        <v>3897</v>
      </c>
      <c r="AF860" s="71"/>
      <c r="AG860" s="58" t="s">
        <v>3811</v>
      </c>
      <c r="AH860" s="58"/>
      <c r="AI860" s="58"/>
      <c r="AJ860" s="58"/>
      <c r="AK860" s="33"/>
      <c r="AL860" s="36"/>
    </row>
    <row r="861" spans="1:39" ht="14.45" customHeight="1" x14ac:dyDescent="0.25">
      <c r="A861" s="115">
        <v>8</v>
      </c>
      <c r="B861" s="134"/>
      <c r="C861" s="50" t="s">
        <v>6176</v>
      </c>
      <c r="D861" s="62" t="s">
        <v>3898</v>
      </c>
      <c r="E861" s="52" t="s">
        <v>56</v>
      </c>
      <c r="F861" s="58" t="s">
        <v>238</v>
      </c>
      <c r="G861" s="296" t="s">
        <v>3872</v>
      </c>
      <c r="H861" s="58" t="s">
        <v>1078</v>
      </c>
      <c r="I861" s="58" t="s">
        <v>44</v>
      </c>
      <c r="J861" s="58" t="s">
        <v>3887</v>
      </c>
      <c r="K861" s="30"/>
      <c r="L861" s="25"/>
      <c r="M861" s="26"/>
      <c r="N861" s="26"/>
      <c r="O861" s="27"/>
      <c r="P861" s="53"/>
      <c r="Q861" s="26"/>
      <c r="R861" s="26"/>
      <c r="S861" s="23" t="s">
        <v>1126</v>
      </c>
      <c r="T861" s="23"/>
      <c r="U861" s="23"/>
      <c r="V861" s="23"/>
      <c r="W861" s="30">
        <v>45047</v>
      </c>
      <c r="X861" s="30">
        <v>45048</v>
      </c>
      <c r="Y861" s="30">
        <v>45048</v>
      </c>
      <c r="Z861" s="55" t="str">
        <f t="shared" ca="1" si="59"/>
        <v>2 Tahun 5 Bulan 29 Hari</v>
      </c>
      <c r="AA861" s="55" t="s">
        <v>437</v>
      </c>
      <c r="AB861" s="56">
        <v>30020</v>
      </c>
      <c r="AC861" s="31" t="s">
        <v>3899</v>
      </c>
      <c r="AD861" s="57" t="str">
        <f t="shared" ca="1" si="56"/>
        <v xml:space="preserve">43 Tahun 7 Bulan </v>
      </c>
      <c r="AE861" s="33" t="s">
        <v>1124</v>
      </c>
      <c r="AF861" s="71"/>
      <c r="AG861" s="58" t="s">
        <v>3811</v>
      </c>
      <c r="AH861" s="58"/>
      <c r="AI861" s="58"/>
      <c r="AJ861" s="58"/>
      <c r="AK861" s="33"/>
      <c r="AL861" s="36"/>
    </row>
    <row r="862" spans="1:39" ht="14.45" customHeight="1" x14ac:dyDescent="0.25">
      <c r="A862" s="115">
        <v>9</v>
      </c>
      <c r="B862" s="78">
        <v>1404</v>
      </c>
      <c r="C862" s="50" t="s">
        <v>6177</v>
      </c>
      <c r="D862" s="20" t="s">
        <v>3900</v>
      </c>
      <c r="E862" s="58" t="s">
        <v>56</v>
      </c>
      <c r="F862" s="58" t="s">
        <v>238</v>
      </c>
      <c r="G862" s="85" t="s">
        <v>3872</v>
      </c>
      <c r="H862" s="58" t="s">
        <v>1078</v>
      </c>
      <c r="I862" s="58" t="s">
        <v>44</v>
      </c>
      <c r="J862" s="58" t="s">
        <v>3887</v>
      </c>
      <c r="K862" s="22"/>
      <c r="L862" s="25"/>
      <c r="M862" s="26"/>
      <c r="N862" s="26"/>
      <c r="O862" s="27"/>
      <c r="P862" s="53"/>
      <c r="Q862" s="29"/>
      <c r="R862" s="26"/>
      <c r="S862" s="23" t="s">
        <v>1126</v>
      </c>
      <c r="T862" s="33"/>
      <c r="U862" s="33"/>
      <c r="V862" s="33"/>
      <c r="W862" s="77">
        <v>45383</v>
      </c>
      <c r="X862" s="30">
        <v>44197</v>
      </c>
      <c r="Y862" s="30">
        <v>44197</v>
      </c>
      <c r="Z862" s="55" t="str">
        <f t="shared" ca="1" si="59"/>
        <v>4 Tahun 9 Bulan 30 Hari</v>
      </c>
      <c r="AA862" s="55" t="s">
        <v>1435</v>
      </c>
      <c r="AB862" s="56">
        <v>36139</v>
      </c>
      <c r="AC862" s="31" t="s">
        <v>3901</v>
      </c>
      <c r="AD862" s="57" t="str">
        <f t="shared" ca="1" si="56"/>
        <v xml:space="preserve">26 Tahun 10 Bulan </v>
      </c>
      <c r="AE862" s="33" t="s">
        <v>1124</v>
      </c>
      <c r="AF862" s="71"/>
      <c r="AG862" s="58" t="s">
        <v>3811</v>
      </c>
      <c r="AH862" s="58"/>
      <c r="AI862" s="58"/>
      <c r="AJ862" s="58"/>
      <c r="AK862" s="85"/>
      <c r="AL862" s="36"/>
    </row>
    <row r="863" spans="1:39" ht="14.45" customHeight="1" x14ac:dyDescent="0.25">
      <c r="A863" s="115">
        <v>10</v>
      </c>
      <c r="B863" s="78">
        <v>1405</v>
      </c>
      <c r="C863" s="50" t="s">
        <v>6178</v>
      </c>
      <c r="D863" s="20" t="s">
        <v>3902</v>
      </c>
      <c r="E863" s="22" t="s">
        <v>56</v>
      </c>
      <c r="F863" s="58" t="s">
        <v>238</v>
      </c>
      <c r="G863" s="33" t="s">
        <v>3872</v>
      </c>
      <c r="H863" s="58" t="s">
        <v>1078</v>
      </c>
      <c r="I863" s="58" t="s">
        <v>44</v>
      </c>
      <c r="J863" s="58" t="s">
        <v>3887</v>
      </c>
      <c r="K863" s="22"/>
      <c r="L863" s="25"/>
      <c r="M863" s="26"/>
      <c r="N863" s="26"/>
      <c r="O863" s="27"/>
      <c r="P863" s="53"/>
      <c r="Q863" s="29"/>
      <c r="R863" s="26"/>
      <c r="S863" s="23" t="s">
        <v>3816</v>
      </c>
      <c r="T863" s="33"/>
      <c r="U863" s="33"/>
      <c r="V863" s="33"/>
      <c r="W863" s="77">
        <v>45383</v>
      </c>
      <c r="X863" s="30">
        <v>44197</v>
      </c>
      <c r="Y863" s="30">
        <v>44197</v>
      </c>
      <c r="Z863" s="31" t="str">
        <f t="shared" ca="1" si="59"/>
        <v>4 Tahun 9 Bulan 30 Hari</v>
      </c>
      <c r="AA863" s="31" t="s">
        <v>437</v>
      </c>
      <c r="AB863" s="32">
        <v>34783</v>
      </c>
      <c r="AC863" s="31" t="s">
        <v>3903</v>
      </c>
      <c r="AD863" s="22" t="str">
        <f t="shared" ca="1" si="56"/>
        <v xml:space="preserve">30 Tahun 7 Bulan </v>
      </c>
      <c r="AE863" s="33" t="s">
        <v>1124</v>
      </c>
      <c r="AF863" s="34"/>
      <c r="AG863" s="58" t="s">
        <v>3811</v>
      </c>
      <c r="AH863" s="22"/>
      <c r="AI863" s="22"/>
      <c r="AJ863" s="22"/>
      <c r="AK863" s="33"/>
      <c r="AL863" s="36"/>
    </row>
    <row r="864" spans="1:39" ht="14.45" customHeight="1" x14ac:dyDescent="0.25">
      <c r="A864" s="115">
        <v>11</v>
      </c>
      <c r="B864" s="78"/>
      <c r="C864" s="50" t="s">
        <v>3904</v>
      </c>
      <c r="D864" s="20" t="s">
        <v>3905</v>
      </c>
      <c r="E864" s="22" t="s">
        <v>40</v>
      </c>
      <c r="F864" s="22" t="s">
        <v>41</v>
      </c>
      <c r="G864" s="33" t="s">
        <v>227</v>
      </c>
      <c r="H864" s="22" t="s">
        <v>228</v>
      </c>
      <c r="I864" s="22" t="s">
        <v>44</v>
      </c>
      <c r="J864" s="22" t="s">
        <v>1122</v>
      </c>
      <c r="K864" s="77">
        <v>45870</v>
      </c>
      <c r="L864" s="25"/>
      <c r="M864" s="26"/>
      <c r="N864" s="26"/>
      <c r="O864" s="27"/>
      <c r="P864" s="53"/>
      <c r="Q864" s="29"/>
      <c r="R864" s="26"/>
      <c r="S864" s="23" t="s">
        <v>1126</v>
      </c>
      <c r="T864" s="33"/>
      <c r="U864" s="33"/>
      <c r="V864" s="33"/>
      <c r="W864" s="77">
        <v>42064</v>
      </c>
      <c r="X864" s="30">
        <v>45108</v>
      </c>
      <c r="Y864" s="30">
        <v>45110</v>
      </c>
      <c r="Z864" s="55" t="str">
        <f ca="1">DATEDIF(W864,TODAY(),"y")&amp;" Tahun "&amp;DATEDIF(W864,TODAY(),"ym")&amp;" Bulan "&amp;DATEDIF(W864,TODAY(),"md")&amp;" Hari"</f>
        <v>10 Tahun 7 Bulan 30 Hari</v>
      </c>
      <c r="AA864" s="31" t="s">
        <v>1183</v>
      </c>
      <c r="AB864" s="32">
        <v>34461</v>
      </c>
      <c r="AC864" s="31" t="s">
        <v>3906</v>
      </c>
      <c r="AD864" s="22" t="str">
        <f t="shared" ca="1" si="56"/>
        <v xml:space="preserve">31 Tahun 5 Bulan </v>
      </c>
      <c r="AE864" s="33" t="s">
        <v>1124</v>
      </c>
      <c r="AF864" s="34"/>
      <c r="AG864" s="58" t="s">
        <v>3811</v>
      </c>
      <c r="AH864" s="58"/>
      <c r="AI864" s="58"/>
      <c r="AJ864" s="58"/>
      <c r="AK864" s="33" t="s">
        <v>676</v>
      </c>
      <c r="AL864" s="36"/>
    </row>
    <row r="865" spans="1:39" ht="14.45" customHeight="1" x14ac:dyDescent="0.25">
      <c r="A865" s="115">
        <v>12</v>
      </c>
      <c r="B865" s="78"/>
      <c r="C865" s="50" t="s">
        <v>3908</v>
      </c>
      <c r="D865" s="20" t="s">
        <v>3909</v>
      </c>
      <c r="E865" s="58" t="s">
        <v>56</v>
      </c>
      <c r="F865" s="22" t="s">
        <v>41</v>
      </c>
      <c r="G865" s="33" t="s">
        <v>227</v>
      </c>
      <c r="H865" s="22" t="s">
        <v>228</v>
      </c>
      <c r="I865" s="22" t="s">
        <v>44</v>
      </c>
      <c r="J865" s="22" t="s">
        <v>1122</v>
      </c>
      <c r="K865" s="77">
        <v>45017</v>
      </c>
      <c r="L865" s="25"/>
      <c r="M865" s="26"/>
      <c r="N865" s="26"/>
      <c r="O865" s="27"/>
      <c r="P865" s="53"/>
      <c r="Q865" s="29"/>
      <c r="R865" s="26"/>
      <c r="S865" s="23" t="s">
        <v>3878</v>
      </c>
      <c r="T865" s="33"/>
      <c r="U865" s="33"/>
      <c r="V865" s="33"/>
      <c r="W865" s="77">
        <v>40513</v>
      </c>
      <c r="X865" s="30">
        <v>45597</v>
      </c>
      <c r="Y865" s="30">
        <v>45597</v>
      </c>
      <c r="Z865" s="55" t="str">
        <f ca="1">DATEDIF(W865,TODAY(),"y")&amp;" Tahun "&amp;DATEDIF(W865,TODAY(),"ym")&amp;" Bulan "&amp;DATEDIF(W865,TODAY(),"md")&amp;" Hari"</f>
        <v>14 Tahun 10 Bulan 30 Hari</v>
      </c>
      <c r="AA865" s="55" t="s">
        <v>437</v>
      </c>
      <c r="AB865" s="56">
        <v>31544</v>
      </c>
      <c r="AC865" s="31" t="s">
        <v>3910</v>
      </c>
      <c r="AD865" s="57" t="str">
        <f t="shared" ca="1" si="56"/>
        <v xml:space="preserve">39 Tahun 5 Bulan </v>
      </c>
      <c r="AE865" s="33" t="s">
        <v>1124</v>
      </c>
      <c r="AF865" s="71"/>
      <c r="AG865" s="58" t="s">
        <v>3811</v>
      </c>
      <c r="AH865" s="58"/>
      <c r="AI865" s="58"/>
      <c r="AJ865" s="58"/>
      <c r="AK865" s="33"/>
      <c r="AL865" s="22" t="s">
        <v>3860</v>
      </c>
      <c r="AM865" s="14"/>
    </row>
    <row r="866" spans="1:39" ht="14.45" customHeight="1" x14ac:dyDescent="0.25">
      <c r="A866" s="115">
        <v>13</v>
      </c>
      <c r="B866" s="78"/>
      <c r="C866" s="50" t="s">
        <v>5947</v>
      </c>
      <c r="D866" s="20" t="s">
        <v>3912</v>
      </c>
      <c r="E866" s="52" t="s">
        <v>56</v>
      </c>
      <c r="F866" s="22" t="s">
        <v>41</v>
      </c>
      <c r="G866" s="23" t="s">
        <v>137</v>
      </c>
      <c r="H866" s="22" t="s">
        <v>138</v>
      </c>
      <c r="I866" s="22" t="s">
        <v>44</v>
      </c>
      <c r="J866" s="22" t="s">
        <v>1166</v>
      </c>
      <c r="K866" s="24">
        <v>45017</v>
      </c>
      <c r="L866" s="53" t="s">
        <v>3913</v>
      </c>
      <c r="M866" s="26">
        <v>43117</v>
      </c>
      <c r="N866" s="26">
        <v>44976</v>
      </c>
      <c r="O866" s="27" t="s">
        <v>148</v>
      </c>
      <c r="P866" s="28" t="s">
        <v>3914</v>
      </c>
      <c r="Q866" s="29">
        <v>43192</v>
      </c>
      <c r="R866" s="26">
        <v>44976</v>
      </c>
      <c r="S866" s="23" t="s">
        <v>1167</v>
      </c>
      <c r="T866" s="23"/>
      <c r="U866" s="23"/>
      <c r="V866" s="23"/>
      <c r="W866" s="30">
        <v>36586</v>
      </c>
      <c r="X866" s="30">
        <v>36586</v>
      </c>
      <c r="Y866" s="30">
        <v>41518</v>
      </c>
      <c r="Z866" s="55" t="str">
        <f ca="1">DATEDIF(W866,TODAY(),"y")&amp;" Tahun "&amp;DATEDIF(W866,TODAY(),"ym")&amp;" Bulan "&amp;DATEDIF(W866,TODAY(),"md")&amp;" Hari"</f>
        <v>25 Tahun 7 Bulan 30 Hari</v>
      </c>
      <c r="AA866" s="55" t="s">
        <v>260</v>
      </c>
      <c r="AB866" s="56">
        <v>27809</v>
      </c>
      <c r="AC866" s="31" t="s">
        <v>3915</v>
      </c>
      <c r="AD866" s="57" t="str">
        <f t="shared" ca="1" si="56"/>
        <v xml:space="preserve">49 Tahun 8 Bulan </v>
      </c>
      <c r="AE866" s="33" t="s">
        <v>3916</v>
      </c>
      <c r="AF866" s="71"/>
      <c r="AG866" s="58" t="s">
        <v>3811</v>
      </c>
      <c r="AH866" s="58"/>
      <c r="AI866" s="58"/>
      <c r="AJ866" s="58"/>
      <c r="AK866" s="85"/>
      <c r="AL866" s="36"/>
    </row>
    <row r="867" spans="1:39" ht="14.45" customHeight="1" x14ac:dyDescent="0.25">
      <c r="A867" s="115">
        <v>14</v>
      </c>
      <c r="B867" s="78"/>
      <c r="C867" s="50" t="s">
        <v>3917</v>
      </c>
      <c r="D867" s="20">
        <v>2023110714</v>
      </c>
      <c r="E867" s="22" t="s">
        <v>56</v>
      </c>
      <c r="F867" s="22" t="s">
        <v>1063</v>
      </c>
      <c r="G867" s="90" t="s">
        <v>3872</v>
      </c>
      <c r="H867" s="22" t="s">
        <v>3872</v>
      </c>
      <c r="I867" s="22"/>
      <c r="J867" s="22"/>
      <c r="K867" s="77"/>
      <c r="L867" s="25"/>
      <c r="M867" s="26"/>
      <c r="N867" s="26"/>
      <c r="O867" s="27"/>
      <c r="P867" s="53"/>
      <c r="Q867" s="29"/>
      <c r="R867" s="26"/>
      <c r="S867" s="23" t="s">
        <v>3918</v>
      </c>
      <c r="T867" s="33"/>
      <c r="U867" s="33"/>
      <c r="V867" s="33"/>
      <c r="W867" s="77"/>
      <c r="X867" s="30">
        <v>45261</v>
      </c>
      <c r="Y867" s="30">
        <v>45261</v>
      </c>
      <c r="Z867" s="31" t="str">
        <f t="shared" ref="Z867:Z872" ca="1" si="60">DATEDIF(X867,TODAY(),"y")&amp;" Tahun "&amp;DATEDIF(X867,TODAY(),"ym")&amp;" Bulan "&amp;DATEDIF(X867,TODAY(),"md")&amp;" Hari"</f>
        <v>1 Tahun 10 Bulan 30 Hari</v>
      </c>
      <c r="AA867" s="31" t="s">
        <v>1527</v>
      </c>
      <c r="AB867" s="32">
        <v>35333</v>
      </c>
      <c r="AC867" s="31" t="s">
        <v>3919</v>
      </c>
      <c r="AD867" s="22" t="str">
        <f t="shared" ca="1" si="56"/>
        <v xml:space="preserve">29 Tahun 1 Bulan </v>
      </c>
      <c r="AE867" s="33" t="s">
        <v>3897</v>
      </c>
      <c r="AF867" s="71"/>
      <c r="AG867" s="58" t="s">
        <v>3811</v>
      </c>
      <c r="AH867" s="22"/>
      <c r="AI867" s="22"/>
      <c r="AJ867" s="22"/>
      <c r="AK867" s="33"/>
      <c r="AL867" s="36"/>
    </row>
    <row r="868" spans="1:39" ht="14.45" customHeight="1" x14ac:dyDescent="0.25">
      <c r="A868" s="115">
        <v>15</v>
      </c>
      <c r="B868" s="18"/>
      <c r="C868" s="50" t="s">
        <v>5948</v>
      </c>
      <c r="D868" s="20" t="s">
        <v>3920</v>
      </c>
      <c r="E868" s="21" t="s">
        <v>56</v>
      </c>
      <c r="F868" s="22" t="s">
        <v>192</v>
      </c>
      <c r="G868" s="23" t="s">
        <v>193</v>
      </c>
      <c r="H868" s="22" t="s">
        <v>194</v>
      </c>
      <c r="I868" s="22" t="s">
        <v>155</v>
      </c>
      <c r="J868" s="22" t="s">
        <v>3893</v>
      </c>
      <c r="K868" s="24" t="s">
        <v>195</v>
      </c>
      <c r="L868" s="22"/>
      <c r="M868" s="22"/>
      <c r="N868" s="22"/>
      <c r="O868" s="22"/>
      <c r="P868" s="22"/>
      <c r="Q868" s="22"/>
      <c r="R868" s="22"/>
      <c r="S868" s="23" t="s">
        <v>3921</v>
      </c>
      <c r="T868" s="23"/>
      <c r="U868" s="23"/>
      <c r="V868" s="23"/>
      <c r="W868" s="69">
        <v>45809</v>
      </c>
      <c r="X868" s="69">
        <v>45810</v>
      </c>
      <c r="Y868" s="69">
        <v>45810</v>
      </c>
      <c r="Z868" s="31" t="str">
        <f t="shared" ca="1" si="60"/>
        <v>0 Tahun 4 Bulan 29 Hari</v>
      </c>
      <c r="AA868" s="23" t="s">
        <v>3922</v>
      </c>
      <c r="AB868" s="32">
        <v>37167</v>
      </c>
      <c r="AC868" s="32" t="s">
        <v>3923</v>
      </c>
      <c r="AD868" s="22" t="str">
        <f t="shared" ca="1" si="56"/>
        <v xml:space="preserve">24 Tahun 0 Bulan </v>
      </c>
      <c r="AE868" s="23" t="s">
        <v>3897</v>
      </c>
      <c r="AF868" s="34"/>
      <c r="AG868" s="58" t="s">
        <v>3811</v>
      </c>
      <c r="AH868" s="22"/>
      <c r="AI868" s="22"/>
      <c r="AJ868" s="22"/>
      <c r="AK868" s="33"/>
      <c r="AL868" s="36"/>
    </row>
    <row r="869" spans="1:39" ht="14.45" customHeight="1" x14ac:dyDescent="0.25">
      <c r="A869" s="115">
        <v>16</v>
      </c>
      <c r="B869" s="18"/>
      <c r="C869" s="50" t="s">
        <v>5949</v>
      </c>
      <c r="D869" s="20" t="s">
        <v>3924</v>
      </c>
      <c r="E869" s="21" t="s">
        <v>56</v>
      </c>
      <c r="F869" s="22" t="s">
        <v>192</v>
      </c>
      <c r="G869" s="23" t="s">
        <v>193</v>
      </c>
      <c r="H869" s="22" t="s">
        <v>194</v>
      </c>
      <c r="I869" s="22" t="s">
        <v>155</v>
      </c>
      <c r="J869" s="22" t="s">
        <v>3854</v>
      </c>
      <c r="K869" s="24" t="s">
        <v>195</v>
      </c>
      <c r="L869" s="22"/>
      <c r="M869" s="22"/>
      <c r="N869" s="22"/>
      <c r="O869" s="22"/>
      <c r="P869" s="22"/>
      <c r="Q869" s="22"/>
      <c r="R869" s="22"/>
      <c r="S869" s="23" t="s">
        <v>3925</v>
      </c>
      <c r="T869" s="23"/>
      <c r="U869" s="23"/>
      <c r="V869" s="23"/>
      <c r="W869" s="69">
        <v>45809</v>
      </c>
      <c r="X869" s="69">
        <v>45810</v>
      </c>
      <c r="Y869" s="69">
        <v>45810</v>
      </c>
      <c r="Z869" s="31" t="str">
        <f t="shared" ca="1" si="60"/>
        <v>0 Tahun 4 Bulan 29 Hari</v>
      </c>
      <c r="AA869" s="23" t="s">
        <v>1917</v>
      </c>
      <c r="AB869" s="32">
        <v>36216</v>
      </c>
      <c r="AC869" s="32" t="s">
        <v>3926</v>
      </c>
      <c r="AD869" s="22" t="str">
        <f t="shared" ca="1" si="56"/>
        <v xml:space="preserve">26 Tahun 8 Bulan </v>
      </c>
      <c r="AE869" s="23" t="s">
        <v>1124</v>
      </c>
      <c r="AF869" s="34"/>
      <c r="AG869" s="58" t="s">
        <v>3811</v>
      </c>
      <c r="AH869" s="22"/>
      <c r="AI869" s="22"/>
      <c r="AJ869" s="22"/>
      <c r="AK869" s="33" t="s">
        <v>676</v>
      </c>
      <c r="AL869" s="36"/>
    </row>
    <row r="870" spans="1:39" ht="14.45" customHeight="1" x14ac:dyDescent="0.25">
      <c r="A870" s="115">
        <v>17</v>
      </c>
      <c r="B870" s="18"/>
      <c r="C870" s="50" t="s">
        <v>5950</v>
      </c>
      <c r="D870" s="20" t="s">
        <v>3927</v>
      </c>
      <c r="E870" s="21" t="s">
        <v>40</v>
      </c>
      <c r="F870" s="22" t="s">
        <v>192</v>
      </c>
      <c r="G870" s="23" t="s">
        <v>193</v>
      </c>
      <c r="H870" s="22" t="s">
        <v>194</v>
      </c>
      <c r="I870" s="22" t="s">
        <v>155</v>
      </c>
      <c r="J870" s="22" t="s">
        <v>3854</v>
      </c>
      <c r="K870" s="24" t="s">
        <v>195</v>
      </c>
      <c r="L870" s="22"/>
      <c r="M870" s="22"/>
      <c r="N870" s="22"/>
      <c r="O870" s="22"/>
      <c r="P870" s="22"/>
      <c r="Q870" s="22"/>
      <c r="R870" s="22"/>
      <c r="S870" s="23" t="s">
        <v>3925</v>
      </c>
      <c r="T870" s="23"/>
      <c r="U870" s="23"/>
      <c r="V870" s="23"/>
      <c r="W870" s="69">
        <v>45809</v>
      </c>
      <c r="X870" s="69">
        <v>45810</v>
      </c>
      <c r="Y870" s="69">
        <v>45810</v>
      </c>
      <c r="Z870" s="31" t="str">
        <f t="shared" ca="1" si="60"/>
        <v>0 Tahun 4 Bulan 29 Hari</v>
      </c>
      <c r="AA870" s="23" t="s">
        <v>3928</v>
      </c>
      <c r="AB870" s="32">
        <v>36597</v>
      </c>
      <c r="AC870" s="32" t="s">
        <v>3929</v>
      </c>
      <c r="AD870" s="22" t="str">
        <f t="shared" ca="1" si="56"/>
        <v xml:space="preserve">25 Tahun 7 Bulan </v>
      </c>
      <c r="AE870" s="23" t="s">
        <v>1124</v>
      </c>
      <c r="AF870" s="34"/>
      <c r="AG870" s="58" t="s">
        <v>3811</v>
      </c>
      <c r="AH870" s="22"/>
      <c r="AI870" s="22"/>
      <c r="AJ870" s="22"/>
      <c r="AK870" s="33" t="s">
        <v>3885</v>
      </c>
      <c r="AL870" s="36"/>
    </row>
    <row r="871" spans="1:39" ht="14.45" customHeight="1" x14ac:dyDescent="0.25">
      <c r="A871" s="115">
        <v>18</v>
      </c>
      <c r="B871" s="18"/>
      <c r="C871" s="50" t="s">
        <v>5951</v>
      </c>
      <c r="D871" s="20" t="s">
        <v>3930</v>
      </c>
      <c r="E871" s="21" t="s">
        <v>40</v>
      </c>
      <c r="F871" s="22" t="s">
        <v>192</v>
      </c>
      <c r="G871" s="23" t="s">
        <v>193</v>
      </c>
      <c r="H871" s="22" t="s">
        <v>194</v>
      </c>
      <c r="I871" s="22" t="s">
        <v>155</v>
      </c>
      <c r="J871" s="22" t="s">
        <v>3854</v>
      </c>
      <c r="K871" s="24" t="s">
        <v>195</v>
      </c>
      <c r="L871" s="22"/>
      <c r="M871" s="22"/>
      <c r="N871" s="22"/>
      <c r="O871" s="22"/>
      <c r="P871" s="22"/>
      <c r="Q871" s="22"/>
      <c r="R871" s="22"/>
      <c r="S871" s="23" t="s">
        <v>3925</v>
      </c>
      <c r="T871" s="23"/>
      <c r="U871" s="23"/>
      <c r="V871" s="23"/>
      <c r="W871" s="69">
        <v>45809</v>
      </c>
      <c r="X871" s="69">
        <v>45810</v>
      </c>
      <c r="Y871" s="69">
        <v>45810</v>
      </c>
      <c r="Z871" s="31" t="str">
        <f t="shared" ca="1" si="60"/>
        <v>0 Tahun 4 Bulan 29 Hari</v>
      </c>
      <c r="AA871" s="23" t="s">
        <v>806</v>
      </c>
      <c r="AB871" s="32">
        <v>36639</v>
      </c>
      <c r="AC871" s="32" t="s">
        <v>3931</v>
      </c>
      <c r="AD871" s="22" t="str">
        <f t="shared" ca="1" si="56"/>
        <v xml:space="preserve">25 Tahun 6 Bulan </v>
      </c>
      <c r="AE871" s="23" t="s">
        <v>1124</v>
      </c>
      <c r="AF871" s="34"/>
      <c r="AG871" s="58" t="s">
        <v>3811</v>
      </c>
      <c r="AH871" s="58"/>
      <c r="AI871" s="58"/>
      <c r="AJ871" s="58"/>
      <c r="AK871" s="33" t="s">
        <v>314</v>
      </c>
      <c r="AL871" s="36"/>
    </row>
    <row r="872" spans="1:39" ht="14.45" customHeight="1" x14ac:dyDescent="0.25">
      <c r="A872" s="115">
        <v>19</v>
      </c>
      <c r="B872" s="18"/>
      <c r="C872" s="50" t="s">
        <v>5952</v>
      </c>
      <c r="D872" s="20" t="s">
        <v>3932</v>
      </c>
      <c r="E872" s="21" t="s">
        <v>56</v>
      </c>
      <c r="F872" s="22" t="s">
        <v>192</v>
      </c>
      <c r="G872" s="23" t="s">
        <v>193</v>
      </c>
      <c r="H872" s="22" t="s">
        <v>194</v>
      </c>
      <c r="I872" s="22" t="s">
        <v>155</v>
      </c>
      <c r="J872" s="22" t="s">
        <v>3854</v>
      </c>
      <c r="K872" s="24" t="s">
        <v>195</v>
      </c>
      <c r="L872" s="22"/>
      <c r="M872" s="22"/>
      <c r="N872" s="22"/>
      <c r="O872" s="22"/>
      <c r="P872" s="22"/>
      <c r="Q872" s="22"/>
      <c r="R872" s="22"/>
      <c r="S872" s="23" t="s">
        <v>3925</v>
      </c>
      <c r="T872" s="23"/>
      <c r="U872" s="23"/>
      <c r="V872" s="23"/>
      <c r="W872" s="69">
        <v>45809</v>
      </c>
      <c r="X872" s="69">
        <v>45810</v>
      </c>
      <c r="Y872" s="69">
        <v>45810</v>
      </c>
      <c r="Z872" s="31" t="str">
        <f t="shared" ca="1" si="60"/>
        <v>0 Tahun 4 Bulan 29 Hari</v>
      </c>
      <c r="AA872" s="23" t="s">
        <v>806</v>
      </c>
      <c r="AB872" s="32">
        <v>36167</v>
      </c>
      <c r="AC872" s="32" t="s">
        <v>3933</v>
      </c>
      <c r="AD872" s="22" t="str">
        <f t="shared" ref="AD872:AD935" ca="1" si="61">DATEDIF(AB872,TODAY(),"y")&amp;" Tahun "&amp;DATEDIF(AB872,TODAY(),"ym")&amp;" Bulan "</f>
        <v xml:space="preserve">26 Tahun 9 Bulan </v>
      </c>
      <c r="AE872" s="23" t="s">
        <v>1124</v>
      </c>
      <c r="AF872" s="34"/>
      <c r="AG872" s="58" t="s">
        <v>3811</v>
      </c>
      <c r="AH872" s="58"/>
      <c r="AI872" s="58"/>
      <c r="AJ872" s="58"/>
      <c r="AK872" s="33" t="s">
        <v>314</v>
      </c>
      <c r="AL872" s="36"/>
    </row>
    <row r="873" spans="1:39" ht="14.45" customHeight="1" x14ac:dyDescent="0.25">
      <c r="A873" s="115">
        <v>20</v>
      </c>
      <c r="B873" s="78"/>
      <c r="C873" s="50" t="s">
        <v>5953</v>
      </c>
      <c r="D873" s="137" t="s">
        <v>3934</v>
      </c>
      <c r="E873" s="21" t="s">
        <v>40</v>
      </c>
      <c r="F873" s="22" t="s">
        <v>41</v>
      </c>
      <c r="G873" s="23" t="s">
        <v>102</v>
      </c>
      <c r="H873" s="22" t="s">
        <v>103</v>
      </c>
      <c r="I873" s="22" t="s">
        <v>44</v>
      </c>
      <c r="J873" s="22" t="s">
        <v>1166</v>
      </c>
      <c r="K873" s="24">
        <v>45566</v>
      </c>
      <c r="L873" s="53" t="s">
        <v>3935</v>
      </c>
      <c r="M873" s="26">
        <v>43297</v>
      </c>
      <c r="N873" s="26">
        <v>45280</v>
      </c>
      <c r="O873" s="40" t="s">
        <v>1155</v>
      </c>
      <c r="P873" s="28" t="s">
        <v>3936</v>
      </c>
      <c r="Q873" s="29">
        <v>42212</v>
      </c>
      <c r="R873" s="26">
        <v>43454</v>
      </c>
      <c r="S873" s="33" t="s">
        <v>1164</v>
      </c>
      <c r="T873" s="33"/>
      <c r="U873" s="33"/>
      <c r="V873" s="33"/>
      <c r="W873" s="95">
        <v>41244</v>
      </c>
      <c r="X873" s="30">
        <v>41334</v>
      </c>
      <c r="Y873" s="30">
        <v>42339</v>
      </c>
      <c r="Z873" s="31" t="str">
        <f ca="1">DATEDIF(W873,TODAY(),"y")&amp;" Tahun "&amp;DATEDIF(W873,TODAY(),"ym")&amp;" Bulan "&amp;DATEDIF(W873,TODAY(),"md")&amp;" Hari"</f>
        <v>12 Tahun 10 Bulan 30 Hari</v>
      </c>
      <c r="AA873" s="31" t="s">
        <v>294</v>
      </c>
      <c r="AB873" s="32">
        <v>33166</v>
      </c>
      <c r="AC873" s="31" t="s">
        <v>3937</v>
      </c>
      <c r="AD873" s="22" t="str">
        <f t="shared" ca="1" si="61"/>
        <v xml:space="preserve">35 Tahun 0 Bulan </v>
      </c>
      <c r="AE873" s="33" t="s">
        <v>1106</v>
      </c>
      <c r="AF873" s="34"/>
      <c r="AG873" s="22" t="s">
        <v>2040</v>
      </c>
      <c r="AH873" s="58"/>
      <c r="AI873" s="58"/>
      <c r="AJ873" s="58"/>
      <c r="AK873" s="33" t="s">
        <v>308</v>
      </c>
      <c r="AL873" s="36"/>
    </row>
    <row r="874" spans="1:39" ht="14.45" customHeight="1" x14ac:dyDescent="0.25">
      <c r="A874" s="115">
        <v>21</v>
      </c>
      <c r="B874" s="78">
        <v>1394</v>
      </c>
      <c r="C874" s="50" t="s">
        <v>5954</v>
      </c>
      <c r="D874" s="20" t="s">
        <v>3938</v>
      </c>
      <c r="E874" s="58" t="s">
        <v>40</v>
      </c>
      <c r="F874" s="22" t="s">
        <v>41</v>
      </c>
      <c r="G874" s="23" t="s">
        <v>227</v>
      </c>
      <c r="H874" s="22" t="s">
        <v>228</v>
      </c>
      <c r="I874" s="60" t="s">
        <v>44</v>
      </c>
      <c r="J874" s="22" t="s">
        <v>1148</v>
      </c>
      <c r="K874" s="24">
        <v>45200</v>
      </c>
      <c r="L874" s="25"/>
      <c r="M874" s="26"/>
      <c r="N874" s="26"/>
      <c r="O874" s="27"/>
      <c r="P874" s="28"/>
      <c r="Q874" s="29"/>
      <c r="R874" s="26"/>
      <c r="S874" s="23" t="s">
        <v>84</v>
      </c>
      <c r="T874" s="23"/>
      <c r="U874" s="23"/>
      <c r="V874" s="23"/>
      <c r="W874" s="30">
        <v>44166</v>
      </c>
      <c r="X874" s="30">
        <v>44197</v>
      </c>
      <c r="Y874" s="30">
        <v>44197</v>
      </c>
      <c r="Z874" s="55" t="str">
        <f ca="1">DATEDIF(X874,TODAY(),"y")&amp;" Tahun "&amp;DATEDIF(X874,TODAY(),"ym")&amp;" Bulan "&amp;DATEDIF(X874,TODAY(),"md")&amp;" Hari"</f>
        <v>4 Tahun 9 Bulan 30 Hari</v>
      </c>
      <c r="AA874" s="55" t="s">
        <v>1183</v>
      </c>
      <c r="AB874" s="56">
        <v>31933</v>
      </c>
      <c r="AC874" s="32" t="s">
        <v>3939</v>
      </c>
      <c r="AD874" s="57" t="str">
        <f t="shared" ca="1" si="61"/>
        <v xml:space="preserve">38 Tahun 4 Bulan </v>
      </c>
      <c r="AE874" s="33" t="s">
        <v>1106</v>
      </c>
      <c r="AF874" s="34"/>
      <c r="AG874" s="22" t="s">
        <v>2040</v>
      </c>
      <c r="AH874" s="58"/>
      <c r="AI874" s="58"/>
      <c r="AJ874" s="58"/>
      <c r="AK874" s="33" t="s">
        <v>485</v>
      </c>
      <c r="AL874" s="22"/>
    </row>
    <row r="875" spans="1:39" ht="14.45" customHeight="1" x14ac:dyDescent="0.25">
      <c r="A875" s="115">
        <v>22</v>
      </c>
      <c r="B875" s="78">
        <v>1378</v>
      </c>
      <c r="C875" s="50" t="s">
        <v>5955</v>
      </c>
      <c r="D875" s="20" t="s">
        <v>3940</v>
      </c>
      <c r="E875" s="22" t="s">
        <v>40</v>
      </c>
      <c r="F875" s="22" t="s">
        <v>41</v>
      </c>
      <c r="G875" s="23" t="s">
        <v>227</v>
      </c>
      <c r="H875" s="22" t="s">
        <v>228</v>
      </c>
      <c r="I875" s="60" t="s">
        <v>44</v>
      </c>
      <c r="J875" s="22" t="s">
        <v>1148</v>
      </c>
      <c r="K875" s="24">
        <v>45505</v>
      </c>
      <c r="L875" s="25"/>
      <c r="M875" s="26"/>
      <c r="N875" s="26"/>
      <c r="O875" s="27"/>
      <c r="P875" s="28"/>
      <c r="Q875" s="29"/>
      <c r="R875" s="26"/>
      <c r="S875" s="23" t="s">
        <v>84</v>
      </c>
      <c r="T875" s="23"/>
      <c r="U875" s="23"/>
      <c r="V875" s="23"/>
      <c r="W875" s="30">
        <v>44166</v>
      </c>
      <c r="X875" s="30">
        <v>44197</v>
      </c>
      <c r="Y875" s="30">
        <v>44197</v>
      </c>
      <c r="Z875" s="31" t="str">
        <f ca="1">DATEDIF(X875,TODAY(),"y")&amp;" Tahun "&amp;DATEDIF(X875,TODAY(),"ym")&amp;" Bulan "&amp;DATEDIF(X875,TODAY(),"md")&amp;" Hari"</f>
        <v>4 Tahun 9 Bulan 30 Hari</v>
      </c>
      <c r="AA875" s="31" t="s">
        <v>3754</v>
      </c>
      <c r="AB875" s="32">
        <v>33389</v>
      </c>
      <c r="AC875" s="32" t="s">
        <v>3941</v>
      </c>
      <c r="AD875" s="22" t="str">
        <f t="shared" ca="1" si="61"/>
        <v xml:space="preserve">34 Tahun 5 Bulan </v>
      </c>
      <c r="AE875" s="33" t="s">
        <v>1106</v>
      </c>
      <c r="AF875" s="34"/>
      <c r="AG875" s="22" t="s">
        <v>2040</v>
      </c>
      <c r="AH875" s="22"/>
      <c r="AI875" s="22"/>
      <c r="AJ875" s="22"/>
      <c r="AK875" s="33" t="s">
        <v>485</v>
      </c>
      <c r="AL875" s="22"/>
    </row>
    <row r="876" spans="1:39" ht="14.45" customHeight="1" x14ac:dyDescent="0.25">
      <c r="A876" s="115">
        <v>23</v>
      </c>
      <c r="B876" s="78"/>
      <c r="C876" s="50" t="s">
        <v>5956</v>
      </c>
      <c r="D876" s="20" t="s">
        <v>3942</v>
      </c>
      <c r="E876" s="21" t="s">
        <v>56</v>
      </c>
      <c r="F876" s="22" t="s">
        <v>41</v>
      </c>
      <c r="G876" s="33" t="s">
        <v>137</v>
      </c>
      <c r="H876" s="22" t="s">
        <v>138</v>
      </c>
      <c r="I876" s="22" t="s">
        <v>44</v>
      </c>
      <c r="J876" s="22" t="s">
        <v>1166</v>
      </c>
      <c r="K876" s="24">
        <v>43252</v>
      </c>
      <c r="L876" s="25" t="s">
        <v>3943</v>
      </c>
      <c r="M876" s="26">
        <v>42641</v>
      </c>
      <c r="N876" s="26">
        <v>44474</v>
      </c>
      <c r="O876" s="27" t="s">
        <v>148</v>
      </c>
      <c r="P876" s="53" t="s">
        <v>3944</v>
      </c>
      <c r="Q876" s="26">
        <v>43034</v>
      </c>
      <c r="R876" s="26">
        <v>44474</v>
      </c>
      <c r="S876" s="23" t="s">
        <v>1172</v>
      </c>
      <c r="T876" s="23"/>
      <c r="U876" s="23"/>
      <c r="V876" s="23"/>
      <c r="W876" s="30">
        <v>37956</v>
      </c>
      <c r="X876" s="30">
        <v>37956</v>
      </c>
      <c r="Y876" s="30">
        <v>42339</v>
      </c>
      <c r="Z876" s="31" t="str">
        <f ca="1">DATEDIF(W876,TODAY(),"y")&amp;" Tahun "&amp;DATEDIF(W876,TODAY(),"ym")&amp;" Bulan "&amp;DATEDIF(W876,TODAY(),"md")&amp;" Hari"</f>
        <v>21 Tahun 10 Bulan 30 Hari</v>
      </c>
      <c r="AA876" s="31" t="s">
        <v>50</v>
      </c>
      <c r="AB876" s="32">
        <v>28403</v>
      </c>
      <c r="AC876" s="32" t="s">
        <v>3945</v>
      </c>
      <c r="AD876" s="22" t="str">
        <f t="shared" ca="1" si="61"/>
        <v xml:space="preserve">48 Tahun 0 Bulan </v>
      </c>
      <c r="AE876" s="33" t="s">
        <v>1106</v>
      </c>
      <c r="AF876" s="34"/>
      <c r="AG876" s="22" t="s">
        <v>2040</v>
      </c>
      <c r="AH876" s="22"/>
      <c r="AI876" s="22"/>
      <c r="AJ876" s="22"/>
      <c r="AK876" s="33" t="s">
        <v>3907</v>
      </c>
      <c r="AL876" s="22"/>
    </row>
    <row r="877" spans="1:39" ht="14.45" customHeight="1" x14ac:dyDescent="0.25">
      <c r="A877" s="115">
        <v>24</v>
      </c>
      <c r="B877" s="78"/>
      <c r="C877" s="50" t="s">
        <v>3946</v>
      </c>
      <c r="D877" s="20" t="s">
        <v>3947</v>
      </c>
      <c r="E877" s="58" t="s">
        <v>56</v>
      </c>
      <c r="F877" s="22" t="s">
        <v>41</v>
      </c>
      <c r="G877" s="23" t="s">
        <v>137</v>
      </c>
      <c r="H877" s="22" t="s">
        <v>138</v>
      </c>
      <c r="I877" s="22" t="s">
        <v>44</v>
      </c>
      <c r="J877" s="22" t="s">
        <v>1148</v>
      </c>
      <c r="K877" s="24">
        <v>45323</v>
      </c>
      <c r="L877" s="53" t="s">
        <v>3948</v>
      </c>
      <c r="M877" s="26">
        <v>43117</v>
      </c>
      <c r="N877" s="26">
        <v>45178</v>
      </c>
      <c r="O877" s="27" t="s">
        <v>148</v>
      </c>
      <c r="P877" s="53" t="s">
        <v>3949</v>
      </c>
      <c r="Q877" s="26">
        <v>43367</v>
      </c>
      <c r="R877" s="26">
        <v>45178</v>
      </c>
      <c r="S877" s="33" t="s">
        <v>84</v>
      </c>
      <c r="T877" s="33">
        <v>2021</v>
      </c>
      <c r="U877" s="33"/>
      <c r="V877" s="33"/>
      <c r="W877" s="30">
        <v>39783</v>
      </c>
      <c r="X877" s="30">
        <v>39845</v>
      </c>
      <c r="Y877" s="22"/>
      <c r="Z877" s="55" t="str">
        <f ca="1">DATEDIF(W877,TODAY(),"y")&amp;" Tahun "&amp;DATEDIF(W877,TODAY(),"ym")&amp;" Bulan "&amp;DATEDIF(W877,TODAY(),"md")&amp;" Hari"</f>
        <v>16 Tahun 10 Bulan 30 Hari</v>
      </c>
      <c r="AA877" s="55" t="s">
        <v>471</v>
      </c>
      <c r="AB877" s="56">
        <v>31299</v>
      </c>
      <c r="AC877" s="31" t="s">
        <v>3950</v>
      </c>
      <c r="AD877" s="57" t="str">
        <f t="shared" ca="1" si="61"/>
        <v xml:space="preserve">40 Tahun 1 Bulan </v>
      </c>
      <c r="AE877" s="33" t="s">
        <v>1106</v>
      </c>
      <c r="AF877" s="34"/>
      <c r="AG877" s="22" t="s">
        <v>2040</v>
      </c>
      <c r="AH877" s="58"/>
      <c r="AI877" s="58"/>
      <c r="AJ877" s="87"/>
      <c r="AK877" s="61" t="s">
        <v>3911</v>
      </c>
      <c r="AL877" s="22"/>
    </row>
    <row r="878" spans="1:39" ht="14.45" customHeight="1" x14ac:dyDescent="0.25">
      <c r="A878" s="115">
        <v>25</v>
      </c>
      <c r="B878" s="78"/>
      <c r="C878" s="50" t="s">
        <v>3951</v>
      </c>
      <c r="D878" s="20" t="s">
        <v>3952</v>
      </c>
      <c r="E878" s="21" t="s">
        <v>56</v>
      </c>
      <c r="F878" s="22" t="s">
        <v>41</v>
      </c>
      <c r="G878" s="33" t="s">
        <v>137</v>
      </c>
      <c r="H878" s="22" t="s">
        <v>138</v>
      </c>
      <c r="I878" s="22" t="s">
        <v>44</v>
      </c>
      <c r="J878" s="22" t="s">
        <v>1166</v>
      </c>
      <c r="K878" s="24">
        <v>45200</v>
      </c>
      <c r="L878" s="25" t="s">
        <v>3953</v>
      </c>
      <c r="M878" s="26">
        <v>42926</v>
      </c>
      <c r="N878" s="26">
        <v>44580</v>
      </c>
      <c r="O878" s="27" t="s">
        <v>1155</v>
      </c>
      <c r="P878" s="53" t="s">
        <v>3954</v>
      </c>
      <c r="Q878" s="29">
        <v>43052</v>
      </c>
      <c r="R878" s="26">
        <v>44580</v>
      </c>
      <c r="S878" s="23" t="s">
        <v>1172</v>
      </c>
      <c r="T878" s="23"/>
      <c r="U878" s="23"/>
      <c r="V878" s="23"/>
      <c r="W878" s="30">
        <v>39783</v>
      </c>
      <c r="X878" s="30">
        <v>39845</v>
      </c>
      <c r="Y878" s="30">
        <v>39904</v>
      </c>
      <c r="Z878" s="31" t="str">
        <f ca="1">DATEDIF(W878,TODAY(),"y")&amp;" Tahun "&amp;DATEDIF(W878,TODAY(),"ym")&amp;" Bulan "&amp;DATEDIF(W878,TODAY(),"md")&amp;" Hari"</f>
        <v>16 Tahun 10 Bulan 30 Hari</v>
      </c>
      <c r="AA878" s="31" t="s">
        <v>1279</v>
      </c>
      <c r="AB878" s="32">
        <v>31796</v>
      </c>
      <c r="AC878" s="31" t="s">
        <v>3955</v>
      </c>
      <c r="AD878" s="22" t="str">
        <f t="shared" ca="1" si="61"/>
        <v xml:space="preserve">38 Tahun 9 Bulan </v>
      </c>
      <c r="AE878" s="33" t="s">
        <v>1106</v>
      </c>
      <c r="AF878" s="197" t="s">
        <v>3956</v>
      </c>
      <c r="AG878" s="22" t="s">
        <v>2040</v>
      </c>
      <c r="AH878" s="58"/>
      <c r="AI878" s="58"/>
      <c r="AJ878" s="87"/>
      <c r="AK878" s="61"/>
      <c r="AL878" s="36"/>
    </row>
    <row r="879" spans="1:39" ht="14.45" customHeight="1" x14ac:dyDescent="0.25">
      <c r="A879" s="115">
        <v>26</v>
      </c>
      <c r="B879" s="18"/>
      <c r="C879" s="50" t="s">
        <v>3957</v>
      </c>
      <c r="D879" s="137" t="s">
        <v>3958</v>
      </c>
      <c r="E879" s="52" t="s">
        <v>56</v>
      </c>
      <c r="F879" s="58" t="s">
        <v>41</v>
      </c>
      <c r="G879" s="23" t="s">
        <v>102</v>
      </c>
      <c r="H879" s="22" t="s">
        <v>103</v>
      </c>
      <c r="I879" s="22" t="s">
        <v>44</v>
      </c>
      <c r="J879" s="22" t="s">
        <v>1166</v>
      </c>
      <c r="K879" s="24">
        <v>45566</v>
      </c>
      <c r="L879" s="25" t="s">
        <v>3959</v>
      </c>
      <c r="M879" s="26">
        <v>42290</v>
      </c>
      <c r="N879" s="26">
        <v>44048</v>
      </c>
      <c r="O879" s="27" t="s">
        <v>148</v>
      </c>
      <c r="P879" s="28" t="s">
        <v>3960</v>
      </c>
      <c r="Q879" s="29">
        <v>42583</v>
      </c>
      <c r="R879" s="26">
        <v>44048</v>
      </c>
      <c r="S879" s="33" t="s">
        <v>1172</v>
      </c>
      <c r="T879" s="33"/>
      <c r="U879" s="33"/>
      <c r="V879" s="33"/>
      <c r="W879" s="95">
        <v>41244</v>
      </c>
      <c r="X879" s="22"/>
      <c r="Y879" s="30">
        <v>41352</v>
      </c>
      <c r="Z879" s="55" t="str">
        <f ca="1">DATEDIF(W879,TODAY(),"y")&amp;" Tahun "&amp;DATEDIF(W879,TODAY(),"ym")&amp;" Bulan "&amp;DATEDIF(W879,TODAY(),"md")&amp;" Hari"</f>
        <v>12 Tahun 10 Bulan 30 Hari</v>
      </c>
      <c r="AA879" s="55" t="s">
        <v>3961</v>
      </c>
      <c r="AB879" s="56">
        <v>31264</v>
      </c>
      <c r="AC879" s="31" t="s">
        <v>3962</v>
      </c>
      <c r="AD879" s="57" t="str">
        <f t="shared" ca="1" si="61"/>
        <v xml:space="preserve">40 Tahun 2 Bulan </v>
      </c>
      <c r="AE879" s="33" t="s">
        <v>1106</v>
      </c>
      <c r="AF879" s="34"/>
      <c r="AG879" s="22" t="s">
        <v>2040</v>
      </c>
      <c r="AH879" s="58"/>
      <c r="AI879" s="58"/>
      <c r="AJ879" s="58"/>
      <c r="AK879" s="33"/>
      <c r="AL879" s="22"/>
    </row>
    <row r="880" spans="1:39" ht="14.45" customHeight="1" x14ac:dyDescent="0.25">
      <c r="A880" s="115">
        <v>27</v>
      </c>
      <c r="B880" s="78">
        <v>1376</v>
      </c>
      <c r="C880" s="50" t="s">
        <v>5957</v>
      </c>
      <c r="D880" s="20" t="s">
        <v>3963</v>
      </c>
      <c r="E880" s="58" t="s">
        <v>40</v>
      </c>
      <c r="F880" s="58" t="s">
        <v>41</v>
      </c>
      <c r="G880" s="23" t="s">
        <v>227</v>
      </c>
      <c r="H880" s="22" t="s">
        <v>228</v>
      </c>
      <c r="I880" s="6" t="s">
        <v>44</v>
      </c>
      <c r="J880" s="22" t="s">
        <v>1148</v>
      </c>
      <c r="K880" s="24">
        <v>45505</v>
      </c>
      <c r="L880" s="25"/>
      <c r="M880" s="26"/>
      <c r="N880" s="26"/>
      <c r="O880" s="27"/>
      <c r="P880" s="28"/>
      <c r="Q880" s="29"/>
      <c r="R880" s="26"/>
      <c r="S880" s="23" t="s">
        <v>84</v>
      </c>
      <c r="T880" s="23"/>
      <c r="U880" s="23"/>
      <c r="V880" s="23"/>
      <c r="W880" s="30">
        <v>44166</v>
      </c>
      <c r="X880" s="30">
        <v>44197</v>
      </c>
      <c r="Y880" s="30">
        <v>44197</v>
      </c>
      <c r="Z880" s="55" t="str">
        <f ca="1">DATEDIF(X880,TODAY(),"y")&amp;" Tahun "&amp;DATEDIF(X880,TODAY(),"ym")&amp;" Bulan "&amp;DATEDIF(X880,TODAY(),"md")&amp;" Hari"</f>
        <v>4 Tahun 9 Bulan 30 Hari</v>
      </c>
      <c r="AA880" s="55" t="s">
        <v>76</v>
      </c>
      <c r="AB880" s="56">
        <v>33739</v>
      </c>
      <c r="AC880" s="32" t="s">
        <v>3964</v>
      </c>
      <c r="AD880" s="57" t="str">
        <f t="shared" ca="1" si="61"/>
        <v xml:space="preserve">33 Tahun 5 Bulan </v>
      </c>
      <c r="AE880" s="33" t="s">
        <v>1106</v>
      </c>
      <c r="AF880" s="71" t="s">
        <v>3965</v>
      </c>
      <c r="AG880" s="22" t="s">
        <v>2040</v>
      </c>
      <c r="AH880" s="22"/>
      <c r="AI880" s="22"/>
      <c r="AJ880" s="22"/>
      <c r="AK880" s="33" t="s">
        <v>200</v>
      </c>
      <c r="AL880" s="36"/>
    </row>
    <row r="881" spans="1:39" ht="14.45" customHeight="1" x14ac:dyDescent="0.25">
      <c r="A881" s="115">
        <v>28</v>
      </c>
      <c r="B881" s="134"/>
      <c r="C881" s="50" t="s">
        <v>5958</v>
      </c>
      <c r="D881" s="20" t="s">
        <v>3966</v>
      </c>
      <c r="E881" s="52" t="s">
        <v>56</v>
      </c>
      <c r="F881" s="58" t="s">
        <v>41</v>
      </c>
      <c r="G881" s="23" t="s">
        <v>57</v>
      </c>
      <c r="H881" s="22" t="s">
        <v>58</v>
      </c>
      <c r="I881" s="60" t="s">
        <v>44</v>
      </c>
      <c r="J881" s="22" t="s">
        <v>3967</v>
      </c>
      <c r="K881" s="24">
        <v>45200</v>
      </c>
      <c r="L881" s="28" t="s">
        <v>3968</v>
      </c>
      <c r="M881" s="26">
        <v>42843</v>
      </c>
      <c r="N881" s="26">
        <v>44627</v>
      </c>
      <c r="O881" s="27" t="s">
        <v>3969</v>
      </c>
      <c r="P881" s="28" t="s">
        <v>3970</v>
      </c>
      <c r="Q881" s="29">
        <v>42984</v>
      </c>
      <c r="R881" s="26">
        <v>44627</v>
      </c>
      <c r="S881" s="23" t="s">
        <v>3971</v>
      </c>
      <c r="T881" s="23"/>
      <c r="U881" s="23"/>
      <c r="V881" s="23"/>
      <c r="W881" s="30">
        <v>35855</v>
      </c>
      <c r="X881" s="30">
        <v>35855</v>
      </c>
      <c r="Y881" s="30">
        <v>35855</v>
      </c>
      <c r="Z881" s="55" t="str">
        <f t="shared" ref="Z881:Z886" ca="1" si="62">DATEDIF(W881,TODAY(),"y")&amp;" Tahun "&amp;DATEDIF(W881,TODAY(),"ym")&amp;" Bulan "&amp;DATEDIF(W881,TODAY(),"md")&amp;" Hari"</f>
        <v>27 Tahun 7 Bulan 30 Hari</v>
      </c>
      <c r="AA881" s="55" t="s">
        <v>76</v>
      </c>
      <c r="AB881" s="56">
        <v>27095</v>
      </c>
      <c r="AC881" s="32" t="s">
        <v>3972</v>
      </c>
      <c r="AD881" s="57" t="str">
        <f t="shared" ca="1" si="61"/>
        <v xml:space="preserve">51 Tahun 7 Bulan </v>
      </c>
      <c r="AE881" s="33" t="s">
        <v>3973</v>
      </c>
      <c r="AF881" s="71"/>
      <c r="AG881" s="58" t="s">
        <v>3974</v>
      </c>
      <c r="AH881" s="22"/>
      <c r="AI881" s="22"/>
      <c r="AJ881" s="22"/>
      <c r="AK881" s="33" t="s">
        <v>200</v>
      </c>
      <c r="AL881" s="36"/>
    </row>
    <row r="882" spans="1:39" ht="14.45" customHeight="1" x14ac:dyDescent="0.25">
      <c r="A882" s="115">
        <v>29</v>
      </c>
      <c r="B882" s="78"/>
      <c r="C882" s="50" t="s">
        <v>5959</v>
      </c>
      <c r="D882" s="20" t="s">
        <v>3975</v>
      </c>
      <c r="E882" s="52" t="s">
        <v>56</v>
      </c>
      <c r="F882" s="87" t="s">
        <v>41</v>
      </c>
      <c r="G882" s="23" t="s">
        <v>3976</v>
      </c>
      <c r="H882" s="60" t="s">
        <v>138</v>
      </c>
      <c r="I882" s="60" t="s">
        <v>44</v>
      </c>
      <c r="J882" s="60" t="s">
        <v>217</v>
      </c>
      <c r="K882" s="24">
        <v>43922</v>
      </c>
      <c r="L882" s="25" t="s">
        <v>3977</v>
      </c>
      <c r="M882" s="26">
        <v>43161</v>
      </c>
      <c r="N882" s="26">
        <v>45114</v>
      </c>
      <c r="O882" s="27" t="s">
        <v>3978</v>
      </c>
      <c r="P882" s="53" t="s">
        <v>3979</v>
      </c>
      <c r="Q882" s="26">
        <v>43304</v>
      </c>
      <c r="R882" s="26">
        <v>45114</v>
      </c>
      <c r="S882" s="23" t="s">
        <v>221</v>
      </c>
      <c r="T882" s="23"/>
      <c r="U882" s="23"/>
      <c r="V882" s="23"/>
      <c r="W882" s="30">
        <v>37956</v>
      </c>
      <c r="X882" s="30">
        <v>37956</v>
      </c>
      <c r="Y882" s="30">
        <v>37956</v>
      </c>
      <c r="Z882" s="31" t="str">
        <f t="shared" ca="1" si="62"/>
        <v>21 Tahun 10 Bulan 30 Hari</v>
      </c>
      <c r="AA882" s="55" t="s">
        <v>697</v>
      </c>
      <c r="AB882" s="56">
        <v>29043</v>
      </c>
      <c r="AC882" s="32" t="s">
        <v>3980</v>
      </c>
      <c r="AD882" s="57" t="str">
        <f t="shared" ca="1" si="61"/>
        <v xml:space="preserve">46 Tahun 3 Bulan </v>
      </c>
      <c r="AE882" s="33" t="s">
        <v>219</v>
      </c>
      <c r="AF882" s="71"/>
      <c r="AG882" s="58" t="s">
        <v>3974</v>
      </c>
      <c r="AH882" s="22"/>
      <c r="AI882" s="22"/>
      <c r="AJ882" s="22"/>
      <c r="AK882" s="33" t="s">
        <v>200</v>
      </c>
      <c r="AL882" s="36"/>
    </row>
    <row r="883" spans="1:39" ht="14.45" customHeight="1" x14ac:dyDescent="0.25">
      <c r="A883" s="115">
        <v>30</v>
      </c>
      <c r="B883" s="134"/>
      <c r="C883" s="50" t="s">
        <v>3981</v>
      </c>
      <c r="D883" s="20" t="s">
        <v>3982</v>
      </c>
      <c r="E883" s="52" t="s">
        <v>56</v>
      </c>
      <c r="F883" s="58" t="s">
        <v>41</v>
      </c>
      <c r="G883" s="89" t="s">
        <v>324</v>
      </c>
      <c r="H883" s="22" t="s">
        <v>116</v>
      </c>
      <c r="I883" s="58" t="s">
        <v>44</v>
      </c>
      <c r="J883" s="22" t="s">
        <v>3967</v>
      </c>
      <c r="K883" s="24">
        <v>44470</v>
      </c>
      <c r="L883" s="28" t="s">
        <v>3983</v>
      </c>
      <c r="M883" s="26">
        <v>42843</v>
      </c>
      <c r="N883" s="26">
        <v>44921</v>
      </c>
      <c r="O883" s="27" t="s">
        <v>3984</v>
      </c>
      <c r="P883" s="28" t="s">
        <v>3985</v>
      </c>
      <c r="Q883" s="29">
        <v>43087</v>
      </c>
      <c r="R883" s="26">
        <v>44921</v>
      </c>
      <c r="S883" s="23" t="s">
        <v>3986</v>
      </c>
      <c r="T883" s="23"/>
      <c r="U883" s="23"/>
      <c r="V883" s="23"/>
      <c r="W883" s="30">
        <v>32568</v>
      </c>
      <c r="X883" s="30">
        <v>32568</v>
      </c>
      <c r="Y883" s="30">
        <v>32568</v>
      </c>
      <c r="Z883" s="55" t="str">
        <f t="shared" ca="1" si="62"/>
        <v>36 Tahun 7 Bulan 30 Hari</v>
      </c>
      <c r="AA883" s="55" t="s">
        <v>128</v>
      </c>
      <c r="AB883" s="56">
        <v>24102</v>
      </c>
      <c r="AC883" s="31" t="s">
        <v>3987</v>
      </c>
      <c r="AD883" s="57" t="str">
        <f t="shared" ca="1" si="61"/>
        <v xml:space="preserve">59 Tahun 10 Bulan </v>
      </c>
      <c r="AE883" s="33" t="s">
        <v>3973</v>
      </c>
      <c r="AF883" s="71"/>
      <c r="AG883" s="58" t="s">
        <v>3974</v>
      </c>
      <c r="AH883" s="22"/>
      <c r="AI883" s="22"/>
      <c r="AJ883" s="22"/>
      <c r="AK883" s="33" t="s">
        <v>200</v>
      </c>
      <c r="AL883" s="36"/>
    </row>
    <row r="884" spans="1:39" ht="14.45" customHeight="1" x14ac:dyDescent="0.25">
      <c r="A884" s="115">
        <v>31</v>
      </c>
      <c r="B884" s="78"/>
      <c r="C884" s="50" t="s">
        <v>5960</v>
      </c>
      <c r="D884" s="20" t="s">
        <v>3988</v>
      </c>
      <c r="E884" s="21" t="s">
        <v>40</v>
      </c>
      <c r="F884" s="22" t="s">
        <v>41</v>
      </c>
      <c r="G884" s="23" t="s">
        <v>324</v>
      </c>
      <c r="H884" s="22" t="s">
        <v>116</v>
      </c>
      <c r="I884" s="22" t="s">
        <v>44</v>
      </c>
      <c r="J884" s="22" t="s">
        <v>3967</v>
      </c>
      <c r="K884" s="24">
        <v>44470</v>
      </c>
      <c r="L884" s="28" t="s">
        <v>3989</v>
      </c>
      <c r="M884" s="26">
        <v>42843</v>
      </c>
      <c r="N884" s="26">
        <v>44615</v>
      </c>
      <c r="O884" s="27" t="s">
        <v>3984</v>
      </c>
      <c r="P884" s="28" t="s">
        <v>3990</v>
      </c>
      <c r="Q884" s="29">
        <v>42843</v>
      </c>
      <c r="R884" s="26">
        <v>44615</v>
      </c>
      <c r="S884" s="23" t="s">
        <v>3991</v>
      </c>
      <c r="T884" s="23"/>
      <c r="U884" s="23"/>
      <c r="V884" s="23"/>
      <c r="W884" s="30">
        <v>33298</v>
      </c>
      <c r="X884" s="30">
        <v>33298</v>
      </c>
      <c r="Y884" s="30">
        <v>33298</v>
      </c>
      <c r="Z884" s="31" t="str">
        <f t="shared" ca="1" si="62"/>
        <v>34 Tahun 7 Bulan 30 Hari</v>
      </c>
      <c r="AA884" s="31" t="s">
        <v>128</v>
      </c>
      <c r="AB884" s="32">
        <v>24161</v>
      </c>
      <c r="AC884" s="31" t="s">
        <v>3992</v>
      </c>
      <c r="AD884" s="22" t="str">
        <f t="shared" ca="1" si="61"/>
        <v xml:space="preserve">59 Tahun 8 Bulan </v>
      </c>
      <c r="AE884" s="33" t="s">
        <v>3973</v>
      </c>
      <c r="AF884" s="34"/>
      <c r="AG884" s="22" t="s">
        <v>3974</v>
      </c>
      <c r="AH884" s="22"/>
      <c r="AI884" s="22"/>
      <c r="AJ884" s="22"/>
      <c r="AK884" s="33" t="s">
        <v>200</v>
      </c>
      <c r="AL884" s="36"/>
    </row>
    <row r="885" spans="1:39" ht="14.45" customHeight="1" x14ac:dyDescent="0.25">
      <c r="A885" s="17">
        <v>1</v>
      </c>
      <c r="B885" s="134"/>
      <c r="C885" s="50" t="s">
        <v>5961</v>
      </c>
      <c r="D885" s="20" t="s">
        <v>3993</v>
      </c>
      <c r="E885" s="52" t="s">
        <v>56</v>
      </c>
      <c r="F885" s="58" t="s">
        <v>41</v>
      </c>
      <c r="G885" s="15" t="s">
        <v>324</v>
      </c>
      <c r="H885" s="22" t="s">
        <v>116</v>
      </c>
      <c r="I885" s="58" t="s">
        <v>44</v>
      </c>
      <c r="J885" s="22" t="s">
        <v>3967</v>
      </c>
      <c r="K885" s="24">
        <v>44470</v>
      </c>
      <c r="L885" s="28" t="s">
        <v>3994</v>
      </c>
      <c r="M885" s="26">
        <v>42843</v>
      </c>
      <c r="N885" s="26">
        <v>44912</v>
      </c>
      <c r="O885" s="27" t="s">
        <v>3984</v>
      </c>
      <c r="P885" s="53" t="s">
        <v>3995</v>
      </c>
      <c r="Q885" s="26">
        <v>42984</v>
      </c>
      <c r="R885" s="26">
        <v>44912</v>
      </c>
      <c r="S885" s="23" t="s">
        <v>3991</v>
      </c>
      <c r="T885" s="23"/>
      <c r="U885" s="23"/>
      <c r="V885" s="23"/>
      <c r="W885" s="30">
        <v>33298</v>
      </c>
      <c r="X885" s="30">
        <v>33298</v>
      </c>
      <c r="Y885" s="30">
        <v>33298</v>
      </c>
      <c r="Z885" s="55" t="str">
        <f t="shared" ca="1" si="62"/>
        <v>34 Tahun 7 Bulan 30 Hari</v>
      </c>
      <c r="AA885" s="55" t="s">
        <v>76</v>
      </c>
      <c r="AB885" s="56">
        <v>24458</v>
      </c>
      <c r="AC885" s="31" t="s">
        <v>3996</v>
      </c>
      <c r="AD885" s="57" t="str">
        <f t="shared" ca="1" si="61"/>
        <v xml:space="preserve">58 Tahun 10 Bulan </v>
      </c>
      <c r="AE885" s="33" t="s">
        <v>3973</v>
      </c>
      <c r="AF885" s="71"/>
      <c r="AG885" s="58" t="s">
        <v>3974</v>
      </c>
      <c r="AH885" s="22"/>
      <c r="AI885" s="22"/>
      <c r="AJ885" s="22"/>
      <c r="AK885" s="34"/>
      <c r="AL885" s="41"/>
    </row>
    <row r="886" spans="1:39" ht="14.45" customHeight="1" x14ac:dyDescent="0.25">
      <c r="A886" s="17">
        <v>2</v>
      </c>
      <c r="B886" s="134"/>
      <c r="C886" s="138" t="s">
        <v>3997</v>
      </c>
      <c r="D886" s="51" t="s">
        <v>3998</v>
      </c>
      <c r="E886" s="52" t="s">
        <v>56</v>
      </c>
      <c r="F886" s="58" t="s">
        <v>41</v>
      </c>
      <c r="G886" s="23" t="s">
        <v>137</v>
      </c>
      <c r="H886" s="22" t="s">
        <v>138</v>
      </c>
      <c r="I886" s="58" t="s">
        <v>44</v>
      </c>
      <c r="J886" s="58" t="s">
        <v>217</v>
      </c>
      <c r="K886" s="81">
        <v>44166</v>
      </c>
      <c r="L886" s="25" t="s">
        <v>3999</v>
      </c>
      <c r="M886" s="26">
        <v>42807</v>
      </c>
      <c r="N886" s="26">
        <v>44716</v>
      </c>
      <c r="O886" s="27" t="s">
        <v>4000</v>
      </c>
      <c r="P886" s="28" t="s">
        <v>4001</v>
      </c>
      <c r="Q886" s="29">
        <v>43103</v>
      </c>
      <c r="R886" s="26">
        <v>44716</v>
      </c>
      <c r="S886" s="59" t="s">
        <v>4002</v>
      </c>
      <c r="T886" s="59"/>
      <c r="U886" s="59"/>
      <c r="V886" s="59"/>
      <c r="W886" s="82">
        <v>38353</v>
      </c>
      <c r="X886" s="82">
        <v>38353</v>
      </c>
      <c r="Y886" s="82">
        <v>38353</v>
      </c>
      <c r="Z886" s="55" t="str">
        <f t="shared" ca="1" si="62"/>
        <v>20 Tahun 9 Bulan 30 Hari</v>
      </c>
      <c r="AA886" s="66" t="s">
        <v>76</v>
      </c>
      <c r="AB886" s="83">
        <v>29010</v>
      </c>
      <c r="AC886" s="84" t="s">
        <v>4003</v>
      </c>
      <c r="AD886" s="57" t="str">
        <f t="shared" ca="1" si="61"/>
        <v xml:space="preserve">46 Tahun 4 Bulan </v>
      </c>
      <c r="AE886" s="85" t="s">
        <v>219</v>
      </c>
      <c r="AF886" s="71"/>
      <c r="AG886" s="58" t="s">
        <v>3974</v>
      </c>
      <c r="AH886" s="22"/>
      <c r="AI886" s="22"/>
      <c r="AJ886" s="22"/>
      <c r="AK886" s="33" t="s">
        <v>676</v>
      </c>
      <c r="AL886" s="36"/>
    </row>
    <row r="887" spans="1:39" ht="14.45" customHeight="1" x14ac:dyDescent="0.25">
      <c r="A887" s="17">
        <v>3</v>
      </c>
      <c r="B887" s="134"/>
      <c r="C887" s="19" t="s">
        <v>4004</v>
      </c>
      <c r="D887" s="20" t="s">
        <v>4005</v>
      </c>
      <c r="E887" s="58" t="s">
        <v>40</v>
      </c>
      <c r="F887" s="58" t="s">
        <v>41</v>
      </c>
      <c r="G887" s="89" t="s">
        <v>102</v>
      </c>
      <c r="H887" s="22" t="s">
        <v>103</v>
      </c>
      <c r="I887" s="58" t="s">
        <v>44</v>
      </c>
      <c r="J887" s="22" t="s">
        <v>4006</v>
      </c>
      <c r="K887" s="24">
        <v>45627</v>
      </c>
      <c r="L887" s="25" t="s">
        <v>4007</v>
      </c>
      <c r="M887" s="26">
        <v>43084</v>
      </c>
      <c r="N887" s="26">
        <v>44862</v>
      </c>
      <c r="O887" s="27" t="s">
        <v>4008</v>
      </c>
      <c r="P887" s="28" t="s">
        <v>4009</v>
      </c>
      <c r="Q887" s="29">
        <v>43304</v>
      </c>
      <c r="R887" s="26">
        <v>44862</v>
      </c>
      <c r="S887" s="23" t="s">
        <v>4010</v>
      </c>
      <c r="T887" s="23"/>
      <c r="U887" s="23"/>
      <c r="V887" s="23"/>
      <c r="W887" s="30">
        <v>40148</v>
      </c>
      <c r="X887" s="30">
        <v>42614</v>
      </c>
      <c r="Y887" s="30">
        <v>42614</v>
      </c>
      <c r="Z887" s="55" t="str">
        <f ca="1">DATEDIF(X887,TODAY(),"y")&amp;" Tahun "&amp;DATEDIF(X887,TODAY(),"ym")&amp;" Bulan "&amp;DATEDIF(X887,TODAY(),"md")&amp;" Hari"</f>
        <v>9 Tahun 1 Bulan 30 Hari</v>
      </c>
      <c r="AA887" s="55" t="s">
        <v>76</v>
      </c>
      <c r="AB887" s="56">
        <v>29887</v>
      </c>
      <c r="AC887" s="31" t="s">
        <v>4011</v>
      </c>
      <c r="AD887" s="57" t="str">
        <f t="shared" ca="1" si="61"/>
        <v xml:space="preserve">44 Tahun 0 Bulan </v>
      </c>
      <c r="AE887" s="198" t="s">
        <v>4012</v>
      </c>
      <c r="AF887" s="71"/>
      <c r="AG887" s="58" t="s">
        <v>3974</v>
      </c>
      <c r="AH887" s="22"/>
      <c r="AI887" s="22"/>
      <c r="AJ887" s="22"/>
      <c r="AK887" s="33" t="s">
        <v>676</v>
      </c>
      <c r="AL887" s="36"/>
    </row>
    <row r="888" spans="1:39" ht="14.45" customHeight="1" x14ac:dyDescent="0.25">
      <c r="A888" s="17">
        <v>4</v>
      </c>
      <c r="B888" s="78"/>
      <c r="C888" s="50" t="s">
        <v>5962</v>
      </c>
      <c r="D888" s="20" t="s">
        <v>4014</v>
      </c>
      <c r="E888" s="58" t="s">
        <v>40</v>
      </c>
      <c r="F888" s="58" t="s">
        <v>41</v>
      </c>
      <c r="G888" s="23" t="s">
        <v>137</v>
      </c>
      <c r="H888" s="22" t="s">
        <v>138</v>
      </c>
      <c r="I888" s="58" t="s">
        <v>44</v>
      </c>
      <c r="J888" s="22" t="s">
        <v>4015</v>
      </c>
      <c r="K888" s="24">
        <v>45505</v>
      </c>
      <c r="L888" s="53"/>
      <c r="M888" s="26"/>
      <c r="N888" s="26"/>
      <c r="O888" s="27"/>
      <c r="P888" s="53"/>
      <c r="Q888" s="26"/>
      <c r="R888" s="29"/>
      <c r="S888" s="23" t="s">
        <v>3991</v>
      </c>
      <c r="T888" s="23"/>
      <c r="U888" s="23"/>
      <c r="V888" s="23"/>
      <c r="W888" s="30">
        <v>40513</v>
      </c>
      <c r="X888" s="30">
        <v>44373</v>
      </c>
      <c r="Y888" s="30">
        <v>44256</v>
      </c>
      <c r="Z888" s="55" t="str">
        <f t="shared" ref="Z888:Z895" ca="1" si="63">DATEDIF(W888,TODAY(),"y")&amp;" Tahun "&amp;DATEDIF(W888,TODAY(),"ym")&amp;" Bulan "&amp;DATEDIF(W888,TODAY(),"md")&amp;" Hari"</f>
        <v>14 Tahun 10 Bulan 30 Hari</v>
      </c>
      <c r="AA888" s="55" t="s">
        <v>846</v>
      </c>
      <c r="AB888" s="56">
        <v>29556</v>
      </c>
      <c r="AC888" s="31" t="s">
        <v>4016</v>
      </c>
      <c r="AD888" s="57" t="str">
        <f t="shared" ca="1" si="61"/>
        <v xml:space="preserve">44 Tahun 10 Bulan </v>
      </c>
      <c r="AE888" s="33" t="s">
        <v>3973</v>
      </c>
      <c r="AG888" s="58" t="s">
        <v>3974</v>
      </c>
      <c r="AH888" s="22"/>
      <c r="AI888" s="22"/>
      <c r="AJ888" s="22"/>
      <c r="AK888" s="33"/>
      <c r="AL888" s="22"/>
    </row>
    <row r="889" spans="1:39" ht="14.45" customHeight="1" x14ac:dyDescent="0.25">
      <c r="A889" s="17">
        <v>5</v>
      </c>
      <c r="B889" s="78"/>
      <c r="C889" s="50" t="s">
        <v>5963</v>
      </c>
      <c r="D889" s="20" t="s">
        <v>4017</v>
      </c>
      <c r="E889" s="52" t="s">
        <v>56</v>
      </c>
      <c r="F889" s="87" t="s">
        <v>41</v>
      </c>
      <c r="G889" s="89" t="s">
        <v>137</v>
      </c>
      <c r="H889" s="22" t="s">
        <v>138</v>
      </c>
      <c r="I889" s="22" t="s">
        <v>44</v>
      </c>
      <c r="J889" s="60" t="s">
        <v>217</v>
      </c>
      <c r="K889" s="24">
        <v>44287</v>
      </c>
      <c r="L889" s="25" t="s">
        <v>4018</v>
      </c>
      <c r="M889" s="26">
        <v>42807</v>
      </c>
      <c r="N889" s="26">
        <v>44664</v>
      </c>
      <c r="O889" s="27" t="s">
        <v>219</v>
      </c>
      <c r="P889" s="28" t="s">
        <v>4019</v>
      </c>
      <c r="Q889" s="29">
        <v>43103</v>
      </c>
      <c r="R889" s="26">
        <v>44664</v>
      </c>
      <c r="S889" s="23" t="s">
        <v>221</v>
      </c>
      <c r="T889" s="23"/>
      <c r="U889" s="23"/>
      <c r="V889" s="23"/>
      <c r="W889" s="30">
        <v>38353</v>
      </c>
      <c r="X889" s="30">
        <v>38353</v>
      </c>
      <c r="Y889" s="30">
        <v>38353</v>
      </c>
      <c r="Z889" s="31" t="str">
        <f t="shared" ca="1" si="63"/>
        <v>20 Tahun 9 Bulan 30 Hari</v>
      </c>
      <c r="AA889" s="55" t="s">
        <v>1540</v>
      </c>
      <c r="AB889" s="56">
        <v>30419</v>
      </c>
      <c r="AC889" s="31" t="s">
        <v>4020</v>
      </c>
      <c r="AD889" s="57" t="str">
        <f t="shared" ca="1" si="61"/>
        <v xml:space="preserve">42 Tahun 6 Bulan </v>
      </c>
      <c r="AE889" s="33" t="s">
        <v>219</v>
      </c>
      <c r="AF889" s="71"/>
      <c r="AG889" s="58" t="s">
        <v>3974</v>
      </c>
      <c r="AH889" s="22"/>
      <c r="AI889" s="22"/>
      <c r="AJ889" s="22"/>
      <c r="AK889" s="33"/>
      <c r="AL889" s="22"/>
    </row>
    <row r="890" spans="1:39" ht="14.45" customHeight="1" x14ac:dyDescent="0.25">
      <c r="A890" s="17">
        <v>6</v>
      </c>
      <c r="B890" s="78"/>
      <c r="C890" s="50" t="s">
        <v>4021</v>
      </c>
      <c r="D890" s="20" t="s">
        <v>4022</v>
      </c>
      <c r="E890" s="52" t="s">
        <v>40</v>
      </c>
      <c r="F890" s="87" t="s">
        <v>41</v>
      </c>
      <c r="G890" s="89" t="s">
        <v>137</v>
      </c>
      <c r="H890" s="22" t="s">
        <v>138</v>
      </c>
      <c r="I890" s="22" t="s">
        <v>44</v>
      </c>
      <c r="J890" s="60" t="s">
        <v>4023</v>
      </c>
      <c r="K890" s="24">
        <v>45505</v>
      </c>
      <c r="L890" s="25" t="s">
        <v>4024</v>
      </c>
      <c r="M890" s="26">
        <v>43049</v>
      </c>
      <c r="N890" s="26">
        <v>44718</v>
      </c>
      <c r="O890" s="27" t="s">
        <v>4025</v>
      </c>
      <c r="P890" s="53" t="s">
        <v>4026</v>
      </c>
      <c r="Q890" s="26">
        <v>43166</v>
      </c>
      <c r="R890" s="26">
        <v>44718</v>
      </c>
      <c r="S890" s="33" t="s">
        <v>4027</v>
      </c>
      <c r="T890" s="33"/>
      <c r="U890" s="33"/>
      <c r="V890" s="33"/>
      <c r="W890" s="30">
        <v>39783</v>
      </c>
      <c r="X890" s="30">
        <v>39845</v>
      </c>
      <c r="Y890" s="30">
        <v>39845</v>
      </c>
      <c r="Z890" s="31" t="str">
        <f t="shared" ca="1" si="63"/>
        <v>16 Tahun 10 Bulan 30 Hari</v>
      </c>
      <c r="AA890" s="55" t="s">
        <v>570</v>
      </c>
      <c r="AB890" s="56">
        <v>30473</v>
      </c>
      <c r="AC890" s="31" t="s">
        <v>4028</v>
      </c>
      <c r="AD890" s="57" t="str">
        <f t="shared" ca="1" si="61"/>
        <v xml:space="preserve">42 Tahun 4 Bulan </v>
      </c>
      <c r="AE890" s="33" t="s">
        <v>4029</v>
      </c>
      <c r="AF890" s="71"/>
      <c r="AG890" s="58" t="s">
        <v>3974</v>
      </c>
      <c r="AH890" s="22"/>
      <c r="AI890" s="22"/>
      <c r="AJ890" s="22"/>
      <c r="AK890" s="33"/>
      <c r="AL890" s="36"/>
    </row>
    <row r="891" spans="1:39" ht="14.45" customHeight="1" x14ac:dyDescent="0.25">
      <c r="A891" s="17">
        <v>7</v>
      </c>
      <c r="B891" s="134">
        <v>1364</v>
      </c>
      <c r="C891" s="50" t="s">
        <v>5964</v>
      </c>
      <c r="D891" s="20" t="s">
        <v>4030</v>
      </c>
      <c r="E891" s="52" t="s">
        <v>40</v>
      </c>
      <c r="F891" s="58" t="s">
        <v>41</v>
      </c>
      <c r="G891" s="23" t="s">
        <v>227</v>
      </c>
      <c r="H891" s="22" t="s">
        <v>228</v>
      </c>
      <c r="I891" s="22" t="s">
        <v>44</v>
      </c>
      <c r="J891" s="22" t="s">
        <v>4031</v>
      </c>
      <c r="K891" s="24">
        <v>45505</v>
      </c>
      <c r="L891" s="25"/>
      <c r="M891" s="26"/>
      <c r="N891" s="26"/>
      <c r="O891" s="27"/>
      <c r="P891" s="28"/>
      <c r="Q891" s="29"/>
      <c r="R891" s="26"/>
      <c r="S891" s="23" t="s">
        <v>4032</v>
      </c>
      <c r="T891" s="23"/>
      <c r="U891" s="23"/>
      <c r="V891" s="23"/>
      <c r="W891" s="30">
        <v>41671</v>
      </c>
      <c r="X891" s="30">
        <v>43587</v>
      </c>
      <c r="Y891" s="30">
        <v>43617</v>
      </c>
      <c r="Z891" s="55" t="str">
        <f t="shared" ca="1" si="63"/>
        <v>11 Tahun 8 Bulan 30 Hari</v>
      </c>
      <c r="AA891" s="55" t="s">
        <v>50</v>
      </c>
      <c r="AB891" s="56">
        <v>33628</v>
      </c>
      <c r="AC891" s="31" t="s">
        <v>4033</v>
      </c>
      <c r="AD891" s="57" t="str">
        <f t="shared" ca="1" si="61"/>
        <v xml:space="preserve">33 Tahun 9 Bulan </v>
      </c>
      <c r="AE891" s="33" t="s">
        <v>3973</v>
      </c>
      <c r="AF891" s="34"/>
      <c r="AG891" s="58" t="s">
        <v>3974</v>
      </c>
      <c r="AH891" s="22"/>
      <c r="AI891" s="22"/>
      <c r="AJ891" s="22"/>
      <c r="AK891" s="33"/>
      <c r="AL891" s="36"/>
      <c r="AM891" s="14"/>
    </row>
    <row r="892" spans="1:39" ht="14.45" customHeight="1" x14ac:dyDescent="0.25">
      <c r="A892" s="17">
        <v>8</v>
      </c>
      <c r="B892" s="78"/>
      <c r="C892" s="50" t="s">
        <v>4034</v>
      </c>
      <c r="D892" s="62" t="s">
        <v>4035</v>
      </c>
      <c r="E892" s="21" t="s">
        <v>40</v>
      </c>
      <c r="F892" s="22" t="s">
        <v>41</v>
      </c>
      <c r="G892" s="23" t="s">
        <v>193</v>
      </c>
      <c r="H892" s="22" t="s">
        <v>194</v>
      </c>
      <c r="I892" s="22" t="s">
        <v>44</v>
      </c>
      <c r="J892" s="22" t="s">
        <v>4031</v>
      </c>
      <c r="K892" s="24">
        <v>45505</v>
      </c>
      <c r="L892" s="25" t="s">
        <v>4036</v>
      </c>
      <c r="M892" s="26">
        <v>42131</v>
      </c>
      <c r="N892" s="135">
        <v>43967</v>
      </c>
      <c r="O892" s="27" t="s">
        <v>4037</v>
      </c>
      <c r="P892" s="53" t="s">
        <v>4038</v>
      </c>
      <c r="Q892" s="29">
        <v>43304</v>
      </c>
      <c r="R892" s="135">
        <v>43967</v>
      </c>
      <c r="S892" s="23" t="s">
        <v>4032</v>
      </c>
      <c r="T892" s="23"/>
      <c r="U892" s="23"/>
      <c r="V892" s="23"/>
      <c r="W892" s="30">
        <v>43101</v>
      </c>
      <c r="X892" s="30">
        <v>43101</v>
      </c>
      <c r="Y892" s="30">
        <v>43101</v>
      </c>
      <c r="Z892" s="55" t="str">
        <f t="shared" ca="1" si="63"/>
        <v>7 Tahun 9 Bulan 30 Hari</v>
      </c>
      <c r="AA892" s="31" t="s">
        <v>50</v>
      </c>
      <c r="AB892" s="32">
        <v>34105</v>
      </c>
      <c r="AC892" s="32" t="s">
        <v>4039</v>
      </c>
      <c r="AD892" s="57" t="str">
        <f t="shared" ca="1" si="61"/>
        <v xml:space="preserve">32 Tahun 5 Bulan </v>
      </c>
      <c r="AE892" s="33" t="s">
        <v>3973</v>
      </c>
      <c r="AF892" s="34"/>
      <c r="AG892" s="58" t="s">
        <v>3974</v>
      </c>
      <c r="AH892" s="58"/>
      <c r="AI892" s="58"/>
      <c r="AJ892" s="58"/>
      <c r="AK892" s="33" t="s">
        <v>676</v>
      </c>
      <c r="AL892" s="36"/>
    </row>
    <row r="893" spans="1:39" ht="14.45" customHeight="1" x14ac:dyDescent="0.25">
      <c r="A893" s="115">
        <v>1</v>
      </c>
      <c r="B893" s="78"/>
      <c r="C893" s="50" t="s">
        <v>4040</v>
      </c>
      <c r="D893" s="20" t="s">
        <v>4041</v>
      </c>
      <c r="E893" s="22" t="s">
        <v>56</v>
      </c>
      <c r="F893" s="22" t="s">
        <v>41</v>
      </c>
      <c r="G893" s="23" t="s">
        <v>193</v>
      </c>
      <c r="H893" s="22" t="s">
        <v>194</v>
      </c>
      <c r="I893" s="22" t="s">
        <v>44</v>
      </c>
      <c r="J893" s="22" t="s">
        <v>4031</v>
      </c>
      <c r="K893" s="24">
        <v>45505</v>
      </c>
      <c r="L893" s="25" t="s">
        <v>4042</v>
      </c>
      <c r="M893" s="26">
        <v>42457</v>
      </c>
      <c r="N893" s="26">
        <v>44466</v>
      </c>
      <c r="O893" s="27" t="s">
        <v>4043</v>
      </c>
      <c r="P893" s="28" t="s">
        <v>4044</v>
      </c>
      <c r="Q893" s="29">
        <v>42618</v>
      </c>
      <c r="R893" s="26">
        <v>44466</v>
      </c>
      <c r="S893" s="23" t="s">
        <v>4032</v>
      </c>
      <c r="T893" s="23"/>
      <c r="U893" s="23"/>
      <c r="V893" s="23"/>
      <c r="W893" s="30">
        <v>43101</v>
      </c>
      <c r="X893" s="30">
        <v>43101</v>
      </c>
      <c r="Y893" s="30">
        <v>42401</v>
      </c>
      <c r="Z893" s="31" t="str">
        <f t="shared" ca="1" si="63"/>
        <v>7 Tahun 9 Bulan 30 Hari</v>
      </c>
      <c r="AA893" s="31" t="s">
        <v>2937</v>
      </c>
      <c r="AB893" s="32">
        <v>34604</v>
      </c>
      <c r="AC893" s="31" t="s">
        <v>4045</v>
      </c>
      <c r="AD893" s="57" t="str">
        <f t="shared" ca="1" si="61"/>
        <v xml:space="preserve">31 Tahun 1 Bulan </v>
      </c>
      <c r="AE893" s="33" t="s">
        <v>3973</v>
      </c>
      <c r="AF893" s="34"/>
      <c r="AG893" s="58" t="s">
        <v>3974</v>
      </c>
      <c r="AH893" s="58"/>
      <c r="AI893" s="58"/>
      <c r="AJ893" s="58"/>
      <c r="AK893" s="33"/>
      <c r="AL893" s="22"/>
    </row>
    <row r="894" spans="1:39" ht="14.45" customHeight="1" x14ac:dyDescent="0.25">
      <c r="A894" s="115">
        <v>2</v>
      </c>
      <c r="B894" s="134"/>
      <c r="C894" s="50" t="s">
        <v>5965</v>
      </c>
      <c r="D894" s="20" t="s">
        <v>4046</v>
      </c>
      <c r="E894" s="52" t="s">
        <v>56</v>
      </c>
      <c r="F894" s="22" t="s">
        <v>41</v>
      </c>
      <c r="G894" s="23" t="s">
        <v>137</v>
      </c>
      <c r="H894" s="22" t="s">
        <v>138</v>
      </c>
      <c r="I894" s="22" t="s">
        <v>155</v>
      </c>
      <c r="J894" s="22" t="s">
        <v>2888</v>
      </c>
      <c r="K894" s="24">
        <v>44287</v>
      </c>
      <c r="L894" s="22"/>
      <c r="M894" s="26"/>
      <c r="N894" s="26"/>
      <c r="O894" s="22"/>
      <c r="P894" s="22"/>
      <c r="Q894" s="23"/>
      <c r="R894" s="26"/>
      <c r="S894" s="23" t="s">
        <v>4047</v>
      </c>
      <c r="T894" s="23"/>
      <c r="U894" s="23"/>
      <c r="V894" s="23"/>
      <c r="W894" s="30">
        <v>39783</v>
      </c>
      <c r="X894" s="30">
        <v>37865</v>
      </c>
      <c r="Y894" s="30">
        <v>41671</v>
      </c>
      <c r="Z894" s="31" t="str">
        <f t="shared" ca="1" si="63"/>
        <v>16 Tahun 10 Bulan 30 Hari</v>
      </c>
      <c r="AA894" s="55" t="s">
        <v>76</v>
      </c>
      <c r="AB894" s="56">
        <v>27332</v>
      </c>
      <c r="AC894" s="31" t="s">
        <v>4048</v>
      </c>
      <c r="AD894" s="57" t="str">
        <f t="shared" ca="1" si="61"/>
        <v xml:space="preserve">51 Tahun 0 Bulan </v>
      </c>
      <c r="AE894" s="33" t="s">
        <v>1341</v>
      </c>
      <c r="AF894" s="71"/>
      <c r="AG894" s="58" t="s">
        <v>3974</v>
      </c>
      <c r="AH894" s="58"/>
      <c r="AI894" s="58"/>
      <c r="AJ894" s="58"/>
      <c r="AK894" s="85"/>
      <c r="AL894" s="22"/>
    </row>
    <row r="895" spans="1:39" ht="14.45" customHeight="1" x14ac:dyDescent="0.25">
      <c r="A895" s="115">
        <v>3</v>
      </c>
      <c r="B895" s="78"/>
      <c r="C895" s="50" t="s">
        <v>4049</v>
      </c>
      <c r="D895" s="20" t="s">
        <v>4050</v>
      </c>
      <c r="E895" s="52" t="s">
        <v>56</v>
      </c>
      <c r="F895" s="58" t="s">
        <v>41</v>
      </c>
      <c r="G895" s="23" t="s">
        <v>227</v>
      </c>
      <c r="H895" s="22" t="s">
        <v>228</v>
      </c>
      <c r="I895" s="22" t="s">
        <v>155</v>
      </c>
      <c r="J895" s="22" t="s">
        <v>1338</v>
      </c>
      <c r="K895" s="24">
        <v>43466</v>
      </c>
      <c r="L895" s="25"/>
      <c r="M895" s="26"/>
      <c r="N895" s="26"/>
      <c r="O895" s="27"/>
      <c r="P895" s="28"/>
      <c r="Q895" s="29"/>
      <c r="R895" s="26"/>
      <c r="S895" s="23" t="s">
        <v>1339</v>
      </c>
      <c r="T895" s="23"/>
      <c r="U895" s="23"/>
      <c r="V895" s="23"/>
      <c r="W895" s="30">
        <v>34394</v>
      </c>
      <c r="X895" s="30">
        <v>34394</v>
      </c>
      <c r="Y895" s="30">
        <v>43539</v>
      </c>
      <c r="Z895" s="55" t="str">
        <f t="shared" ca="1" si="63"/>
        <v>31 Tahun 7 Bulan 30 Hari</v>
      </c>
      <c r="AA895" s="55" t="s">
        <v>76</v>
      </c>
      <c r="AB895" s="56">
        <v>24814</v>
      </c>
      <c r="AC895" s="32" t="s">
        <v>4051</v>
      </c>
      <c r="AD895" s="57" t="str">
        <f t="shared" ca="1" si="61"/>
        <v xml:space="preserve">57 Tahun 10 Bulan </v>
      </c>
      <c r="AE895" s="33" t="s">
        <v>1341</v>
      </c>
      <c r="AF895" s="34"/>
      <c r="AG895" s="58" t="s">
        <v>3974</v>
      </c>
      <c r="AH895" s="58"/>
      <c r="AI895" s="58"/>
      <c r="AJ895" s="58"/>
      <c r="AK895" s="33"/>
      <c r="AL895" s="22"/>
    </row>
    <row r="896" spans="1:39" ht="14.45" customHeight="1" x14ac:dyDescent="0.25">
      <c r="A896" s="115">
        <v>4</v>
      </c>
      <c r="B896" s="134"/>
      <c r="C896" s="50" t="s">
        <v>4052</v>
      </c>
      <c r="D896" s="20" t="s">
        <v>4053</v>
      </c>
      <c r="E896" s="58" t="s">
        <v>56</v>
      </c>
      <c r="F896" s="58" t="s">
        <v>238</v>
      </c>
      <c r="G896" s="90" t="s">
        <v>3872</v>
      </c>
      <c r="H896" s="22" t="s">
        <v>1078</v>
      </c>
      <c r="I896" s="58" t="s">
        <v>44</v>
      </c>
      <c r="J896" s="22" t="s">
        <v>4054</v>
      </c>
      <c r="K896" s="30">
        <v>45383</v>
      </c>
      <c r="L896" s="25" t="s">
        <v>4055</v>
      </c>
      <c r="M896" s="26">
        <v>42131</v>
      </c>
      <c r="N896" s="26">
        <v>43877</v>
      </c>
      <c r="O896" s="27" t="s">
        <v>4043</v>
      </c>
      <c r="P896" s="28" t="s">
        <v>4056</v>
      </c>
      <c r="Q896" s="29">
        <v>42262</v>
      </c>
      <c r="R896" s="26">
        <v>43877</v>
      </c>
      <c r="S896" s="33" t="s">
        <v>4032</v>
      </c>
      <c r="T896" s="33"/>
      <c r="U896" s="33"/>
      <c r="V896" s="33"/>
      <c r="W896" s="30">
        <v>45383</v>
      </c>
      <c r="X896" s="30">
        <v>42095</v>
      </c>
      <c r="Y896" s="30">
        <v>42114</v>
      </c>
      <c r="Z896" s="55" t="str">
        <f ca="1">DATEDIF(X896,TODAY(),"y")&amp;" Tahun "&amp;DATEDIF(X896,TODAY(),"ym")&amp;" Bulan "&amp;DATEDIF(X896,TODAY(),"md")&amp;" Hari"</f>
        <v>10 Tahun 6 Bulan 30 Hari</v>
      </c>
      <c r="AA896" s="55" t="s">
        <v>76</v>
      </c>
      <c r="AB896" s="56">
        <v>34016</v>
      </c>
      <c r="AC896" s="31" t="s">
        <v>4057</v>
      </c>
      <c r="AD896" s="57" t="str">
        <f t="shared" ca="1" si="61"/>
        <v xml:space="preserve">32 Tahun 8 Bulan </v>
      </c>
      <c r="AE896" s="33" t="s">
        <v>3973</v>
      </c>
      <c r="AF896" s="71"/>
      <c r="AG896" s="58" t="s">
        <v>3974</v>
      </c>
      <c r="AH896" s="22"/>
      <c r="AI896" s="22"/>
      <c r="AJ896" s="22"/>
      <c r="AK896" s="33"/>
      <c r="AL896" s="22"/>
    </row>
    <row r="897" spans="1:39" ht="15" x14ac:dyDescent="0.25">
      <c r="A897" s="115">
        <v>5</v>
      </c>
      <c r="B897" s="134"/>
      <c r="C897" s="50" t="s">
        <v>5966</v>
      </c>
      <c r="D897" s="20" t="s">
        <v>4058</v>
      </c>
      <c r="E897" s="58" t="s">
        <v>40</v>
      </c>
      <c r="F897" s="22" t="s">
        <v>238</v>
      </c>
      <c r="G897" s="90" t="s">
        <v>3872</v>
      </c>
      <c r="H897" s="22" t="s">
        <v>1078</v>
      </c>
      <c r="I897" s="22" t="s">
        <v>44</v>
      </c>
      <c r="J897" s="22" t="s">
        <v>4059</v>
      </c>
      <c r="K897" s="30">
        <v>45047</v>
      </c>
      <c r="L897" s="25" t="s">
        <v>4060</v>
      </c>
      <c r="M897" s="26">
        <v>43084</v>
      </c>
      <c r="N897" s="26">
        <v>44658</v>
      </c>
      <c r="O897" s="27" t="s">
        <v>4008</v>
      </c>
      <c r="P897" s="53" t="s">
        <v>4061</v>
      </c>
      <c r="Q897" s="29">
        <v>43304</v>
      </c>
      <c r="R897" s="26">
        <v>44658</v>
      </c>
      <c r="S897" s="33" t="s">
        <v>4062</v>
      </c>
      <c r="T897" s="33"/>
      <c r="U897" s="33"/>
      <c r="V897" s="33"/>
      <c r="W897" s="30">
        <v>45047</v>
      </c>
      <c r="X897" s="30">
        <v>42095</v>
      </c>
      <c r="Y897" s="30">
        <v>42114</v>
      </c>
      <c r="Z897" s="31" t="str">
        <f ca="1">DATEDIF(X897,TODAY(),"y")&amp;" Tahun "&amp;DATEDIF(X897,TODAY(),"ym")&amp;" Bulan "&amp;DATEDIF(X897,TODAY(),"md")&amp;" Hari"</f>
        <v>10 Tahun 6 Bulan 30 Hari</v>
      </c>
      <c r="AA897" s="31" t="s">
        <v>1540</v>
      </c>
      <c r="AB897" s="32">
        <v>31144</v>
      </c>
      <c r="AC897" s="31" t="s">
        <v>4063</v>
      </c>
      <c r="AD897" s="57" t="str">
        <f t="shared" ca="1" si="61"/>
        <v xml:space="preserve">40 Tahun 6 Bulan </v>
      </c>
      <c r="AE897" s="33" t="s">
        <v>4012</v>
      </c>
      <c r="AF897" s="34"/>
      <c r="AG897" s="58" t="s">
        <v>3974</v>
      </c>
      <c r="AH897" s="58"/>
      <c r="AI897" s="58"/>
      <c r="AJ897" s="58"/>
      <c r="AK897" s="33"/>
      <c r="AL897" s="22"/>
    </row>
    <row r="898" spans="1:39" ht="14.45" customHeight="1" x14ac:dyDescent="0.25">
      <c r="A898" s="115">
        <v>6</v>
      </c>
      <c r="B898" s="134"/>
      <c r="C898" s="50" t="s">
        <v>5967</v>
      </c>
      <c r="D898" s="20" t="s">
        <v>4064</v>
      </c>
      <c r="E898" s="58" t="s">
        <v>56</v>
      </c>
      <c r="F898" s="22" t="s">
        <v>41</v>
      </c>
      <c r="G898" s="90" t="s">
        <v>102</v>
      </c>
      <c r="H898" s="22" t="s">
        <v>103</v>
      </c>
      <c r="I898" s="22" t="s">
        <v>44</v>
      </c>
      <c r="J898" s="22" t="s">
        <v>4065</v>
      </c>
      <c r="K898" s="30">
        <v>45566</v>
      </c>
      <c r="L898" s="25"/>
      <c r="M898" s="26"/>
      <c r="N898" s="26"/>
      <c r="O898" s="27"/>
      <c r="P898" s="53"/>
      <c r="Q898" s="29"/>
      <c r="R898" s="26"/>
      <c r="S898" s="33" t="s">
        <v>4032</v>
      </c>
      <c r="T898" s="33"/>
      <c r="U898" s="33"/>
      <c r="V898" s="33"/>
      <c r="W898" s="30">
        <v>39845</v>
      </c>
      <c r="X898" s="30">
        <v>45108</v>
      </c>
      <c r="Y898" s="30">
        <v>45110</v>
      </c>
      <c r="Z898" s="31" t="str">
        <f ca="1">DATEDIF(W898,TODAY(),"y")&amp;" Tahun "&amp;DATEDIF(W898,TODAY(),"ym")&amp;" Bulan "&amp;DATEDIF(W898,TODAY(),"md")&amp;" Hari"</f>
        <v>16 Tahun 8 Bulan 30 Hari</v>
      </c>
      <c r="AA898" s="31" t="s">
        <v>846</v>
      </c>
      <c r="AB898" s="32">
        <v>30219</v>
      </c>
      <c r="AC898" s="31" t="s">
        <v>4066</v>
      </c>
      <c r="AD898" s="57" t="str">
        <f t="shared" ca="1" si="61"/>
        <v xml:space="preserve">43 Tahun 1 Bulan </v>
      </c>
      <c r="AE898" s="33" t="s">
        <v>3973</v>
      </c>
      <c r="AF898" s="34"/>
      <c r="AG898" s="58" t="s">
        <v>3974</v>
      </c>
      <c r="AH898" s="58"/>
      <c r="AI898" s="58"/>
      <c r="AJ898" s="58"/>
      <c r="AK898" s="85"/>
      <c r="AL898" s="22"/>
    </row>
    <row r="899" spans="1:39" ht="14.45" customHeight="1" x14ac:dyDescent="0.25">
      <c r="A899" s="115">
        <v>7</v>
      </c>
      <c r="B899" s="134"/>
      <c r="C899" s="50" t="s">
        <v>4068</v>
      </c>
      <c r="D899" s="20" t="s">
        <v>4069</v>
      </c>
      <c r="E899" s="58" t="s">
        <v>40</v>
      </c>
      <c r="F899" s="58" t="s">
        <v>238</v>
      </c>
      <c r="G899" s="90" t="s">
        <v>3872</v>
      </c>
      <c r="H899" s="22" t="s">
        <v>1078</v>
      </c>
      <c r="I899" s="58" t="s">
        <v>44</v>
      </c>
      <c r="J899" s="22" t="s">
        <v>4070</v>
      </c>
      <c r="K899" s="30"/>
      <c r="L899" s="25"/>
      <c r="M899" s="26"/>
      <c r="N899" s="26"/>
      <c r="O899" s="27"/>
      <c r="P899" s="53"/>
      <c r="Q899" s="29"/>
      <c r="R899" s="26"/>
      <c r="S899" s="33" t="s">
        <v>4027</v>
      </c>
      <c r="T899" s="33"/>
      <c r="U899" s="33"/>
      <c r="V899" s="33"/>
      <c r="W899" s="30">
        <v>45383</v>
      </c>
      <c r="X899" s="30">
        <v>45383</v>
      </c>
      <c r="Y899" s="30">
        <v>45383</v>
      </c>
      <c r="Z899" s="31" t="str">
        <f ca="1">DATEDIF(W899,TODAY(),"y")&amp;" Tahun "&amp;DATEDIF(W899,TODAY(),"ym")&amp;" Bulan "&amp;DATEDIF(W899,TODAY(),"md")&amp;" Hari"</f>
        <v>1 Tahun 6 Bulan 30 Hari</v>
      </c>
      <c r="AA899" s="55" t="s">
        <v>934</v>
      </c>
      <c r="AB899" s="56">
        <v>36123</v>
      </c>
      <c r="AC899" s="31" t="s">
        <v>4071</v>
      </c>
      <c r="AD899" s="57" t="str">
        <f t="shared" ca="1" si="61"/>
        <v xml:space="preserve">26 Tahun 11 Bulan </v>
      </c>
      <c r="AE899" s="33" t="s">
        <v>4029</v>
      </c>
      <c r="AF899" s="34"/>
      <c r="AG899" s="58" t="s">
        <v>3974</v>
      </c>
      <c r="AH899" s="58"/>
      <c r="AI899" s="58"/>
      <c r="AJ899" s="58"/>
      <c r="AK899" s="198"/>
      <c r="AL899" s="22" t="s">
        <v>4013</v>
      </c>
    </row>
    <row r="900" spans="1:39" ht="14.45" customHeight="1" x14ac:dyDescent="0.25">
      <c r="A900" s="115">
        <v>8</v>
      </c>
      <c r="B900" s="78"/>
      <c r="C900" s="50" t="s">
        <v>4072</v>
      </c>
      <c r="D900" s="20" t="s">
        <v>4073</v>
      </c>
      <c r="E900" s="52" t="s">
        <v>56</v>
      </c>
      <c r="F900" s="22" t="s">
        <v>41</v>
      </c>
      <c r="G900" s="23" t="s">
        <v>42</v>
      </c>
      <c r="H900" s="22" t="s">
        <v>43</v>
      </c>
      <c r="I900" s="22" t="s">
        <v>44</v>
      </c>
      <c r="J900" s="22" t="s">
        <v>148</v>
      </c>
      <c r="K900" s="24">
        <v>45689</v>
      </c>
      <c r="L900" s="25" t="s">
        <v>4074</v>
      </c>
      <c r="M900" s="26">
        <v>42106</v>
      </c>
      <c r="N900" s="26">
        <v>44082</v>
      </c>
      <c r="O900" s="27" t="s">
        <v>1826</v>
      </c>
      <c r="P900" s="28"/>
      <c r="Q900" s="29"/>
      <c r="R900" s="26"/>
      <c r="S900" s="23" t="s">
        <v>84</v>
      </c>
      <c r="T900" s="23"/>
      <c r="U900" s="23"/>
      <c r="V900" s="15"/>
      <c r="W900" s="30">
        <v>35490</v>
      </c>
      <c r="X900" s="30">
        <v>35490</v>
      </c>
      <c r="Y900" s="30">
        <v>40118</v>
      </c>
      <c r="Z900" s="55" t="str">
        <f ca="1">DATEDIF(W900,TODAY(),"y")&amp;" Tahun "&amp;DATEDIF(W900,TODAY(),"ym")&amp;" Bulan "&amp;DATEDIF(W900,TODAY(),"md")&amp;" Hari"</f>
        <v>28 Tahun 7 Bulan 30 Hari</v>
      </c>
      <c r="AA900" s="55" t="s">
        <v>76</v>
      </c>
      <c r="AB900" s="56">
        <v>26184</v>
      </c>
      <c r="AC900" s="32" t="s">
        <v>4075</v>
      </c>
      <c r="AD900" s="57" t="str">
        <f t="shared" ca="1" si="61"/>
        <v xml:space="preserve">54 Tahun 1 Bulan </v>
      </c>
      <c r="AE900" s="61" t="s">
        <v>1106</v>
      </c>
      <c r="AF900" s="79"/>
      <c r="AG900" s="58" t="s">
        <v>3974</v>
      </c>
      <c r="AH900" s="58"/>
      <c r="AI900" s="58"/>
      <c r="AJ900" s="58" t="s">
        <v>224</v>
      </c>
      <c r="AK900" s="33"/>
      <c r="AL900" s="36"/>
      <c r="AM900" s="14"/>
    </row>
    <row r="901" spans="1:39" ht="14.45" customHeight="1" x14ac:dyDescent="0.25">
      <c r="A901" s="115">
        <v>9</v>
      </c>
      <c r="B901" s="18"/>
      <c r="C901" s="50" t="s">
        <v>5968</v>
      </c>
      <c r="D901" s="20" t="s">
        <v>4076</v>
      </c>
      <c r="E901" s="21" t="s">
        <v>40</v>
      </c>
      <c r="F901" s="22" t="s">
        <v>192</v>
      </c>
      <c r="G901" s="23" t="s">
        <v>193</v>
      </c>
      <c r="H901" s="22" t="s">
        <v>194</v>
      </c>
      <c r="I901" s="22" t="s">
        <v>155</v>
      </c>
      <c r="J901" s="22" t="s">
        <v>4077</v>
      </c>
      <c r="K901" s="24" t="s">
        <v>195</v>
      </c>
      <c r="L901" s="22"/>
      <c r="M901" s="22"/>
      <c r="N901" s="22"/>
      <c r="O901" s="22"/>
      <c r="P901" s="22"/>
      <c r="Q901" s="22"/>
      <c r="R901" s="22"/>
      <c r="S901" s="23" t="s">
        <v>3991</v>
      </c>
      <c r="T901" s="23"/>
      <c r="U901" s="23"/>
      <c r="V901" s="23"/>
      <c r="W901" s="69">
        <v>45809</v>
      </c>
      <c r="X901" s="69">
        <v>45810</v>
      </c>
      <c r="Y901" s="69">
        <v>45810</v>
      </c>
      <c r="Z901" s="31" t="str">
        <f ca="1">DATEDIF(X901,TODAY(),"y")&amp;" Tahun "&amp;DATEDIF(X901,TODAY(),"ym")&amp;" Bulan "&amp;DATEDIF(X901,TODAY(),"md")&amp;" Hari"</f>
        <v>0 Tahun 4 Bulan 29 Hari</v>
      </c>
      <c r="AA901" s="23" t="s">
        <v>4078</v>
      </c>
      <c r="AB901" s="32">
        <v>36439</v>
      </c>
      <c r="AC901" s="32" t="s">
        <v>4079</v>
      </c>
      <c r="AD901" s="22" t="str">
        <f t="shared" ca="1" si="61"/>
        <v xml:space="preserve">26 Tahun 0 Bulan </v>
      </c>
      <c r="AE901" s="23" t="s">
        <v>3973</v>
      </c>
      <c r="AF901" s="34"/>
      <c r="AG901" s="58" t="s">
        <v>3974</v>
      </c>
      <c r="AH901" s="58"/>
      <c r="AI901" s="58"/>
      <c r="AJ901" s="58"/>
      <c r="AK901" s="33"/>
      <c r="AL901" s="22"/>
    </row>
    <row r="902" spans="1:39" ht="14.45" customHeight="1" x14ac:dyDescent="0.25">
      <c r="A902" s="115">
        <v>10</v>
      </c>
      <c r="B902" s="18"/>
      <c r="C902" s="50" t="s">
        <v>5969</v>
      </c>
      <c r="D902" s="20" t="s">
        <v>4080</v>
      </c>
      <c r="E902" s="21" t="s">
        <v>56</v>
      </c>
      <c r="F902" s="22" t="s">
        <v>192</v>
      </c>
      <c r="G902" s="23" t="s">
        <v>193</v>
      </c>
      <c r="H902" s="22" t="s">
        <v>194</v>
      </c>
      <c r="I902" s="22" t="s">
        <v>155</v>
      </c>
      <c r="J902" s="22" t="s">
        <v>4077</v>
      </c>
      <c r="K902" s="24" t="s">
        <v>195</v>
      </c>
      <c r="L902" s="22"/>
      <c r="M902" s="22"/>
      <c r="N902" s="22"/>
      <c r="O902" s="22"/>
      <c r="P902" s="22"/>
      <c r="Q902" s="22"/>
      <c r="R902" s="22"/>
      <c r="S902" s="23" t="s">
        <v>3991</v>
      </c>
      <c r="T902" s="23"/>
      <c r="U902" s="23"/>
      <c r="V902" s="23"/>
      <c r="W902" s="69">
        <v>45809</v>
      </c>
      <c r="X902" s="69">
        <v>45810</v>
      </c>
      <c r="Y902" s="69">
        <v>45810</v>
      </c>
      <c r="Z902" s="31" t="str">
        <f ca="1">DATEDIF(X902,TODAY(),"y")&amp;" Tahun "&amp;DATEDIF(X902,TODAY(),"ym")&amp;" Bulan "&amp;DATEDIF(X902,TODAY(),"md")&amp;" Hari"</f>
        <v>0 Tahun 4 Bulan 29 Hari</v>
      </c>
      <c r="AA902" s="23" t="s">
        <v>1644</v>
      </c>
      <c r="AB902" s="32">
        <v>36495</v>
      </c>
      <c r="AC902" s="32" t="s">
        <v>4081</v>
      </c>
      <c r="AD902" s="22" t="str">
        <f t="shared" ca="1" si="61"/>
        <v xml:space="preserve">25 Tahun 10 Bulan </v>
      </c>
      <c r="AE902" s="23" t="s">
        <v>3973</v>
      </c>
      <c r="AF902" s="34"/>
      <c r="AG902" s="58" t="s">
        <v>3974</v>
      </c>
      <c r="AH902" s="58"/>
      <c r="AI902" s="58"/>
      <c r="AJ902" s="58"/>
      <c r="AK902" s="33"/>
      <c r="AL902" s="22"/>
    </row>
    <row r="903" spans="1:39" ht="14.45" customHeight="1" x14ac:dyDescent="0.25">
      <c r="A903" s="115">
        <v>11</v>
      </c>
      <c r="B903" s="18"/>
      <c r="C903" s="50" t="s">
        <v>5970</v>
      </c>
      <c r="D903" s="20" t="s">
        <v>4082</v>
      </c>
      <c r="E903" s="21" t="s">
        <v>56</v>
      </c>
      <c r="F903" s="22" t="s">
        <v>192</v>
      </c>
      <c r="G903" s="23" t="s">
        <v>227</v>
      </c>
      <c r="H903" s="22" t="s">
        <v>228</v>
      </c>
      <c r="I903" s="22" t="s">
        <v>155</v>
      </c>
      <c r="J903" s="22" t="s">
        <v>4083</v>
      </c>
      <c r="K903" s="24" t="s">
        <v>195</v>
      </c>
      <c r="L903" s="22"/>
      <c r="M903" s="22"/>
      <c r="N903" s="22"/>
      <c r="O903" s="22"/>
      <c r="P903" s="22"/>
      <c r="Q903" s="22"/>
      <c r="R903" s="22"/>
      <c r="S903" s="23" t="s">
        <v>4084</v>
      </c>
      <c r="T903" s="23"/>
      <c r="U903" s="23"/>
      <c r="V903" s="23"/>
      <c r="W903" s="69">
        <v>45809</v>
      </c>
      <c r="X903" s="69">
        <v>45810</v>
      </c>
      <c r="Y903" s="69">
        <v>45810</v>
      </c>
      <c r="Z903" s="31" t="str">
        <f ca="1">DATEDIF(X903,TODAY(),"y")&amp;" Tahun "&amp;DATEDIF(X903,TODAY(),"ym")&amp;" Bulan "&amp;DATEDIF(X903,TODAY(),"md")&amp;" Hari"</f>
        <v>0 Tahun 4 Bulan 29 Hari</v>
      </c>
      <c r="AA903" s="23" t="s">
        <v>203</v>
      </c>
      <c r="AB903" s="32">
        <v>35079</v>
      </c>
      <c r="AC903" s="32" t="s">
        <v>4085</v>
      </c>
      <c r="AD903" s="22" t="str">
        <f t="shared" ca="1" si="61"/>
        <v xml:space="preserve">29 Tahun 9 Bulan </v>
      </c>
      <c r="AE903" s="33" t="s">
        <v>4086</v>
      </c>
      <c r="AF903" s="34"/>
      <c r="AG903" s="58" t="s">
        <v>3974</v>
      </c>
      <c r="AH903" s="58"/>
      <c r="AI903" s="58"/>
      <c r="AJ903" s="58"/>
      <c r="AK903" s="33"/>
      <c r="AL903" s="22"/>
      <c r="AM903" s="14"/>
    </row>
    <row r="904" spans="1:39" ht="14.45" customHeight="1" x14ac:dyDescent="0.25">
      <c r="A904" s="115">
        <v>12</v>
      </c>
      <c r="B904" s="18"/>
      <c r="C904" s="50" t="s">
        <v>6155</v>
      </c>
      <c r="D904" s="20" t="s">
        <v>4087</v>
      </c>
      <c r="E904" s="21" t="s">
        <v>56</v>
      </c>
      <c r="F904" s="22" t="s">
        <v>192</v>
      </c>
      <c r="G904" s="23" t="s">
        <v>1547</v>
      </c>
      <c r="H904" s="22" t="s">
        <v>1548</v>
      </c>
      <c r="I904" s="22" t="s">
        <v>155</v>
      </c>
      <c r="J904" s="22" t="s">
        <v>4088</v>
      </c>
      <c r="K904" s="24" t="s">
        <v>195</v>
      </c>
      <c r="L904" s="22"/>
      <c r="M904" s="22"/>
      <c r="N904" s="22"/>
      <c r="O904" s="22"/>
      <c r="P904" s="22"/>
      <c r="Q904" s="22"/>
      <c r="R904" s="22"/>
      <c r="S904" s="23" t="s">
        <v>4027</v>
      </c>
      <c r="T904" s="23"/>
      <c r="U904" s="23"/>
      <c r="V904" s="23"/>
      <c r="W904" s="69">
        <v>45809</v>
      </c>
      <c r="X904" s="69">
        <v>45810</v>
      </c>
      <c r="Y904" s="69">
        <v>45810</v>
      </c>
      <c r="Z904" s="31" t="str">
        <f ca="1">DATEDIF(X904,TODAY(),"y")&amp;" Tahun "&amp;DATEDIF(X904,TODAY(),"ym")&amp;" Bulan "&amp;DATEDIF(X904,TODAY(),"md")&amp;" Hari"</f>
        <v>0 Tahun 4 Bulan 29 Hari</v>
      </c>
      <c r="AA904" s="23" t="s">
        <v>1516</v>
      </c>
      <c r="AB904" s="32">
        <v>35940</v>
      </c>
      <c r="AC904" s="32" t="s">
        <v>4089</v>
      </c>
      <c r="AD904" s="22" t="str">
        <f t="shared" ca="1" si="61"/>
        <v xml:space="preserve">27 Tahun 5 Bulan </v>
      </c>
      <c r="AE904" s="23" t="s">
        <v>4090</v>
      </c>
      <c r="AF904" s="34"/>
      <c r="AG904" s="58" t="s">
        <v>3974</v>
      </c>
      <c r="AH904" s="22"/>
      <c r="AI904" s="22"/>
      <c r="AJ904" s="22"/>
      <c r="AK904" s="33"/>
      <c r="AL904" s="36"/>
    </row>
    <row r="905" spans="1:39" ht="14.45" customHeight="1" x14ac:dyDescent="0.25">
      <c r="A905" s="115">
        <v>13</v>
      </c>
      <c r="B905" s="18"/>
      <c r="C905" s="50" t="s">
        <v>5971</v>
      </c>
      <c r="D905" s="20" t="s">
        <v>4091</v>
      </c>
      <c r="E905" s="21" t="s">
        <v>40</v>
      </c>
      <c r="F905" s="22" t="s">
        <v>192</v>
      </c>
      <c r="G905" s="23" t="s">
        <v>1547</v>
      </c>
      <c r="H905" s="22" t="s">
        <v>1548</v>
      </c>
      <c r="I905" s="22" t="s">
        <v>155</v>
      </c>
      <c r="J905" s="22" t="s">
        <v>4088</v>
      </c>
      <c r="K905" s="24" t="s">
        <v>195</v>
      </c>
      <c r="L905" s="22"/>
      <c r="M905" s="22"/>
      <c r="N905" s="22"/>
      <c r="O905" s="22"/>
      <c r="P905" s="22"/>
      <c r="Q905" s="22"/>
      <c r="R905" s="22"/>
      <c r="S905" s="23" t="s">
        <v>4027</v>
      </c>
      <c r="T905" s="23"/>
      <c r="U905" s="23"/>
      <c r="V905" s="23"/>
      <c r="W905" s="69">
        <v>45809</v>
      </c>
      <c r="X905" s="69">
        <v>45810</v>
      </c>
      <c r="Y905" s="69">
        <v>45810</v>
      </c>
      <c r="Z905" s="31" t="str">
        <f ca="1">DATEDIF(X905,TODAY(),"y")&amp;" Tahun "&amp;DATEDIF(X905,TODAY(),"ym")&amp;" Bulan "&amp;DATEDIF(X905,TODAY(),"md")&amp;" Hari"</f>
        <v>0 Tahun 4 Bulan 29 Hari</v>
      </c>
      <c r="AA905" s="23" t="s">
        <v>700</v>
      </c>
      <c r="AB905" s="32">
        <v>36679</v>
      </c>
      <c r="AC905" s="32" t="s">
        <v>4092</v>
      </c>
      <c r="AD905" s="22" t="str">
        <f t="shared" ca="1" si="61"/>
        <v xml:space="preserve">25 Tahun 4 Bulan </v>
      </c>
      <c r="AE905" s="23" t="s">
        <v>4090</v>
      </c>
      <c r="AF905" s="34"/>
      <c r="AG905" s="58" t="s">
        <v>3974</v>
      </c>
      <c r="AH905" s="22"/>
      <c r="AI905" s="22"/>
      <c r="AJ905" s="22"/>
      <c r="AK905" s="33"/>
      <c r="AL905" s="22"/>
    </row>
    <row r="906" spans="1:39" ht="14.45" customHeight="1" x14ac:dyDescent="0.25">
      <c r="A906" s="115">
        <v>14</v>
      </c>
      <c r="B906" s="18"/>
      <c r="C906" s="50" t="s">
        <v>4093</v>
      </c>
      <c r="D906" s="20" t="s">
        <v>4094</v>
      </c>
      <c r="E906" s="21" t="s">
        <v>40</v>
      </c>
      <c r="F906" s="22" t="s">
        <v>41</v>
      </c>
      <c r="G906" s="23" t="s">
        <v>102</v>
      </c>
      <c r="H906" s="22" t="s">
        <v>103</v>
      </c>
      <c r="I906" s="22" t="s">
        <v>155</v>
      </c>
      <c r="J906" s="22" t="s">
        <v>4095</v>
      </c>
      <c r="K906" s="24">
        <v>43466</v>
      </c>
      <c r="L906" s="22"/>
      <c r="M906" s="22"/>
      <c r="N906" s="22"/>
      <c r="O906" s="22"/>
      <c r="P906" s="22"/>
      <c r="Q906" s="22"/>
      <c r="R906" s="22"/>
      <c r="S906" s="23" t="s">
        <v>4096</v>
      </c>
      <c r="T906" s="23"/>
      <c r="U906" s="23"/>
      <c r="V906" s="23"/>
      <c r="W906" s="30">
        <v>34029</v>
      </c>
      <c r="X906" s="30">
        <v>34037</v>
      </c>
      <c r="Y906" s="30">
        <v>42064</v>
      </c>
      <c r="Z906" s="31" t="str">
        <f ca="1">DATEDIF(W906,TODAY(),"y")&amp;" Tahun "&amp;DATEDIF(W906,TODAY(),"ym")&amp;" Bulan "&amp;DATEDIF(W906,TODAY(),"md")&amp;" Hari"</f>
        <v>32 Tahun 7 Bulan 30 Hari</v>
      </c>
      <c r="AA906" s="31" t="s">
        <v>76</v>
      </c>
      <c r="AB906" s="32">
        <v>25090</v>
      </c>
      <c r="AC906" s="31" t="s">
        <v>4097</v>
      </c>
      <c r="AD906" s="22" t="str">
        <f t="shared" ca="1" si="61"/>
        <v xml:space="preserve">57 Tahun 1 Bulan </v>
      </c>
      <c r="AE906" s="33" t="s">
        <v>1341</v>
      </c>
      <c r="AF906" s="34"/>
      <c r="AG906" s="6" t="s">
        <v>4098</v>
      </c>
      <c r="AH906" s="58"/>
      <c r="AI906" s="58"/>
      <c r="AJ906" s="58"/>
      <c r="AK906" s="33"/>
      <c r="AL906" s="22"/>
    </row>
    <row r="907" spans="1:39" ht="14.45" customHeight="1" x14ac:dyDescent="0.25">
      <c r="A907" s="115">
        <v>15</v>
      </c>
      <c r="B907" s="76"/>
      <c r="C907" s="50" t="s">
        <v>4099</v>
      </c>
      <c r="D907" s="20" t="s">
        <v>4100</v>
      </c>
      <c r="E907" s="52" t="s">
        <v>40</v>
      </c>
      <c r="F907" s="22" t="s">
        <v>41</v>
      </c>
      <c r="G907" s="23" t="s">
        <v>193</v>
      </c>
      <c r="H907" s="22" t="s">
        <v>194</v>
      </c>
      <c r="I907" s="22" t="s">
        <v>155</v>
      </c>
      <c r="J907" s="22" t="s">
        <v>4101</v>
      </c>
      <c r="K907" s="24">
        <v>45017</v>
      </c>
      <c r="L907" s="22"/>
      <c r="M907" s="22"/>
      <c r="N907" s="22"/>
      <c r="O907" s="22"/>
      <c r="P907" s="22"/>
      <c r="Q907" s="22"/>
      <c r="R907" s="22"/>
      <c r="S907" s="23" t="s">
        <v>1339</v>
      </c>
      <c r="T907" s="23"/>
      <c r="U907" s="23"/>
      <c r="V907" s="23"/>
      <c r="W907" s="30">
        <v>39083</v>
      </c>
      <c r="X907" s="30">
        <v>33240</v>
      </c>
      <c r="Y907" s="30">
        <v>44470</v>
      </c>
      <c r="Z907" s="55" t="str">
        <f ca="1">DATEDIF(W907,TODAY(),"y")&amp;" Tahun "&amp;DATEDIF(W907,TODAY(),"ym")&amp;" Bulan "&amp;DATEDIF(W907,TODAY(),"md")&amp;" Hari"</f>
        <v>18 Tahun 9 Bulan 30 Hari</v>
      </c>
      <c r="AA907" s="55" t="s">
        <v>76</v>
      </c>
      <c r="AB907" s="56">
        <v>24849</v>
      </c>
      <c r="AC907" s="32" t="s">
        <v>4102</v>
      </c>
      <c r="AD907" s="57" t="str">
        <f t="shared" ca="1" si="61"/>
        <v xml:space="preserve">57 Tahun 9 Bulan </v>
      </c>
      <c r="AE907" s="61" t="s">
        <v>4095</v>
      </c>
      <c r="AF907" s="34"/>
      <c r="AG907" s="6" t="s">
        <v>4098</v>
      </c>
      <c r="AH907" s="58"/>
      <c r="AI907" s="58"/>
      <c r="AJ907" s="58"/>
      <c r="AK907" s="33"/>
      <c r="AL907" s="36"/>
    </row>
    <row r="908" spans="1:39" ht="14.45" customHeight="1" x14ac:dyDescent="0.25">
      <c r="A908" s="115">
        <v>16</v>
      </c>
      <c r="B908" s="134"/>
      <c r="C908" s="50" t="s">
        <v>4103</v>
      </c>
      <c r="D908" s="20" t="s">
        <v>4104</v>
      </c>
      <c r="E908" s="52" t="s">
        <v>40</v>
      </c>
      <c r="F908" s="22" t="s">
        <v>41</v>
      </c>
      <c r="G908" s="23" t="s">
        <v>2877</v>
      </c>
      <c r="H908" s="22" t="s">
        <v>2878</v>
      </c>
      <c r="I908" s="22" t="s">
        <v>155</v>
      </c>
      <c r="J908" s="22" t="s">
        <v>4101</v>
      </c>
      <c r="K908" s="24">
        <v>44835</v>
      </c>
      <c r="L908" s="25"/>
      <c r="M908" s="26"/>
      <c r="N908" s="26"/>
      <c r="O908" s="27"/>
      <c r="P908" s="28"/>
      <c r="Q908" s="29"/>
      <c r="R908" s="26"/>
      <c r="S908" s="23" t="s">
        <v>1339</v>
      </c>
      <c r="T908" s="23"/>
      <c r="U908" s="23"/>
      <c r="V908" s="23"/>
      <c r="W908" s="30">
        <v>40148</v>
      </c>
      <c r="X908" s="30">
        <v>38047</v>
      </c>
      <c r="Y908" s="30">
        <v>43550</v>
      </c>
      <c r="Z908" s="55" t="str">
        <f ca="1">DATEDIF(W908,TODAY(),"y")&amp;" Tahun "&amp;DATEDIF(W908,TODAY(),"ym")&amp;" Bulan "&amp;DATEDIF(W908,TODAY(),"md")&amp;" Hari"</f>
        <v>15 Tahun 10 Bulan 30 Hari</v>
      </c>
      <c r="AA908" s="55" t="s">
        <v>76</v>
      </c>
      <c r="AB908" s="56">
        <v>26748</v>
      </c>
      <c r="AC908" s="31" t="s">
        <v>4105</v>
      </c>
      <c r="AD908" s="57" t="str">
        <f t="shared" ca="1" si="61"/>
        <v xml:space="preserve">52 Tahun 7 Bulan </v>
      </c>
      <c r="AE908" s="61" t="s">
        <v>4095</v>
      </c>
      <c r="AF908" s="71"/>
      <c r="AG908" s="6" t="s">
        <v>4098</v>
      </c>
      <c r="AH908" s="58"/>
      <c r="AI908" s="58"/>
      <c r="AJ908" s="58"/>
      <c r="AK908" s="33" t="s">
        <v>485</v>
      </c>
      <c r="AL908" s="22"/>
    </row>
    <row r="909" spans="1:39" ht="14.45" customHeight="1" x14ac:dyDescent="0.25">
      <c r="A909" s="115">
        <v>17</v>
      </c>
      <c r="B909" s="76"/>
      <c r="C909" s="50" t="s">
        <v>4107</v>
      </c>
      <c r="D909" s="51" t="s">
        <v>4108</v>
      </c>
      <c r="E909" s="52" t="s">
        <v>40</v>
      </c>
      <c r="F909" s="22" t="s">
        <v>66</v>
      </c>
      <c r="G909" s="85" t="s">
        <v>3872</v>
      </c>
      <c r="H909" s="58" t="s">
        <v>3872</v>
      </c>
      <c r="I909" s="58"/>
      <c r="J909" s="58"/>
      <c r="K909" s="58"/>
      <c r="L909" s="22"/>
      <c r="M909" s="22"/>
      <c r="N909" s="22"/>
      <c r="O909" s="22"/>
      <c r="P909" s="22"/>
      <c r="Q909" s="22"/>
      <c r="R909" s="22"/>
      <c r="S909" s="59" t="s">
        <v>4109</v>
      </c>
      <c r="T909" s="59"/>
      <c r="U909" s="59"/>
      <c r="V909" s="59"/>
      <c r="W909" s="58"/>
      <c r="X909" s="82">
        <v>40360</v>
      </c>
      <c r="Y909" s="82">
        <v>40360</v>
      </c>
      <c r="Z909" s="55" t="str">
        <f ca="1">DATEDIF(X909,TODAY(),"y")&amp;" Tahun "&amp;DATEDIF(X909,TODAY(),"ym")&amp;" Bulan "&amp;DATEDIF(X909,TODAY(),"md")&amp;" Hari"</f>
        <v>15 Tahun 3 Bulan 30 Hari</v>
      </c>
      <c r="AA909" s="66" t="s">
        <v>563</v>
      </c>
      <c r="AB909" s="83">
        <v>27639</v>
      </c>
      <c r="AC909" s="84" t="s">
        <v>4110</v>
      </c>
      <c r="AD909" s="57" t="str">
        <f t="shared" ca="1" si="61"/>
        <v xml:space="preserve">50 Tahun 1 Bulan </v>
      </c>
      <c r="AE909" s="61" t="s">
        <v>4111</v>
      </c>
      <c r="AF909" s="79"/>
      <c r="AG909" s="6" t="s">
        <v>4098</v>
      </c>
      <c r="AH909" s="58"/>
      <c r="AI909" s="58"/>
      <c r="AJ909" s="58"/>
      <c r="AK909" s="85" t="s">
        <v>314</v>
      </c>
      <c r="AL909" s="22"/>
    </row>
    <row r="910" spans="1:39" ht="14.45" customHeight="1" x14ac:dyDescent="0.25">
      <c r="A910" s="115">
        <v>18</v>
      </c>
      <c r="B910" s="76"/>
      <c r="C910" s="50" t="s">
        <v>4112</v>
      </c>
      <c r="D910" s="51">
        <v>2023120728</v>
      </c>
      <c r="E910" s="52" t="s">
        <v>40</v>
      </c>
      <c r="F910" s="22" t="s">
        <v>1063</v>
      </c>
      <c r="G910" s="85" t="s">
        <v>3872</v>
      </c>
      <c r="H910" s="58" t="s">
        <v>3872</v>
      </c>
      <c r="I910" s="58"/>
      <c r="J910" s="58"/>
      <c r="K910" s="58"/>
      <c r="L910" s="22"/>
      <c r="M910" s="22"/>
      <c r="N910" s="22"/>
      <c r="O910" s="22"/>
      <c r="P910" s="22"/>
      <c r="Q910" s="22"/>
      <c r="R910" s="22"/>
      <c r="S910" s="59" t="s">
        <v>251</v>
      </c>
      <c r="T910" s="59"/>
      <c r="U910" s="59"/>
      <c r="V910" s="59"/>
      <c r="W910" s="58"/>
      <c r="X910" s="82">
        <v>45261</v>
      </c>
      <c r="Y910" s="82">
        <v>45261</v>
      </c>
      <c r="Z910" s="55" t="str">
        <f ca="1">DATEDIF(X910,TODAY(),"y")&amp;" Tahun "&amp;DATEDIF(X910,TODAY(),"ym")&amp;" Bulan "&amp;DATEDIF(X910,TODAY(),"md")&amp;" Hari"</f>
        <v>1 Tahun 10 Bulan 30 Hari</v>
      </c>
      <c r="AA910" s="66" t="s">
        <v>76</v>
      </c>
      <c r="AB910" s="83">
        <v>26573</v>
      </c>
      <c r="AC910" s="84" t="s">
        <v>4113</v>
      </c>
      <c r="AD910" s="57" t="str">
        <f t="shared" ca="1" si="61"/>
        <v xml:space="preserve">53 Tahun 0 Bulan </v>
      </c>
      <c r="AE910" s="61" t="s">
        <v>1341</v>
      </c>
      <c r="AF910" s="79"/>
      <c r="AG910" s="6" t="s">
        <v>4098</v>
      </c>
      <c r="AH910" s="58"/>
      <c r="AI910" s="58"/>
      <c r="AJ910" s="58"/>
      <c r="AK910" s="58" t="s">
        <v>4067</v>
      </c>
      <c r="AL910" s="22"/>
    </row>
    <row r="911" spans="1:39" ht="14.45" customHeight="1" x14ac:dyDescent="0.25">
      <c r="A911" s="115">
        <v>19</v>
      </c>
      <c r="B911" s="76"/>
      <c r="C911" s="50" t="s">
        <v>4114</v>
      </c>
      <c r="D911" s="51" t="s">
        <v>5972</v>
      </c>
      <c r="E911" s="52" t="s">
        <v>40</v>
      </c>
      <c r="F911" s="22" t="s">
        <v>238</v>
      </c>
      <c r="G911" s="85" t="s">
        <v>3872</v>
      </c>
      <c r="H911" s="58" t="s">
        <v>1078</v>
      </c>
      <c r="I911" s="58" t="s">
        <v>155</v>
      </c>
      <c r="J911" s="58" t="s">
        <v>5693</v>
      </c>
      <c r="K911" s="58"/>
      <c r="L911" s="22"/>
      <c r="M911" s="22"/>
      <c r="N911" s="22"/>
      <c r="O911" s="22"/>
      <c r="P911" s="22"/>
      <c r="Q911" s="22"/>
      <c r="R911" s="22"/>
      <c r="S911" s="59" t="s">
        <v>1068</v>
      </c>
      <c r="T911" s="59"/>
      <c r="U911" s="59"/>
      <c r="V911" s="59"/>
      <c r="W911" s="177">
        <v>45931</v>
      </c>
      <c r="X911" s="82">
        <v>45261</v>
      </c>
      <c r="Y911" s="82">
        <v>45261</v>
      </c>
      <c r="Z911" s="55" t="str">
        <f ca="1">DATEDIF(X911,TODAY(),"y")&amp;" Tahun "&amp;DATEDIF(X911,TODAY(),"ym")&amp;" Bulan "&amp;DATEDIF(X911,TODAY(),"md")&amp;" Hari"</f>
        <v>1 Tahun 10 Bulan 30 Hari</v>
      </c>
      <c r="AA911" s="66" t="s">
        <v>76</v>
      </c>
      <c r="AB911" s="83">
        <v>32005</v>
      </c>
      <c r="AC911" s="84" t="s">
        <v>5973</v>
      </c>
      <c r="AD911" s="57" t="str">
        <f t="shared" ca="1" si="61"/>
        <v xml:space="preserve">38 Tahun 2 Bulan </v>
      </c>
      <c r="AE911" s="61" t="s">
        <v>1341</v>
      </c>
      <c r="AF911" s="79"/>
      <c r="AG911" s="6" t="s">
        <v>4098</v>
      </c>
      <c r="AH911" s="58"/>
      <c r="AI911" s="58"/>
      <c r="AJ911" s="58"/>
      <c r="AK911" s="33" t="s">
        <v>485</v>
      </c>
      <c r="AL911" s="22"/>
    </row>
    <row r="912" spans="1:39" ht="14.45" customHeight="1" x14ac:dyDescent="0.25">
      <c r="A912" s="115">
        <v>20</v>
      </c>
      <c r="B912" s="76"/>
      <c r="C912" s="50" t="s">
        <v>4115</v>
      </c>
      <c r="D912" s="20" t="s">
        <v>4116</v>
      </c>
      <c r="E912" s="58" t="s">
        <v>56</v>
      </c>
      <c r="F912" s="22" t="s">
        <v>41</v>
      </c>
      <c r="G912" s="33" t="s">
        <v>57</v>
      </c>
      <c r="H912" s="22" t="s">
        <v>58</v>
      </c>
      <c r="I912" s="22" t="s">
        <v>44</v>
      </c>
      <c r="J912" s="22" t="s">
        <v>92</v>
      </c>
      <c r="K912" s="30">
        <v>45505</v>
      </c>
      <c r="L912" s="22"/>
      <c r="M912" s="22"/>
      <c r="N912" s="22"/>
      <c r="O912" s="22"/>
      <c r="P912" s="22"/>
      <c r="Q912" s="23"/>
      <c r="R912" s="26"/>
      <c r="S912" s="33" t="s">
        <v>94</v>
      </c>
      <c r="T912" s="33">
        <v>2009</v>
      </c>
      <c r="U912" s="33"/>
      <c r="V912" s="33"/>
      <c r="W912" s="30">
        <v>40190</v>
      </c>
      <c r="X912" s="30">
        <v>44743</v>
      </c>
      <c r="Y912" s="30">
        <v>44805</v>
      </c>
      <c r="Z912" s="55" t="str">
        <f t="shared" ref="Z912:Z923" ca="1" si="64">DATEDIF(X912,TODAY(),"y")&amp;" Tahun "&amp;DATEDIF(X912,TODAY(),"ym")&amp;" Bulan "&amp;DATEDIF(X912,TODAY(),"md")&amp;" Hari"</f>
        <v>3 Tahun 3 Bulan 30 Hari</v>
      </c>
      <c r="AA912" s="66" t="s">
        <v>76</v>
      </c>
      <c r="AB912" s="56">
        <v>31363</v>
      </c>
      <c r="AC912" s="31" t="s">
        <v>4117</v>
      </c>
      <c r="AD912" s="57" t="str">
        <f t="shared" ca="1" si="61"/>
        <v xml:space="preserve">39 Tahun 11 Bulan </v>
      </c>
      <c r="AE912" s="85" t="s">
        <v>4118</v>
      </c>
      <c r="AF912" s="34"/>
      <c r="AG912" s="58" t="s">
        <v>4119</v>
      </c>
      <c r="AH912" s="22"/>
      <c r="AI912" s="22"/>
      <c r="AJ912" s="60"/>
      <c r="AK912" s="61"/>
      <c r="AL912" s="36"/>
      <c r="AM912" s="14"/>
    </row>
    <row r="913" spans="1:39" ht="14.45" customHeight="1" x14ac:dyDescent="0.25">
      <c r="A913" s="115">
        <v>21</v>
      </c>
      <c r="B913" s="18"/>
      <c r="C913" s="50" t="s">
        <v>4120</v>
      </c>
      <c r="D913" s="20" t="s">
        <v>4121</v>
      </c>
      <c r="E913" s="22" t="s">
        <v>56</v>
      </c>
      <c r="F913" s="22" t="s">
        <v>238</v>
      </c>
      <c r="G913" s="33" t="s">
        <v>3872</v>
      </c>
      <c r="H913" s="22" t="s">
        <v>305</v>
      </c>
      <c r="I913" s="22" t="s">
        <v>44</v>
      </c>
      <c r="J913" s="22" t="s">
        <v>306</v>
      </c>
      <c r="K913" s="30"/>
      <c r="L913" s="25" t="s">
        <v>4122</v>
      </c>
      <c r="M913" s="26">
        <v>42598</v>
      </c>
      <c r="N913" s="26">
        <v>44341</v>
      </c>
      <c r="O913" s="27" t="s">
        <v>94</v>
      </c>
      <c r="P913" s="28" t="s">
        <v>4123</v>
      </c>
      <c r="Q913" s="29">
        <v>42725</v>
      </c>
      <c r="R913" s="26">
        <v>44341</v>
      </c>
      <c r="S913" s="33" t="s">
        <v>4124</v>
      </c>
      <c r="T913" s="33"/>
      <c r="U913" s="33"/>
      <c r="V913" s="33"/>
      <c r="W913" s="30">
        <v>45047</v>
      </c>
      <c r="X913" s="30">
        <v>42095</v>
      </c>
      <c r="Y913" s="30">
        <v>42114</v>
      </c>
      <c r="Z913" s="31" t="str">
        <f t="shared" ca="1" si="64"/>
        <v>10 Tahun 6 Bulan 30 Hari</v>
      </c>
      <c r="AA913" s="31" t="s">
        <v>76</v>
      </c>
      <c r="AB913" s="32">
        <v>32288</v>
      </c>
      <c r="AC913" s="31" t="s">
        <v>4125</v>
      </c>
      <c r="AD913" s="22" t="str">
        <f t="shared" ca="1" si="61"/>
        <v xml:space="preserve">37 Tahun 5 Bulan </v>
      </c>
      <c r="AE913" s="33" t="s">
        <v>94</v>
      </c>
      <c r="AF913" s="34"/>
      <c r="AG913" s="58" t="s">
        <v>4119</v>
      </c>
      <c r="AH913" s="22"/>
      <c r="AI913" s="22"/>
      <c r="AJ913" s="22"/>
      <c r="AK913" s="33" t="s">
        <v>200</v>
      </c>
      <c r="AL913" s="36"/>
    </row>
    <row r="914" spans="1:39" ht="14.45" customHeight="1" x14ac:dyDescent="0.25">
      <c r="A914" s="115">
        <v>22</v>
      </c>
      <c r="B914" s="18"/>
      <c r="C914" s="50" t="s">
        <v>4126</v>
      </c>
      <c r="D914" s="42" t="s">
        <v>4127</v>
      </c>
      <c r="E914" s="58" t="s">
        <v>56</v>
      </c>
      <c r="F914" s="58" t="s">
        <v>238</v>
      </c>
      <c r="G914" s="33" t="s">
        <v>3872</v>
      </c>
      <c r="H914" s="22" t="s">
        <v>305</v>
      </c>
      <c r="I914" s="22" t="s">
        <v>44</v>
      </c>
      <c r="J914" s="22" t="s">
        <v>306</v>
      </c>
      <c r="K914" s="30"/>
      <c r="L914" s="25" t="s">
        <v>4128</v>
      </c>
      <c r="M914" s="26">
        <v>41885</v>
      </c>
      <c r="N914" s="26">
        <v>43771</v>
      </c>
      <c r="O914" s="27" t="s">
        <v>94</v>
      </c>
      <c r="P914" s="28" t="s">
        <v>4129</v>
      </c>
      <c r="Q914" s="29">
        <v>42299</v>
      </c>
      <c r="R914" s="26">
        <v>43771</v>
      </c>
      <c r="S914" s="33" t="s">
        <v>4124</v>
      </c>
      <c r="T914" s="33"/>
      <c r="U914" s="33"/>
      <c r="V914" s="33"/>
      <c r="W914" s="30">
        <v>45047</v>
      </c>
      <c r="X914" s="30">
        <v>42095</v>
      </c>
      <c r="Y914" s="30">
        <v>42114</v>
      </c>
      <c r="Z914" s="55" t="str">
        <f t="shared" ca="1" si="64"/>
        <v>10 Tahun 6 Bulan 30 Hari</v>
      </c>
      <c r="AA914" s="31" t="s">
        <v>297</v>
      </c>
      <c r="AB914" s="32">
        <v>32814</v>
      </c>
      <c r="AC914" s="31" t="s">
        <v>4130</v>
      </c>
      <c r="AD914" s="57" t="str">
        <f t="shared" ca="1" si="61"/>
        <v xml:space="preserve">35 Tahun 11 Bulan </v>
      </c>
      <c r="AE914" s="33" t="s">
        <v>94</v>
      </c>
      <c r="AF914" s="71"/>
      <c r="AG914" s="58" t="s">
        <v>4119</v>
      </c>
      <c r="AH914" s="22"/>
      <c r="AI914" s="22"/>
      <c r="AJ914" s="22"/>
      <c r="AK914" s="33" t="s">
        <v>200</v>
      </c>
      <c r="AL914" s="36"/>
    </row>
    <row r="915" spans="1:39" ht="14.45" customHeight="1" x14ac:dyDescent="0.25">
      <c r="A915" s="115">
        <v>23</v>
      </c>
      <c r="B915" s="18"/>
      <c r="C915" s="50" t="s">
        <v>4131</v>
      </c>
      <c r="D915" s="42" t="s">
        <v>4132</v>
      </c>
      <c r="E915" s="58" t="s">
        <v>56</v>
      </c>
      <c r="F915" s="87" t="s">
        <v>41</v>
      </c>
      <c r="G915" s="33" t="s">
        <v>1547</v>
      </c>
      <c r="H915" s="22" t="s">
        <v>1548</v>
      </c>
      <c r="I915" s="22" t="s">
        <v>44</v>
      </c>
      <c r="J915" s="22" t="s">
        <v>4133</v>
      </c>
      <c r="K915" s="30">
        <v>44621</v>
      </c>
      <c r="L915" s="25"/>
      <c r="M915" s="26"/>
      <c r="N915" s="26"/>
      <c r="O915" s="27"/>
      <c r="P915" s="28"/>
      <c r="Q915" s="29"/>
      <c r="R915" s="26"/>
      <c r="S915" s="23" t="s">
        <v>4134</v>
      </c>
      <c r="T915" s="33">
        <v>2019</v>
      </c>
      <c r="U915" s="33"/>
      <c r="V915" s="33"/>
      <c r="W915" s="30">
        <v>44621</v>
      </c>
      <c r="X915" s="30">
        <v>44621</v>
      </c>
      <c r="Y915" s="30">
        <v>44621</v>
      </c>
      <c r="Z915" s="55" t="str">
        <f t="shared" ca="1" si="64"/>
        <v>3 Tahun 7 Bulan 30 Hari</v>
      </c>
      <c r="AA915" s="31" t="s">
        <v>4135</v>
      </c>
      <c r="AB915" s="32">
        <v>34164</v>
      </c>
      <c r="AC915" s="31" t="s">
        <v>4136</v>
      </c>
      <c r="AD915" s="57" t="str">
        <f t="shared" ca="1" si="61"/>
        <v xml:space="preserve">32 Tahun 3 Bulan </v>
      </c>
      <c r="AE915" s="33" t="s">
        <v>4137</v>
      </c>
      <c r="AF915" s="71"/>
      <c r="AG915" s="58" t="s">
        <v>4119</v>
      </c>
      <c r="AH915" s="22"/>
      <c r="AI915" s="22"/>
      <c r="AJ915" s="22"/>
      <c r="AK915" s="33" t="s">
        <v>200</v>
      </c>
      <c r="AL915" s="36"/>
    </row>
    <row r="916" spans="1:39" ht="14.45" customHeight="1" x14ac:dyDescent="0.25">
      <c r="A916" s="115">
        <v>24</v>
      </c>
      <c r="B916" s="18"/>
      <c r="C916" s="50" t="s">
        <v>5974</v>
      </c>
      <c r="D916" s="42" t="s">
        <v>4138</v>
      </c>
      <c r="E916" s="58" t="s">
        <v>56</v>
      </c>
      <c r="F916" s="87" t="s">
        <v>238</v>
      </c>
      <c r="G916" s="33" t="s">
        <v>3872</v>
      </c>
      <c r="H916" s="22" t="s">
        <v>1078</v>
      </c>
      <c r="I916" s="22" t="s">
        <v>44</v>
      </c>
      <c r="J916" s="22" t="s">
        <v>4133</v>
      </c>
      <c r="K916" s="30"/>
      <c r="L916" s="25"/>
      <c r="M916" s="26"/>
      <c r="N916" s="26"/>
      <c r="O916" s="27"/>
      <c r="P916" s="28"/>
      <c r="Q916" s="29"/>
      <c r="R916" s="26"/>
      <c r="S916" s="23" t="s">
        <v>4134</v>
      </c>
      <c r="T916" s="33"/>
      <c r="U916" s="33"/>
      <c r="V916" s="33"/>
      <c r="W916" s="30">
        <v>45047</v>
      </c>
      <c r="X916" s="30">
        <v>45048</v>
      </c>
      <c r="Y916" s="30">
        <v>45048</v>
      </c>
      <c r="Z916" s="55" t="str">
        <f t="shared" ca="1" si="64"/>
        <v>2 Tahun 5 Bulan 29 Hari</v>
      </c>
      <c r="AA916" s="31" t="s">
        <v>76</v>
      </c>
      <c r="AB916" s="32">
        <v>30207</v>
      </c>
      <c r="AC916" s="31" t="s">
        <v>4139</v>
      </c>
      <c r="AD916" s="57" t="str">
        <f t="shared" ca="1" si="61"/>
        <v xml:space="preserve">43 Tahun 1 Bulan </v>
      </c>
      <c r="AE916" s="33" t="s">
        <v>4137</v>
      </c>
      <c r="AF916" s="71"/>
      <c r="AG916" s="58" t="s">
        <v>4119</v>
      </c>
      <c r="AH916" s="22"/>
      <c r="AI916" s="22"/>
      <c r="AJ916" s="22"/>
      <c r="AK916" s="33" t="s">
        <v>200</v>
      </c>
      <c r="AL916" s="36"/>
    </row>
    <row r="917" spans="1:39" ht="14.45" customHeight="1" x14ac:dyDescent="0.25">
      <c r="A917" s="115">
        <v>25</v>
      </c>
      <c r="B917" s="18"/>
      <c r="C917" s="50" t="s">
        <v>4140</v>
      </c>
      <c r="D917" s="42" t="s">
        <v>4141</v>
      </c>
      <c r="E917" s="58" t="s">
        <v>56</v>
      </c>
      <c r="F917" s="87" t="s">
        <v>238</v>
      </c>
      <c r="G917" s="33" t="s">
        <v>3872</v>
      </c>
      <c r="H917" s="22" t="s">
        <v>1078</v>
      </c>
      <c r="I917" s="22" t="s">
        <v>44</v>
      </c>
      <c r="J917" s="22" t="s">
        <v>4133</v>
      </c>
      <c r="K917" s="30"/>
      <c r="L917" s="25"/>
      <c r="M917" s="26"/>
      <c r="N917" s="26"/>
      <c r="O917" s="27"/>
      <c r="P917" s="28"/>
      <c r="Q917" s="29"/>
      <c r="R917" s="26"/>
      <c r="S917" s="23" t="s">
        <v>4134</v>
      </c>
      <c r="T917" s="33"/>
      <c r="U917" s="33"/>
      <c r="V917" s="33"/>
      <c r="W917" s="30">
        <v>45047</v>
      </c>
      <c r="X917" s="30">
        <v>45048</v>
      </c>
      <c r="Y917" s="30">
        <v>45048</v>
      </c>
      <c r="Z917" s="55" t="str">
        <f t="shared" ca="1" si="64"/>
        <v>2 Tahun 5 Bulan 29 Hari</v>
      </c>
      <c r="AA917" s="31" t="s">
        <v>76</v>
      </c>
      <c r="AB917" s="32">
        <v>28547</v>
      </c>
      <c r="AC917" s="31" t="s">
        <v>4142</v>
      </c>
      <c r="AD917" s="57" t="str">
        <f t="shared" ca="1" si="61"/>
        <v xml:space="preserve">47 Tahun 8 Bulan </v>
      </c>
      <c r="AE917" s="33" t="s">
        <v>4137</v>
      </c>
      <c r="AF917" s="71"/>
      <c r="AG917" s="58" t="s">
        <v>4119</v>
      </c>
      <c r="AH917" s="22"/>
      <c r="AI917" s="22"/>
      <c r="AJ917" s="22"/>
      <c r="AK917" s="33" t="s">
        <v>200</v>
      </c>
      <c r="AL917" s="36"/>
    </row>
    <row r="918" spans="1:39" ht="14.45" customHeight="1" x14ac:dyDescent="0.25">
      <c r="A918" s="107">
        <v>1</v>
      </c>
      <c r="B918" s="18"/>
      <c r="C918" s="50" t="s">
        <v>5975</v>
      </c>
      <c r="D918" s="42" t="s">
        <v>4143</v>
      </c>
      <c r="E918" s="58" t="s">
        <v>56</v>
      </c>
      <c r="F918" s="87" t="s">
        <v>238</v>
      </c>
      <c r="G918" s="33" t="s">
        <v>3872</v>
      </c>
      <c r="H918" s="22" t="s">
        <v>305</v>
      </c>
      <c r="I918" s="22" t="s">
        <v>44</v>
      </c>
      <c r="J918" s="22" t="s">
        <v>306</v>
      </c>
      <c r="K918" s="30"/>
      <c r="L918" s="25"/>
      <c r="M918" s="26"/>
      <c r="N918" s="26"/>
      <c r="O918" s="27"/>
      <c r="P918" s="28"/>
      <c r="Q918" s="29"/>
      <c r="R918" s="26"/>
      <c r="S918" s="23" t="s">
        <v>94</v>
      </c>
      <c r="T918" s="33"/>
      <c r="U918" s="33"/>
      <c r="V918" s="33"/>
      <c r="W918" s="30">
        <v>45047</v>
      </c>
      <c r="X918" s="30">
        <v>45048</v>
      </c>
      <c r="Y918" s="30">
        <v>45048</v>
      </c>
      <c r="Z918" s="55" t="str">
        <f t="shared" ca="1" si="64"/>
        <v>2 Tahun 5 Bulan 29 Hari</v>
      </c>
      <c r="AA918" s="31" t="s">
        <v>76</v>
      </c>
      <c r="AB918" s="32">
        <v>33366</v>
      </c>
      <c r="AC918" s="31" t="s">
        <v>4144</v>
      </c>
      <c r="AD918" s="57" t="str">
        <f t="shared" ca="1" si="61"/>
        <v xml:space="preserve">34 Tahun 5 Bulan </v>
      </c>
      <c r="AE918" s="33" t="s">
        <v>94</v>
      </c>
      <c r="AF918" s="71"/>
      <c r="AG918" s="58" t="s">
        <v>4119</v>
      </c>
      <c r="AH918" s="22"/>
      <c r="AI918" s="22"/>
      <c r="AJ918" s="22"/>
      <c r="AK918" s="33"/>
      <c r="AL918" s="36"/>
    </row>
    <row r="919" spans="1:39" ht="14.45" customHeight="1" x14ac:dyDescent="0.25">
      <c r="A919" s="17">
        <v>2</v>
      </c>
      <c r="B919" s="18"/>
      <c r="C919" s="50" t="s">
        <v>4145</v>
      </c>
      <c r="D919" s="42" t="s">
        <v>4146</v>
      </c>
      <c r="E919" s="58" t="s">
        <v>40</v>
      </c>
      <c r="F919" s="87" t="s">
        <v>238</v>
      </c>
      <c r="G919" s="33" t="s">
        <v>3872</v>
      </c>
      <c r="H919" s="22" t="s">
        <v>1078</v>
      </c>
      <c r="I919" s="22" t="s">
        <v>44</v>
      </c>
      <c r="J919" s="22" t="s">
        <v>4133</v>
      </c>
      <c r="K919" s="30"/>
      <c r="L919" s="25"/>
      <c r="M919" s="26"/>
      <c r="N919" s="26"/>
      <c r="O919" s="27"/>
      <c r="P919" s="28"/>
      <c r="Q919" s="29"/>
      <c r="R919" s="26"/>
      <c r="S919" s="23" t="s">
        <v>4134</v>
      </c>
      <c r="T919" s="33"/>
      <c r="U919" s="33"/>
      <c r="V919" s="33"/>
      <c r="W919" s="30">
        <v>45047</v>
      </c>
      <c r="X919" s="30">
        <v>45048</v>
      </c>
      <c r="Y919" s="30">
        <v>45048</v>
      </c>
      <c r="Z919" s="55" t="str">
        <f t="shared" ca="1" si="64"/>
        <v>2 Tahun 5 Bulan 29 Hari</v>
      </c>
      <c r="AA919" s="31" t="s">
        <v>76</v>
      </c>
      <c r="AB919" s="32">
        <v>31493</v>
      </c>
      <c r="AC919" s="31" t="s">
        <v>4147</v>
      </c>
      <c r="AD919" s="57" t="str">
        <f t="shared" ca="1" si="61"/>
        <v xml:space="preserve">39 Tahun 7 Bulan </v>
      </c>
      <c r="AE919" s="33" t="s">
        <v>4137</v>
      </c>
      <c r="AF919" s="71"/>
      <c r="AG919" s="58" t="s">
        <v>4119</v>
      </c>
      <c r="AH919" s="22"/>
      <c r="AI919" s="22"/>
      <c r="AJ919" s="60"/>
      <c r="AK919" s="61"/>
      <c r="AL919" s="36"/>
    </row>
    <row r="920" spans="1:39" ht="14.45" customHeight="1" x14ac:dyDescent="0.25">
      <c r="A920" s="107">
        <v>3</v>
      </c>
      <c r="B920" s="18"/>
      <c r="C920" s="50" t="s">
        <v>4148</v>
      </c>
      <c r="D920" s="42" t="s">
        <v>4149</v>
      </c>
      <c r="E920" s="58" t="s">
        <v>40</v>
      </c>
      <c r="F920" s="87" t="s">
        <v>238</v>
      </c>
      <c r="G920" s="33" t="s">
        <v>3872</v>
      </c>
      <c r="H920" s="22" t="s">
        <v>1078</v>
      </c>
      <c r="I920" s="22" t="s">
        <v>44</v>
      </c>
      <c r="J920" s="22" t="s">
        <v>4133</v>
      </c>
      <c r="K920" s="30"/>
      <c r="L920" s="25"/>
      <c r="M920" s="26"/>
      <c r="N920" s="26"/>
      <c r="O920" s="27"/>
      <c r="P920" s="28"/>
      <c r="Q920" s="29"/>
      <c r="R920" s="26"/>
      <c r="S920" s="23" t="s">
        <v>4134</v>
      </c>
      <c r="T920" s="33"/>
      <c r="U920" s="33"/>
      <c r="V920" s="33"/>
      <c r="W920" s="30">
        <v>45047</v>
      </c>
      <c r="X920" s="30">
        <v>45048</v>
      </c>
      <c r="Y920" s="30">
        <v>45048</v>
      </c>
      <c r="Z920" s="55" t="str">
        <f t="shared" ca="1" si="64"/>
        <v>2 Tahun 5 Bulan 29 Hari</v>
      </c>
      <c r="AA920" s="31" t="s">
        <v>76</v>
      </c>
      <c r="AB920" s="32">
        <v>30533</v>
      </c>
      <c r="AC920" s="31" t="s">
        <v>4150</v>
      </c>
      <c r="AD920" s="57" t="str">
        <f t="shared" ca="1" si="61"/>
        <v xml:space="preserve">42 Tahun 2 Bulan </v>
      </c>
      <c r="AE920" s="33" t="s">
        <v>4137</v>
      </c>
      <c r="AF920" s="71"/>
      <c r="AG920" s="58" t="s">
        <v>4119</v>
      </c>
      <c r="AH920" s="58" t="s">
        <v>4106</v>
      </c>
      <c r="AI920" s="58">
        <v>3</v>
      </c>
      <c r="AJ920" s="87"/>
      <c r="AK920" s="61"/>
      <c r="AL920" s="36"/>
    </row>
    <row r="921" spans="1:39" ht="14.45" customHeight="1" x14ac:dyDescent="0.25">
      <c r="A921" s="17">
        <v>4</v>
      </c>
      <c r="B921" s="18"/>
      <c r="C921" s="50" t="s">
        <v>4151</v>
      </c>
      <c r="D921" s="42" t="s">
        <v>4152</v>
      </c>
      <c r="E921" s="58" t="s">
        <v>56</v>
      </c>
      <c r="F921" s="87" t="s">
        <v>238</v>
      </c>
      <c r="G921" s="33" t="s">
        <v>3872</v>
      </c>
      <c r="H921" s="22" t="s">
        <v>1078</v>
      </c>
      <c r="I921" s="22" t="s">
        <v>44</v>
      </c>
      <c r="J921" s="22" t="s">
        <v>4133</v>
      </c>
      <c r="K921" s="30"/>
      <c r="L921" s="25"/>
      <c r="M921" s="26"/>
      <c r="N921" s="26"/>
      <c r="O921" s="27"/>
      <c r="P921" s="28"/>
      <c r="Q921" s="29"/>
      <c r="R921" s="26"/>
      <c r="S921" s="23" t="s">
        <v>4134</v>
      </c>
      <c r="T921" s="33"/>
      <c r="U921" s="33"/>
      <c r="V921" s="33"/>
      <c r="W921" s="30">
        <v>45047</v>
      </c>
      <c r="X921" s="30">
        <v>45048</v>
      </c>
      <c r="Y921" s="30">
        <v>45048</v>
      </c>
      <c r="Z921" s="55" t="str">
        <f t="shared" ca="1" si="64"/>
        <v>2 Tahun 5 Bulan 29 Hari</v>
      </c>
      <c r="AA921" s="31" t="s">
        <v>76</v>
      </c>
      <c r="AB921" s="32">
        <v>31609</v>
      </c>
      <c r="AC921" s="31" t="s">
        <v>4153</v>
      </c>
      <c r="AD921" s="57" t="str">
        <f t="shared" ca="1" si="61"/>
        <v xml:space="preserve">39 Tahun 3 Bulan </v>
      </c>
      <c r="AE921" s="33" t="s">
        <v>4137</v>
      </c>
      <c r="AF921" s="71"/>
      <c r="AG921" s="58" t="s">
        <v>4119</v>
      </c>
      <c r="AH921" s="58"/>
      <c r="AI921" s="58"/>
      <c r="AJ921" s="87"/>
      <c r="AK921" s="88"/>
      <c r="AL921" s="36"/>
    </row>
    <row r="922" spans="1:39" ht="14.45" customHeight="1" x14ac:dyDescent="0.25">
      <c r="A922" s="107">
        <v>5</v>
      </c>
      <c r="B922" s="18"/>
      <c r="C922" s="50" t="s">
        <v>4154</v>
      </c>
      <c r="D922" s="42" t="s">
        <v>4155</v>
      </c>
      <c r="E922" s="58" t="s">
        <v>40</v>
      </c>
      <c r="F922" s="87" t="s">
        <v>238</v>
      </c>
      <c r="G922" s="33" t="s">
        <v>3872</v>
      </c>
      <c r="H922" s="22" t="s">
        <v>1078</v>
      </c>
      <c r="I922" s="22" t="s">
        <v>44</v>
      </c>
      <c r="J922" s="22" t="s">
        <v>4133</v>
      </c>
      <c r="K922" s="30"/>
      <c r="L922" s="25"/>
      <c r="M922" s="26"/>
      <c r="N922" s="26"/>
      <c r="O922" s="27"/>
      <c r="P922" s="28"/>
      <c r="Q922" s="29"/>
      <c r="R922" s="26"/>
      <c r="S922" s="23" t="s">
        <v>4134</v>
      </c>
      <c r="T922" s="33"/>
      <c r="U922" s="33"/>
      <c r="V922" s="33"/>
      <c r="W922" s="30">
        <v>45047</v>
      </c>
      <c r="X922" s="30">
        <v>45048</v>
      </c>
      <c r="Y922" s="30">
        <v>45048</v>
      </c>
      <c r="Z922" s="55" t="str">
        <f t="shared" ca="1" si="64"/>
        <v>2 Tahun 5 Bulan 29 Hari</v>
      </c>
      <c r="AA922" s="31" t="s">
        <v>76</v>
      </c>
      <c r="AB922" s="32">
        <v>31972</v>
      </c>
      <c r="AC922" s="31" t="s">
        <v>4156</v>
      </c>
      <c r="AD922" s="57" t="str">
        <f t="shared" ca="1" si="61"/>
        <v xml:space="preserve">38 Tahun 3 Bulan </v>
      </c>
      <c r="AE922" s="33" t="s">
        <v>4137</v>
      </c>
      <c r="AF922" s="71"/>
      <c r="AG922" s="58" t="s">
        <v>4119</v>
      </c>
      <c r="AH922" s="58"/>
      <c r="AI922" s="58"/>
      <c r="AJ922" s="87"/>
      <c r="AK922" s="88"/>
      <c r="AL922" s="36"/>
    </row>
    <row r="923" spans="1:39" ht="14.45" customHeight="1" x14ac:dyDescent="0.25">
      <c r="A923" s="17">
        <v>6</v>
      </c>
      <c r="B923" s="18"/>
      <c r="C923" s="50" t="s">
        <v>4157</v>
      </c>
      <c r="D923" s="42" t="s">
        <v>4158</v>
      </c>
      <c r="E923" s="58" t="s">
        <v>56</v>
      </c>
      <c r="F923" s="87" t="s">
        <v>238</v>
      </c>
      <c r="G923" s="33" t="s">
        <v>3872</v>
      </c>
      <c r="H923" s="22" t="s">
        <v>1078</v>
      </c>
      <c r="I923" s="22" t="s">
        <v>44</v>
      </c>
      <c r="J923" s="22" t="s">
        <v>4133</v>
      </c>
      <c r="K923" s="30"/>
      <c r="L923" s="25"/>
      <c r="M923" s="26"/>
      <c r="N923" s="26"/>
      <c r="O923" s="27"/>
      <c r="P923" s="28"/>
      <c r="Q923" s="29"/>
      <c r="R923" s="26"/>
      <c r="S923" s="23" t="s">
        <v>4134</v>
      </c>
      <c r="T923" s="33"/>
      <c r="U923" s="33"/>
      <c r="V923" s="33"/>
      <c r="W923" s="30">
        <v>45047</v>
      </c>
      <c r="X923" s="30">
        <v>45048</v>
      </c>
      <c r="Y923" s="30">
        <v>45048</v>
      </c>
      <c r="Z923" s="55" t="str">
        <f t="shared" ca="1" si="64"/>
        <v>2 Tahun 5 Bulan 29 Hari</v>
      </c>
      <c r="AA923" s="31" t="s">
        <v>4159</v>
      </c>
      <c r="AB923" s="32">
        <v>31769</v>
      </c>
      <c r="AC923" s="31" t="s">
        <v>4160</v>
      </c>
      <c r="AD923" s="57" t="str">
        <f t="shared" ca="1" si="61"/>
        <v xml:space="preserve">38 Tahun 10 Bulan </v>
      </c>
      <c r="AE923" s="33" t="s">
        <v>4137</v>
      </c>
      <c r="AF923" s="71"/>
      <c r="AG923" s="58" t="s">
        <v>4119</v>
      </c>
      <c r="AH923" s="58"/>
      <c r="AI923" s="58"/>
      <c r="AJ923" s="87"/>
      <c r="AK923" s="88"/>
      <c r="AL923" s="36"/>
    </row>
    <row r="924" spans="1:39" ht="14.45" customHeight="1" x14ac:dyDescent="0.25">
      <c r="A924" s="17">
        <v>1</v>
      </c>
      <c r="B924" s="123"/>
      <c r="C924" s="50" t="s">
        <v>4161</v>
      </c>
      <c r="D924" s="20" t="s">
        <v>4162</v>
      </c>
      <c r="E924" s="21" t="s">
        <v>40</v>
      </c>
      <c r="F924" s="22" t="s">
        <v>41</v>
      </c>
      <c r="G924" s="23" t="s">
        <v>115</v>
      </c>
      <c r="H924" s="22" t="s">
        <v>116</v>
      </c>
      <c r="I924" s="22" t="s">
        <v>44</v>
      </c>
      <c r="J924" s="22" t="s">
        <v>92</v>
      </c>
      <c r="K924" s="24">
        <v>45505</v>
      </c>
      <c r="L924" s="25" t="s">
        <v>4163</v>
      </c>
      <c r="M924" s="26">
        <v>42459</v>
      </c>
      <c r="N924" s="26">
        <v>44322</v>
      </c>
      <c r="O924" s="27" t="s">
        <v>94</v>
      </c>
      <c r="P924" s="25" t="s">
        <v>4164</v>
      </c>
      <c r="Q924" s="29">
        <v>42592</v>
      </c>
      <c r="R924" s="26">
        <v>44322</v>
      </c>
      <c r="S924" s="23" t="s">
        <v>94</v>
      </c>
      <c r="T924" s="23"/>
      <c r="U924" s="23"/>
      <c r="V924" s="23"/>
      <c r="W924" s="30">
        <v>35125</v>
      </c>
      <c r="X924" s="30">
        <v>35125</v>
      </c>
      <c r="Y924" s="30">
        <v>40628</v>
      </c>
      <c r="Z924" s="31" t="str">
        <f ca="1">DATEDIF(W924,TODAY(),"y")&amp;" Tahun "&amp;DATEDIF(W924,TODAY(),"ym")&amp;" Bulan "&amp;DATEDIF(W924,TODAY(),"md")&amp;" Hari"</f>
        <v>29 Tahun 7 Bulan 30 Hari</v>
      </c>
      <c r="AA924" s="31" t="s">
        <v>498</v>
      </c>
      <c r="AB924" s="32">
        <v>27520</v>
      </c>
      <c r="AC924" s="32" t="s">
        <v>4165</v>
      </c>
      <c r="AD924" s="22" t="str">
        <f t="shared" ca="1" si="61"/>
        <v xml:space="preserve">50 Tahun 5 Bulan </v>
      </c>
      <c r="AE924" s="33" t="s">
        <v>94</v>
      </c>
      <c r="AF924" s="34" t="s">
        <v>3444</v>
      </c>
      <c r="AG924" s="58" t="s">
        <v>4119</v>
      </c>
      <c r="AH924" s="22"/>
      <c r="AI924" s="22"/>
      <c r="AJ924" s="22"/>
      <c r="AK924" s="33"/>
      <c r="AL924" s="22"/>
    </row>
    <row r="925" spans="1:39" ht="14.45" customHeight="1" x14ac:dyDescent="0.25">
      <c r="A925" s="115">
        <v>2</v>
      </c>
      <c r="B925" s="123"/>
      <c r="C925" s="50" t="s">
        <v>4166</v>
      </c>
      <c r="D925" s="20">
        <v>2023120763</v>
      </c>
      <c r="E925" s="21" t="s">
        <v>40</v>
      </c>
      <c r="F925" s="22" t="s">
        <v>1063</v>
      </c>
      <c r="G925" s="23" t="s">
        <v>3872</v>
      </c>
      <c r="H925" s="22" t="s">
        <v>3872</v>
      </c>
      <c r="I925" s="22"/>
      <c r="J925" s="22"/>
      <c r="K925" s="24"/>
      <c r="L925" s="25"/>
      <c r="M925" s="26"/>
      <c r="N925" s="26"/>
      <c r="O925" s="27"/>
      <c r="P925" s="25"/>
      <c r="Q925" s="29"/>
      <c r="R925" s="26"/>
      <c r="S925" s="23" t="s">
        <v>2575</v>
      </c>
      <c r="T925" s="23"/>
      <c r="U925" s="23"/>
      <c r="V925" s="23"/>
      <c r="W925" s="30"/>
      <c r="X925" s="30">
        <v>45261</v>
      </c>
      <c r="Y925" s="30">
        <v>45261</v>
      </c>
      <c r="Z925" s="31" t="str">
        <f ca="1">DATEDIF(X925,TODAY(),"y")&amp;" Tahun "&amp;DATEDIF(X925,TODAY(),"ym")&amp;" Bulan "&amp;DATEDIF(X925,TODAY(),"md")&amp;" Hari"</f>
        <v>1 Tahun 10 Bulan 30 Hari</v>
      </c>
      <c r="AA925" s="31" t="s">
        <v>76</v>
      </c>
      <c r="AB925" s="32">
        <v>30009</v>
      </c>
      <c r="AC925" s="32" t="s">
        <v>4167</v>
      </c>
      <c r="AD925" s="22" t="str">
        <f t="shared" ca="1" si="61"/>
        <v xml:space="preserve">43 Tahun 8 Bulan </v>
      </c>
      <c r="AE925" s="33" t="s">
        <v>1341</v>
      </c>
      <c r="AF925" s="34"/>
      <c r="AG925" s="58" t="s">
        <v>4119</v>
      </c>
      <c r="AH925" s="22"/>
      <c r="AI925" s="22"/>
      <c r="AJ925" s="22"/>
      <c r="AK925" s="33" t="s">
        <v>314</v>
      </c>
      <c r="AL925" s="22"/>
    </row>
    <row r="926" spans="1:39" ht="14.45" customHeight="1" x14ac:dyDescent="0.25">
      <c r="A926" s="17">
        <v>3</v>
      </c>
      <c r="B926" s="76"/>
      <c r="C926" s="50" t="s">
        <v>4168</v>
      </c>
      <c r="D926" s="20" t="s">
        <v>4169</v>
      </c>
      <c r="E926" s="52" t="s">
        <v>56</v>
      </c>
      <c r="F926" s="22" t="s">
        <v>41</v>
      </c>
      <c r="G926" s="33" t="s">
        <v>521</v>
      </c>
      <c r="H926" s="22" t="s">
        <v>522</v>
      </c>
      <c r="I926" s="22" t="s">
        <v>44</v>
      </c>
      <c r="J926" s="22" t="s">
        <v>4170</v>
      </c>
      <c r="K926" s="24">
        <v>42491</v>
      </c>
      <c r="L926" s="25" t="s">
        <v>4171</v>
      </c>
      <c r="M926" s="26">
        <v>42444</v>
      </c>
      <c r="N926" s="26">
        <v>44394</v>
      </c>
      <c r="O926" s="27" t="s">
        <v>274</v>
      </c>
      <c r="P926" s="28" t="s">
        <v>4172</v>
      </c>
      <c r="Q926" s="29">
        <v>42570</v>
      </c>
      <c r="R926" s="26">
        <v>44394</v>
      </c>
      <c r="S926" s="23" t="s">
        <v>94</v>
      </c>
      <c r="T926" s="23"/>
      <c r="U926" s="23"/>
      <c r="V926" s="23"/>
      <c r="W926" s="30">
        <v>33270</v>
      </c>
      <c r="X926" s="30">
        <v>33270</v>
      </c>
      <c r="Y926" s="30">
        <v>43864</v>
      </c>
      <c r="Z926" s="55" t="str">
        <f ca="1">DATEDIF(W926,TODAY(),"y")&amp;" Tahun "&amp;DATEDIF(W926,TODAY(),"ym")&amp;" Bulan "&amp;DATEDIF(W926,TODAY(),"md")&amp;" Hari"</f>
        <v>34 Tahun 8 Bulan 30 Hari</v>
      </c>
      <c r="AA926" s="55" t="s">
        <v>76</v>
      </c>
      <c r="AB926" s="56">
        <v>22844</v>
      </c>
      <c r="AC926" s="31" t="s">
        <v>4173</v>
      </c>
      <c r="AD926" s="57" t="str">
        <f t="shared" ca="1" si="61"/>
        <v xml:space="preserve">63 Tahun 3 Bulan </v>
      </c>
      <c r="AE926" s="61" t="s">
        <v>94</v>
      </c>
      <c r="AF926" s="199"/>
      <c r="AG926" s="58" t="s">
        <v>4119</v>
      </c>
      <c r="AH926" s="58"/>
      <c r="AI926" s="58"/>
      <c r="AJ926" s="58"/>
      <c r="AK926" s="33" t="s">
        <v>314</v>
      </c>
      <c r="AL926" s="22"/>
      <c r="AM926" s="14"/>
    </row>
    <row r="927" spans="1:39" ht="14.45" customHeight="1" x14ac:dyDescent="0.25">
      <c r="A927" s="115">
        <v>4</v>
      </c>
      <c r="B927" s="18"/>
      <c r="C927" s="50" t="s">
        <v>4174</v>
      </c>
      <c r="D927" s="20" t="s">
        <v>4175</v>
      </c>
      <c r="E927" s="52" t="s">
        <v>40</v>
      </c>
      <c r="F927" s="58" t="s">
        <v>41</v>
      </c>
      <c r="G927" s="23" t="s">
        <v>137</v>
      </c>
      <c r="H927" s="22" t="s">
        <v>138</v>
      </c>
      <c r="I927" s="22" t="s">
        <v>44</v>
      </c>
      <c r="J927" s="22" t="s">
        <v>4176</v>
      </c>
      <c r="K927" s="24">
        <v>43435</v>
      </c>
      <c r="L927" s="25" t="s">
        <v>4177</v>
      </c>
      <c r="M927" s="26">
        <v>41893</v>
      </c>
      <c r="N927" s="26">
        <v>43445</v>
      </c>
      <c r="O927" s="27" t="s">
        <v>4178</v>
      </c>
      <c r="P927" s="28" t="s">
        <v>4179</v>
      </c>
      <c r="Q927" s="29">
        <v>41974</v>
      </c>
      <c r="R927" s="26">
        <v>43445</v>
      </c>
      <c r="S927" s="23" t="s">
        <v>4134</v>
      </c>
      <c r="T927" s="23"/>
      <c r="U927" s="23"/>
      <c r="V927" s="23"/>
      <c r="W927" s="30">
        <v>36586</v>
      </c>
      <c r="X927" s="30">
        <v>36586</v>
      </c>
      <c r="Y927" s="30">
        <v>36586</v>
      </c>
      <c r="Z927" s="55" t="str">
        <f ca="1">DATEDIF(W927,TODAY(),"y")&amp;" Tahun "&amp;DATEDIF(W927,TODAY(),"ym")&amp;" Bulan "&amp;DATEDIF(W927,TODAY(),"md")&amp;" Hari"</f>
        <v>25 Tahun 7 Bulan 30 Hari</v>
      </c>
      <c r="AA927" s="55" t="s">
        <v>76</v>
      </c>
      <c r="AB927" s="56">
        <v>27374</v>
      </c>
      <c r="AC927" s="32" t="s">
        <v>4180</v>
      </c>
      <c r="AD927" s="57" t="str">
        <f t="shared" ca="1" si="61"/>
        <v xml:space="preserve">50 Tahun 10 Bulan </v>
      </c>
      <c r="AE927" s="33" t="s">
        <v>4137</v>
      </c>
      <c r="AF927" s="71"/>
      <c r="AG927" s="58" t="s">
        <v>4119</v>
      </c>
      <c r="AH927" s="58"/>
      <c r="AI927" s="58"/>
      <c r="AJ927" s="58"/>
      <c r="AK927" s="33"/>
      <c r="AL927" s="22"/>
      <c r="AM927" s="14"/>
    </row>
    <row r="928" spans="1:39" ht="14.45" customHeight="1" x14ac:dyDescent="0.25">
      <c r="A928" s="17">
        <v>5</v>
      </c>
      <c r="B928" s="18"/>
      <c r="C928" s="50" t="s">
        <v>4181</v>
      </c>
      <c r="D928" s="20" t="s">
        <v>4182</v>
      </c>
      <c r="E928" s="52" t="s">
        <v>56</v>
      </c>
      <c r="F928" s="58" t="s">
        <v>41</v>
      </c>
      <c r="G928" s="23" t="s">
        <v>102</v>
      </c>
      <c r="H928" s="22" t="s">
        <v>103</v>
      </c>
      <c r="I928" s="22" t="s">
        <v>44</v>
      </c>
      <c r="J928" s="22" t="s">
        <v>4176</v>
      </c>
      <c r="K928" s="24">
        <v>45200</v>
      </c>
      <c r="L928" s="25" t="s">
        <v>4183</v>
      </c>
      <c r="M928" s="26">
        <v>41969</v>
      </c>
      <c r="N928" s="26">
        <v>43635</v>
      </c>
      <c r="O928" s="27" t="s">
        <v>4184</v>
      </c>
      <c r="P928" s="28" t="s">
        <v>4185</v>
      </c>
      <c r="Q928" s="29">
        <v>42144</v>
      </c>
      <c r="R928" s="26">
        <v>43635</v>
      </c>
      <c r="S928" s="33" t="s">
        <v>4134</v>
      </c>
      <c r="T928" s="33"/>
      <c r="U928" s="33"/>
      <c r="V928" s="33"/>
      <c r="W928" s="30">
        <v>40148</v>
      </c>
      <c r="X928" s="30">
        <v>40238</v>
      </c>
      <c r="Y928" s="30">
        <v>40238</v>
      </c>
      <c r="Z928" s="55" t="str">
        <f ca="1">DATEDIF(W928,TODAY(),"y")&amp;" Tahun "&amp;DATEDIF(W928,TODAY(),"ym")&amp;" Bulan "&amp;DATEDIF(W928,TODAY(),"md")&amp;" Hari"</f>
        <v>15 Tahun 10 Bulan 30 Hari</v>
      </c>
      <c r="AA928" s="66" t="s">
        <v>697</v>
      </c>
      <c r="AB928" s="56">
        <v>29756</v>
      </c>
      <c r="AC928" s="31" t="s">
        <v>4186</v>
      </c>
      <c r="AD928" s="57" t="str">
        <f t="shared" ca="1" si="61"/>
        <v xml:space="preserve">44 Tahun 4 Bulan </v>
      </c>
      <c r="AE928" s="33" t="s">
        <v>4137</v>
      </c>
      <c r="AF928" s="34"/>
      <c r="AG928" s="58" t="s">
        <v>4119</v>
      </c>
      <c r="AH928" s="58"/>
      <c r="AI928" s="58"/>
      <c r="AJ928" s="58"/>
      <c r="AK928" s="33" t="s">
        <v>308</v>
      </c>
      <c r="AL928" s="22"/>
      <c r="AM928" s="14"/>
    </row>
    <row r="929" spans="1:39" ht="14.45" customHeight="1" x14ac:dyDescent="0.25">
      <c r="A929" s="115">
        <v>6</v>
      </c>
      <c r="B929" s="18"/>
      <c r="C929" s="50" t="s">
        <v>4187</v>
      </c>
      <c r="D929" s="20" t="s">
        <v>4188</v>
      </c>
      <c r="E929" s="21" t="s">
        <v>56</v>
      </c>
      <c r="F929" s="22" t="s">
        <v>41</v>
      </c>
      <c r="G929" s="23" t="s">
        <v>137</v>
      </c>
      <c r="H929" s="22" t="s">
        <v>138</v>
      </c>
      <c r="I929" s="22" t="s">
        <v>44</v>
      </c>
      <c r="J929" s="22" t="s">
        <v>4189</v>
      </c>
      <c r="K929" s="24">
        <v>44835</v>
      </c>
      <c r="L929" s="25" t="s">
        <v>4190</v>
      </c>
      <c r="M929" s="26">
        <v>41500</v>
      </c>
      <c r="N929" s="26">
        <v>43218</v>
      </c>
      <c r="O929" s="27" t="s">
        <v>274</v>
      </c>
      <c r="P929" s="28" t="s">
        <v>4191</v>
      </c>
      <c r="Q929" s="29">
        <v>41984</v>
      </c>
      <c r="R929" s="26">
        <v>43218</v>
      </c>
      <c r="S929" s="23" t="s">
        <v>96</v>
      </c>
      <c r="T929" s="23"/>
      <c r="U929" s="23"/>
      <c r="V929" s="23"/>
      <c r="W929" s="30">
        <v>39873</v>
      </c>
      <c r="X929" s="30">
        <v>41128</v>
      </c>
      <c r="Y929" s="30">
        <v>41142</v>
      </c>
      <c r="Z929" s="31" t="str">
        <f ca="1">DATEDIF(W929,TODAY(),"y")&amp;" Tahun "&amp;DATEDIF(W929,TODAY(),"ym")&amp;" Bulan "&amp;DATEDIF(W929,TODAY(),"md")&amp;" Hari"</f>
        <v>16 Tahun 7 Bulan 30 Hari</v>
      </c>
      <c r="AA929" s="31" t="s">
        <v>76</v>
      </c>
      <c r="AB929" s="32">
        <v>31165</v>
      </c>
      <c r="AC929" s="32" t="s">
        <v>4192</v>
      </c>
      <c r="AD929" s="22" t="str">
        <f t="shared" ca="1" si="61"/>
        <v xml:space="preserve">40 Tahun 6 Bulan </v>
      </c>
      <c r="AE929" s="33" t="s">
        <v>94</v>
      </c>
      <c r="AF929" s="34"/>
      <c r="AG929" s="58" t="s">
        <v>4119</v>
      </c>
      <c r="AH929" s="58"/>
      <c r="AI929" s="58"/>
      <c r="AJ929" s="58"/>
      <c r="AK929" s="33" t="s">
        <v>308</v>
      </c>
      <c r="AL929" s="22"/>
      <c r="AM929" s="14"/>
    </row>
    <row r="930" spans="1:39" ht="14.45" customHeight="1" x14ac:dyDescent="0.25">
      <c r="A930" s="17">
        <v>7</v>
      </c>
      <c r="B930" s="18"/>
      <c r="C930" s="50" t="s">
        <v>4193</v>
      </c>
      <c r="D930" s="62" t="s">
        <v>4194</v>
      </c>
      <c r="E930" s="21" t="s">
        <v>56</v>
      </c>
      <c r="F930" s="22" t="s">
        <v>41</v>
      </c>
      <c r="G930" s="23" t="s">
        <v>137</v>
      </c>
      <c r="H930" s="22" t="s">
        <v>138</v>
      </c>
      <c r="I930" s="22" t="s">
        <v>44</v>
      </c>
      <c r="J930" s="22" t="s">
        <v>4189</v>
      </c>
      <c r="K930" s="24">
        <v>45200</v>
      </c>
      <c r="L930" s="152" t="s">
        <v>4195</v>
      </c>
      <c r="M930" s="135">
        <v>42826</v>
      </c>
      <c r="N930" s="135">
        <v>44902</v>
      </c>
      <c r="O930" s="27" t="s">
        <v>94</v>
      </c>
      <c r="P930" s="53" t="s">
        <v>4196</v>
      </c>
      <c r="Q930" s="26">
        <v>43305</v>
      </c>
      <c r="R930" s="26">
        <v>44902</v>
      </c>
      <c r="S930" s="23" t="s">
        <v>94</v>
      </c>
      <c r="T930" s="23"/>
      <c r="U930" s="23"/>
      <c r="V930" s="23"/>
      <c r="W930" s="30">
        <v>43101</v>
      </c>
      <c r="X930" s="30">
        <v>43101</v>
      </c>
      <c r="Y930" s="30">
        <v>43101</v>
      </c>
      <c r="Z930" s="31" t="str">
        <f ca="1">DATEDIF(W930,TODAY(),"y")&amp;" Tahun "&amp;DATEDIF(W930,TODAY(),"ym")&amp;" Bulan "&amp;DATEDIF(W930,TODAY(),"md")&amp;" Hari"</f>
        <v>7 Tahun 9 Bulan 30 Hari</v>
      </c>
      <c r="AA930" s="31" t="s">
        <v>76</v>
      </c>
      <c r="AB930" s="32">
        <v>34162</v>
      </c>
      <c r="AC930" s="31" t="s">
        <v>4197</v>
      </c>
      <c r="AD930" s="22" t="str">
        <f t="shared" ca="1" si="61"/>
        <v xml:space="preserve">32 Tahun 3 Bulan </v>
      </c>
      <c r="AE930" s="33" t="s">
        <v>94</v>
      </c>
      <c r="AF930" s="34"/>
      <c r="AG930" s="58" t="s">
        <v>4119</v>
      </c>
      <c r="AH930" s="58"/>
      <c r="AI930" s="58"/>
      <c r="AJ930" s="58"/>
      <c r="AK930" s="33" t="s">
        <v>308</v>
      </c>
      <c r="AL930" s="22"/>
      <c r="AM930" s="14"/>
    </row>
    <row r="931" spans="1:39" ht="14.45" customHeight="1" x14ac:dyDescent="0.25">
      <c r="A931" s="115">
        <v>8</v>
      </c>
      <c r="B931" s="18">
        <v>1358</v>
      </c>
      <c r="C931" s="50" t="s">
        <v>4198</v>
      </c>
      <c r="D931" s="20" t="s">
        <v>4199</v>
      </c>
      <c r="E931" s="58" t="s">
        <v>56</v>
      </c>
      <c r="F931" s="22" t="s">
        <v>41</v>
      </c>
      <c r="G931" s="23" t="s">
        <v>193</v>
      </c>
      <c r="H931" s="22" t="s">
        <v>194</v>
      </c>
      <c r="I931" s="22" t="s">
        <v>44</v>
      </c>
      <c r="J931" s="22" t="s">
        <v>4200</v>
      </c>
      <c r="K931" s="24">
        <v>45931</v>
      </c>
      <c r="L931" s="22"/>
      <c r="M931" s="22"/>
      <c r="N931" s="22"/>
      <c r="O931" s="22"/>
      <c r="P931" s="22"/>
      <c r="Q931" s="22"/>
      <c r="R931" s="22"/>
      <c r="S931" s="23" t="s">
        <v>4134</v>
      </c>
      <c r="T931" s="23">
        <v>2012</v>
      </c>
      <c r="U931" s="23"/>
      <c r="V931" s="23"/>
      <c r="W931" s="30">
        <v>43497</v>
      </c>
      <c r="X931" s="30">
        <v>43497</v>
      </c>
      <c r="Y931" s="30">
        <v>43497</v>
      </c>
      <c r="Z931" s="55" t="str">
        <f ca="1">DATEDIF(X931,TODAY(),"y")&amp;" Tahun "&amp;DATEDIF(X931,TODAY(),"ym")&amp;" Bulan "&amp;DATEDIF(X931,TODAY(),"md")&amp;" Hari"</f>
        <v>6 Tahun 8 Bulan 30 Hari</v>
      </c>
      <c r="AA931" s="55" t="s">
        <v>1527</v>
      </c>
      <c r="AB931" s="56">
        <v>33203</v>
      </c>
      <c r="AC931" s="31" t="s">
        <v>4201</v>
      </c>
      <c r="AD931" s="57" t="str">
        <f t="shared" ca="1" si="61"/>
        <v xml:space="preserve">34 Tahun 11 Bulan </v>
      </c>
      <c r="AE931" s="33" t="s">
        <v>4137</v>
      </c>
      <c r="AF931" s="79"/>
      <c r="AG931" s="58" t="s">
        <v>4119</v>
      </c>
      <c r="AH931" s="58"/>
      <c r="AI931" s="58"/>
      <c r="AJ931" s="58"/>
      <c r="AK931" s="33" t="s">
        <v>308</v>
      </c>
      <c r="AL931" s="22"/>
      <c r="AM931" s="14"/>
    </row>
    <row r="932" spans="1:39" ht="14.45" customHeight="1" x14ac:dyDescent="0.25">
      <c r="A932" s="17">
        <v>9</v>
      </c>
      <c r="B932" s="200"/>
      <c r="C932" s="50" t="s">
        <v>5976</v>
      </c>
      <c r="D932" s="20" t="s">
        <v>4202</v>
      </c>
      <c r="E932" s="52" t="s">
        <v>40</v>
      </c>
      <c r="F932" s="22" t="s">
        <v>41</v>
      </c>
      <c r="G932" s="33" t="s">
        <v>102</v>
      </c>
      <c r="H932" s="22" t="s">
        <v>103</v>
      </c>
      <c r="I932" s="22" t="s">
        <v>155</v>
      </c>
      <c r="J932" s="22" t="s">
        <v>1338</v>
      </c>
      <c r="K932" s="24">
        <v>43922</v>
      </c>
      <c r="L932" s="22"/>
      <c r="M932" s="22"/>
      <c r="N932" s="22"/>
      <c r="O932" s="22"/>
      <c r="P932" s="22"/>
      <c r="Q932" s="22"/>
      <c r="R932" s="22"/>
      <c r="S932" s="23" t="s">
        <v>1172</v>
      </c>
      <c r="T932" s="23"/>
      <c r="U932" s="23"/>
      <c r="V932" s="23"/>
      <c r="W932" s="30">
        <v>35855</v>
      </c>
      <c r="X932" s="30">
        <v>35855</v>
      </c>
      <c r="Y932" s="30">
        <v>43539</v>
      </c>
      <c r="Z932" s="55" t="str">
        <f ca="1">DATEDIF(W932,TODAY(),"y")&amp;" Tahun "&amp;DATEDIF(W932,TODAY(),"ym")&amp;" Bulan "&amp;DATEDIF(W932,TODAY(),"md")&amp;" Hari"</f>
        <v>27 Tahun 7 Bulan 30 Hari</v>
      </c>
      <c r="AA932" s="55" t="s">
        <v>76</v>
      </c>
      <c r="AB932" s="56">
        <v>27112</v>
      </c>
      <c r="AC932" s="31" t="s">
        <v>4203</v>
      </c>
      <c r="AD932" s="57" t="str">
        <f t="shared" ca="1" si="61"/>
        <v xml:space="preserve">51 Tahun 7 Bulan </v>
      </c>
      <c r="AE932" s="61" t="s">
        <v>1341</v>
      </c>
      <c r="AF932" s="34"/>
      <c r="AG932" s="58" t="s">
        <v>4119</v>
      </c>
      <c r="AH932" s="58"/>
      <c r="AI932" s="58"/>
      <c r="AJ932" s="58"/>
      <c r="AK932" s="33" t="s">
        <v>308</v>
      </c>
      <c r="AL932" s="22"/>
      <c r="AM932" s="14"/>
    </row>
    <row r="933" spans="1:39" ht="14.45" customHeight="1" x14ac:dyDescent="0.25">
      <c r="A933" s="115">
        <v>10</v>
      </c>
      <c r="B933" s="18"/>
      <c r="C933" s="50" t="s">
        <v>4204</v>
      </c>
      <c r="D933" s="42" t="s">
        <v>4205</v>
      </c>
      <c r="E933" s="58" t="s">
        <v>56</v>
      </c>
      <c r="F933" s="87" t="s">
        <v>238</v>
      </c>
      <c r="G933" s="33" t="s">
        <v>3872</v>
      </c>
      <c r="H933" s="22" t="s">
        <v>305</v>
      </c>
      <c r="I933" s="22" t="s">
        <v>44</v>
      </c>
      <c r="J933" s="22" t="s">
        <v>306</v>
      </c>
      <c r="K933" s="30"/>
      <c r="L933" s="25" t="s">
        <v>4206</v>
      </c>
      <c r="M933" s="26">
        <v>42395</v>
      </c>
      <c r="N933" s="26">
        <v>44289</v>
      </c>
      <c r="O933" s="27" t="s">
        <v>274</v>
      </c>
      <c r="P933" s="28" t="s">
        <v>4207</v>
      </c>
      <c r="Q933" s="29">
        <v>42725</v>
      </c>
      <c r="R933" s="26">
        <v>44289</v>
      </c>
      <c r="S933" s="33" t="s">
        <v>96</v>
      </c>
      <c r="T933" s="33"/>
      <c r="U933" s="33"/>
      <c r="V933" s="33"/>
      <c r="W933" s="30">
        <v>45047</v>
      </c>
      <c r="X933" s="30">
        <v>42095</v>
      </c>
      <c r="Y933" s="30">
        <v>42114</v>
      </c>
      <c r="Z933" s="55" t="str">
        <f ca="1">DATEDIF(X933,TODAY(),"y")&amp;" Tahun "&amp;DATEDIF(X933,TODAY(),"ym")&amp;" Bulan "&amp;DATEDIF(X933,TODAY(),"md")&amp;" Hari"</f>
        <v>10 Tahun 6 Bulan 30 Hari</v>
      </c>
      <c r="AA933" s="31" t="s">
        <v>50</v>
      </c>
      <c r="AB933" s="32">
        <v>32236</v>
      </c>
      <c r="AC933" s="31" t="s">
        <v>4208</v>
      </c>
      <c r="AD933" s="57" t="str">
        <f t="shared" ca="1" si="61"/>
        <v xml:space="preserve">37 Tahun 6 Bulan </v>
      </c>
      <c r="AE933" s="33" t="s">
        <v>94</v>
      </c>
      <c r="AF933" s="71"/>
      <c r="AG933" s="58" t="s">
        <v>4119</v>
      </c>
      <c r="AH933" s="58"/>
      <c r="AI933" s="58"/>
      <c r="AJ933" s="58"/>
      <c r="AK933" s="33" t="s">
        <v>308</v>
      </c>
      <c r="AL933" s="22"/>
      <c r="AM933" s="14"/>
    </row>
    <row r="934" spans="1:39" ht="14.45" customHeight="1" x14ac:dyDescent="0.25">
      <c r="A934" s="17">
        <v>11</v>
      </c>
      <c r="B934" s="18"/>
      <c r="C934" s="50" t="s">
        <v>4210</v>
      </c>
      <c r="D934" s="20" t="s">
        <v>4211</v>
      </c>
      <c r="E934" s="58" t="s">
        <v>56</v>
      </c>
      <c r="F934" s="22" t="s">
        <v>238</v>
      </c>
      <c r="G934" s="33" t="s">
        <v>3872</v>
      </c>
      <c r="H934" s="22" t="s">
        <v>305</v>
      </c>
      <c r="I934" s="22" t="s">
        <v>44</v>
      </c>
      <c r="J934" s="22" t="s">
        <v>306</v>
      </c>
      <c r="K934" s="30"/>
      <c r="L934" s="25" t="s">
        <v>4212</v>
      </c>
      <c r="M934" s="26">
        <v>41893</v>
      </c>
      <c r="N934" s="26">
        <v>43487</v>
      </c>
      <c r="O934" s="27" t="s">
        <v>274</v>
      </c>
      <c r="P934" s="28" t="s">
        <v>4213</v>
      </c>
      <c r="Q934" s="29">
        <v>42927</v>
      </c>
      <c r="R934" s="26">
        <v>43474</v>
      </c>
      <c r="S934" s="33" t="s">
        <v>94</v>
      </c>
      <c r="T934" s="33"/>
      <c r="U934" s="33"/>
      <c r="V934" s="33"/>
      <c r="W934" s="30">
        <v>45047</v>
      </c>
      <c r="X934" s="30">
        <v>42370</v>
      </c>
      <c r="Y934" s="30">
        <v>42401</v>
      </c>
      <c r="Z934" s="55" t="str">
        <f ca="1">DATEDIF(X934,TODAY(),"y")&amp;" Tahun "&amp;DATEDIF(X934,TODAY(),"ym")&amp;" Bulan "&amp;DATEDIF(X934,TODAY(),"md")&amp;" Hari"</f>
        <v>9 Tahun 9 Bulan 30 Hari</v>
      </c>
      <c r="AA934" s="66" t="s">
        <v>1279</v>
      </c>
      <c r="AB934" s="56">
        <v>33260</v>
      </c>
      <c r="AC934" s="31" t="s">
        <v>4214</v>
      </c>
      <c r="AD934" s="57" t="str">
        <f t="shared" ca="1" si="61"/>
        <v xml:space="preserve">34 Tahun 9 Bulan </v>
      </c>
      <c r="AE934" s="61" t="s">
        <v>94</v>
      </c>
      <c r="AF934" s="71"/>
      <c r="AG934" s="58" t="s">
        <v>4119</v>
      </c>
      <c r="AH934" s="58"/>
      <c r="AI934" s="58"/>
      <c r="AJ934" s="58"/>
      <c r="AK934" s="33" t="s">
        <v>308</v>
      </c>
      <c r="AL934" s="22"/>
      <c r="AM934" s="14"/>
    </row>
    <row r="935" spans="1:39" ht="14.45" customHeight="1" x14ac:dyDescent="0.25">
      <c r="A935" s="115">
        <v>12</v>
      </c>
      <c r="B935" s="18"/>
      <c r="C935" s="50" t="s">
        <v>4215</v>
      </c>
      <c r="D935" s="20" t="s">
        <v>4216</v>
      </c>
      <c r="E935" s="52" t="s">
        <v>40</v>
      </c>
      <c r="F935" s="22" t="s">
        <v>41</v>
      </c>
      <c r="G935" s="23" t="s">
        <v>137</v>
      </c>
      <c r="H935" s="22" t="s">
        <v>138</v>
      </c>
      <c r="I935" s="22" t="s">
        <v>44</v>
      </c>
      <c r="J935" s="22" t="s">
        <v>4176</v>
      </c>
      <c r="K935" s="24">
        <v>42370</v>
      </c>
      <c r="L935" s="25" t="s">
        <v>4217</v>
      </c>
      <c r="M935" s="26">
        <v>41893</v>
      </c>
      <c r="N935" s="26">
        <v>43372</v>
      </c>
      <c r="O935" s="27" t="s">
        <v>4184</v>
      </c>
      <c r="P935" s="28" t="s">
        <v>4218</v>
      </c>
      <c r="Q935" s="29">
        <v>42110</v>
      </c>
      <c r="R935" s="26">
        <v>43372</v>
      </c>
      <c r="S935" s="33" t="s">
        <v>4134</v>
      </c>
      <c r="T935" s="23"/>
      <c r="U935" s="23"/>
      <c r="V935" s="23"/>
      <c r="W935" s="30">
        <v>32933</v>
      </c>
      <c r="X935" s="30">
        <v>32933</v>
      </c>
      <c r="Y935" s="30">
        <v>32933</v>
      </c>
      <c r="Z935" s="55" t="str">
        <f ca="1">DATEDIF(W935,TODAY(),"y")&amp;" Tahun "&amp;DATEDIF(W935,TODAY(),"ym")&amp;" Bulan "&amp;DATEDIF(W935,TODAY(),"md")&amp;" Hari"</f>
        <v>35 Tahun 7 Bulan 30 Hari</v>
      </c>
      <c r="AA935" s="55" t="s">
        <v>76</v>
      </c>
      <c r="AB935" s="56">
        <v>25110</v>
      </c>
      <c r="AC935" s="31" t="s">
        <v>4219</v>
      </c>
      <c r="AD935" s="57" t="str">
        <f t="shared" ca="1" si="61"/>
        <v xml:space="preserve">57 Tahun 1 Bulan </v>
      </c>
      <c r="AE935" s="61" t="s">
        <v>4137</v>
      </c>
      <c r="AF935" s="79"/>
      <c r="AG935" s="58" t="s">
        <v>4119</v>
      </c>
      <c r="AH935" s="58"/>
      <c r="AI935" s="58"/>
      <c r="AJ935" s="58"/>
      <c r="AK935" s="33" t="s">
        <v>308</v>
      </c>
      <c r="AL935" s="22"/>
      <c r="AM935" s="14"/>
    </row>
    <row r="936" spans="1:39" ht="14.45" customHeight="1" x14ac:dyDescent="0.25">
      <c r="A936" s="17">
        <v>13</v>
      </c>
      <c r="B936" s="18"/>
      <c r="C936" s="50" t="s">
        <v>4220</v>
      </c>
      <c r="D936" s="20" t="s">
        <v>4221</v>
      </c>
      <c r="E936" s="52" t="s">
        <v>56</v>
      </c>
      <c r="F936" s="22" t="s">
        <v>41</v>
      </c>
      <c r="G936" s="23" t="s">
        <v>137</v>
      </c>
      <c r="H936" s="22" t="s">
        <v>138</v>
      </c>
      <c r="I936" s="22" t="s">
        <v>44</v>
      </c>
      <c r="J936" s="22" t="s">
        <v>4176</v>
      </c>
      <c r="K936" s="24">
        <v>45505</v>
      </c>
      <c r="L936" s="25" t="s">
        <v>4222</v>
      </c>
      <c r="M936" s="26">
        <v>42446</v>
      </c>
      <c r="N936" s="26">
        <v>44213</v>
      </c>
      <c r="O936" s="27" t="s">
        <v>4178</v>
      </c>
      <c r="P936" s="28" t="s">
        <v>4223</v>
      </c>
      <c r="Q936" s="29">
        <v>42592</v>
      </c>
      <c r="R936" s="26">
        <v>44213</v>
      </c>
      <c r="S936" s="23" t="s">
        <v>4134</v>
      </c>
      <c r="T936" s="23"/>
      <c r="U936" s="23"/>
      <c r="V936" s="23"/>
      <c r="W936" s="30">
        <v>39448</v>
      </c>
      <c r="X936" s="30">
        <v>39448</v>
      </c>
      <c r="Y936" s="30">
        <v>39448</v>
      </c>
      <c r="Z936" s="31" t="str">
        <f ca="1">DATEDIF(W936,TODAY(),"y")&amp;" Tahun "&amp;DATEDIF(W936,TODAY(),"ym")&amp;" Bulan "&amp;DATEDIF(W936,TODAY(),"md")&amp;" Hari"</f>
        <v>17 Tahun 9 Bulan 30 Hari</v>
      </c>
      <c r="AA936" s="31" t="s">
        <v>76</v>
      </c>
      <c r="AB936" s="32">
        <v>31429</v>
      </c>
      <c r="AC936" s="31" t="s">
        <v>4224</v>
      </c>
      <c r="AD936" s="57" t="str">
        <f t="shared" ref="AD936:AD996" ca="1" si="65">DATEDIF(AB936,TODAY(),"y")&amp;" Tahun "&amp;DATEDIF(AB936,TODAY(),"ym")&amp;" Bulan "</f>
        <v xml:space="preserve">39 Tahun 9 Bulan </v>
      </c>
      <c r="AE936" s="61" t="s">
        <v>4137</v>
      </c>
      <c r="AF936" s="79"/>
      <c r="AG936" s="58" t="s">
        <v>4119</v>
      </c>
      <c r="AH936" s="22"/>
      <c r="AI936" s="22"/>
      <c r="AJ936" s="22"/>
      <c r="AK936" s="33"/>
      <c r="AL936" s="36"/>
    </row>
    <row r="937" spans="1:39" ht="14.45" customHeight="1" x14ac:dyDescent="0.25">
      <c r="A937" s="115">
        <v>14</v>
      </c>
      <c r="B937" s="18"/>
      <c r="C937" s="50" t="s">
        <v>4225</v>
      </c>
      <c r="D937" s="20" t="s">
        <v>4226</v>
      </c>
      <c r="E937" s="52" t="s">
        <v>56</v>
      </c>
      <c r="F937" s="22" t="s">
        <v>41</v>
      </c>
      <c r="G937" s="33" t="s">
        <v>137</v>
      </c>
      <c r="H937" s="22" t="s">
        <v>138</v>
      </c>
      <c r="I937" s="22" t="s">
        <v>44</v>
      </c>
      <c r="J937" s="22" t="s">
        <v>4176</v>
      </c>
      <c r="K937" s="24">
        <v>45931</v>
      </c>
      <c r="L937" s="25" t="s">
        <v>4227</v>
      </c>
      <c r="M937" s="26">
        <v>42446</v>
      </c>
      <c r="N937" s="26">
        <v>44293</v>
      </c>
      <c r="O937" s="27" t="s">
        <v>4228</v>
      </c>
      <c r="P937" s="28" t="s">
        <v>4229</v>
      </c>
      <c r="Q937" s="29">
        <v>42541</v>
      </c>
      <c r="R937" s="26">
        <v>44293</v>
      </c>
      <c r="S937" s="33" t="s">
        <v>4134</v>
      </c>
      <c r="T937" s="33"/>
      <c r="U937" s="33"/>
      <c r="V937" s="33"/>
      <c r="W937" s="30">
        <v>40148</v>
      </c>
      <c r="X937" s="30">
        <v>40238</v>
      </c>
      <c r="Y937" s="30">
        <v>40238</v>
      </c>
      <c r="Z937" s="55" t="str">
        <f ca="1">DATEDIF(W937,TODAY(),"y")&amp;" Tahun "&amp;DATEDIF(W937,TODAY(),"ym")&amp;" Bulan "&amp;DATEDIF(W937,TODAY(),"md")&amp;" Hari"</f>
        <v>15 Tahun 10 Bulan 30 Hari</v>
      </c>
      <c r="AA937" s="55" t="s">
        <v>128</v>
      </c>
      <c r="AB937" s="56">
        <v>32240</v>
      </c>
      <c r="AC937" s="31" t="s">
        <v>4230</v>
      </c>
      <c r="AD937" s="57" t="str">
        <f t="shared" ca="1" si="65"/>
        <v xml:space="preserve">37 Tahun 6 Bulan </v>
      </c>
      <c r="AE937" s="61" t="s">
        <v>4137</v>
      </c>
      <c r="AF937" s="79"/>
      <c r="AG937" s="58" t="s">
        <v>4119</v>
      </c>
      <c r="AH937" s="22"/>
      <c r="AI937" s="22"/>
      <c r="AJ937" s="22"/>
      <c r="AK937" s="33"/>
      <c r="AL937" s="36"/>
    </row>
    <row r="938" spans="1:39" ht="14.45" customHeight="1" x14ac:dyDescent="0.25">
      <c r="A938" s="17">
        <v>15</v>
      </c>
      <c r="B938" s="18"/>
      <c r="C938" s="50" t="s">
        <v>4231</v>
      </c>
      <c r="D938" s="20" t="s">
        <v>4232</v>
      </c>
      <c r="E938" s="21" t="s">
        <v>40</v>
      </c>
      <c r="F938" s="22" t="s">
        <v>41</v>
      </c>
      <c r="G938" s="33" t="s">
        <v>102</v>
      </c>
      <c r="H938" s="22" t="s">
        <v>103</v>
      </c>
      <c r="I938" s="22" t="s">
        <v>44</v>
      </c>
      <c r="J938" s="22" t="s">
        <v>4176</v>
      </c>
      <c r="K938" s="24">
        <v>45323</v>
      </c>
      <c r="L938" s="53" t="s">
        <v>4233</v>
      </c>
      <c r="M938" s="26">
        <v>42789</v>
      </c>
      <c r="N938" s="26">
        <v>44801</v>
      </c>
      <c r="O938" s="27" t="s">
        <v>4178</v>
      </c>
      <c r="P938" s="53" t="s">
        <v>4234</v>
      </c>
      <c r="Q938" s="26">
        <v>43025</v>
      </c>
      <c r="R938" s="26">
        <v>44801</v>
      </c>
      <c r="S938" s="33" t="s">
        <v>4134</v>
      </c>
      <c r="T938" s="33"/>
      <c r="U938" s="33"/>
      <c r="V938" s="33"/>
      <c r="W938" s="30">
        <v>40513</v>
      </c>
      <c r="X938" s="30">
        <v>40638</v>
      </c>
      <c r="Y938" s="30">
        <v>40638</v>
      </c>
      <c r="Z938" s="31" t="str">
        <f ca="1">DATEDIF(W938,TODAY(),"y")&amp;" Tahun "&amp;DATEDIF(W938,TODAY(),"ym")&amp;" Bulan "&amp;DATEDIF(W938,TODAY(),"md")&amp;" Hari"</f>
        <v>14 Tahun 10 Bulan 30 Hari</v>
      </c>
      <c r="AA938" s="31" t="s">
        <v>76</v>
      </c>
      <c r="AB938" s="32">
        <v>32748</v>
      </c>
      <c r="AC938" s="31" t="s">
        <v>4235</v>
      </c>
      <c r="AD938" s="22" t="str">
        <f t="shared" ca="1" si="65"/>
        <v xml:space="preserve">36 Tahun 2 Bulan </v>
      </c>
      <c r="AE938" s="33" t="s">
        <v>4137</v>
      </c>
      <c r="AF938" s="34"/>
      <c r="AG938" s="58" t="s">
        <v>4119</v>
      </c>
      <c r="AH938" s="58"/>
      <c r="AI938" s="58"/>
      <c r="AJ938" s="58"/>
      <c r="AK938" s="33"/>
      <c r="AL938" s="36"/>
    </row>
    <row r="939" spans="1:39" ht="14.45" customHeight="1" x14ac:dyDescent="0.25">
      <c r="A939" s="115">
        <v>16</v>
      </c>
      <c r="B939" s="76"/>
      <c r="C939" s="50" t="s">
        <v>4236</v>
      </c>
      <c r="D939" s="20" t="s">
        <v>4237</v>
      </c>
      <c r="E939" s="22" t="s">
        <v>56</v>
      </c>
      <c r="F939" s="22" t="s">
        <v>41</v>
      </c>
      <c r="G939" s="23" t="s">
        <v>227</v>
      </c>
      <c r="H939" s="22" t="s">
        <v>228</v>
      </c>
      <c r="I939" s="22" t="s">
        <v>44</v>
      </c>
      <c r="J939" s="22" t="s">
        <v>4200</v>
      </c>
      <c r="K939" s="24">
        <v>45870</v>
      </c>
      <c r="L939" s="53" t="s">
        <v>4238</v>
      </c>
      <c r="M939" s="26">
        <v>43087</v>
      </c>
      <c r="N939" s="26">
        <v>44868</v>
      </c>
      <c r="O939" s="27" t="s">
        <v>4178</v>
      </c>
      <c r="P939" s="53" t="s">
        <v>4239</v>
      </c>
      <c r="Q939" s="26">
        <v>43192</v>
      </c>
      <c r="R939" s="26">
        <v>44868</v>
      </c>
      <c r="S939" s="23" t="s">
        <v>4134</v>
      </c>
      <c r="T939" s="23"/>
      <c r="U939" s="23"/>
      <c r="V939" s="23"/>
      <c r="W939" s="30">
        <v>42095</v>
      </c>
      <c r="X939" s="30">
        <v>42095</v>
      </c>
      <c r="Y939" s="30">
        <v>42095</v>
      </c>
      <c r="Z939" s="55" t="str">
        <f ca="1">DATEDIF(W939,TODAY(),"y")&amp;" Tahun "&amp;DATEDIF(W939,TODAY(),"ym")&amp;" Bulan "&amp;DATEDIF(W939,TODAY(),"md")&amp;" Hari"</f>
        <v>10 Tahun 6 Bulan 30 Hari</v>
      </c>
      <c r="AA939" s="56" t="s">
        <v>171</v>
      </c>
      <c r="AB939" s="56">
        <v>33180</v>
      </c>
      <c r="AC939" s="31" t="s">
        <v>4240</v>
      </c>
      <c r="AD939" s="57" t="str">
        <f t="shared" ca="1" si="65"/>
        <v xml:space="preserve">34 Tahun 11 Bulan </v>
      </c>
      <c r="AE939" s="33" t="s">
        <v>4241</v>
      </c>
      <c r="AF939" s="71"/>
      <c r="AG939" s="58" t="s">
        <v>4119</v>
      </c>
      <c r="AH939" s="22"/>
      <c r="AI939" s="22"/>
      <c r="AJ939" s="60"/>
      <c r="AK939" s="61"/>
      <c r="AL939" s="22"/>
    </row>
    <row r="940" spans="1:39" ht="14.45" customHeight="1" x14ac:dyDescent="0.25">
      <c r="A940" s="17">
        <v>17</v>
      </c>
      <c r="B940" s="18"/>
      <c r="C940" s="50" t="s">
        <v>4242</v>
      </c>
      <c r="D940" s="20" t="s">
        <v>4243</v>
      </c>
      <c r="E940" s="52" t="s">
        <v>56</v>
      </c>
      <c r="F940" s="22" t="s">
        <v>238</v>
      </c>
      <c r="G940" s="33" t="s">
        <v>3872</v>
      </c>
      <c r="H940" s="22" t="s">
        <v>305</v>
      </c>
      <c r="I940" s="22" t="s">
        <v>44</v>
      </c>
      <c r="J940" s="22" t="s">
        <v>306</v>
      </c>
      <c r="K940" s="22"/>
      <c r="L940" s="25" t="s">
        <v>4244</v>
      </c>
      <c r="M940" s="26">
        <v>41978</v>
      </c>
      <c r="N940" s="26">
        <v>43658</v>
      </c>
      <c r="O940" s="27" t="s">
        <v>94</v>
      </c>
      <c r="P940" s="28" t="s">
        <v>4245</v>
      </c>
      <c r="Q940" s="29">
        <v>41984</v>
      </c>
      <c r="R940" s="26">
        <v>43658</v>
      </c>
      <c r="S940" s="33" t="s">
        <v>94</v>
      </c>
      <c r="T940" s="33"/>
      <c r="U940" s="33"/>
      <c r="V940" s="33"/>
      <c r="W940" s="77">
        <v>45047</v>
      </c>
      <c r="X940" s="30">
        <v>39722</v>
      </c>
      <c r="Y940" s="30">
        <v>39722</v>
      </c>
      <c r="Z940" s="55" t="str">
        <f t="shared" ref="Z940:Z945" ca="1" si="66">DATEDIF(X940,TODAY(),"y")&amp;" Tahun "&amp;DATEDIF(X940,TODAY(),"ym")&amp;" Bulan "&amp;DATEDIF(X940,TODAY(),"md")&amp;" Hari"</f>
        <v>17 Tahun 0 Bulan 30 Hari</v>
      </c>
      <c r="AA940" s="55" t="s">
        <v>76</v>
      </c>
      <c r="AB940" s="56">
        <v>30144</v>
      </c>
      <c r="AC940" s="31" t="s">
        <v>4246</v>
      </c>
      <c r="AD940" s="57" t="str">
        <f t="shared" ca="1" si="65"/>
        <v xml:space="preserve">43 Tahun 3 Bulan </v>
      </c>
      <c r="AE940" s="61" t="s">
        <v>94</v>
      </c>
      <c r="AF940" s="79"/>
      <c r="AG940" s="58" t="s">
        <v>4119</v>
      </c>
      <c r="AH940" s="58"/>
      <c r="AI940" s="58"/>
      <c r="AJ940" s="87"/>
      <c r="AK940" s="88"/>
      <c r="AL940" s="22"/>
    </row>
    <row r="941" spans="1:39" ht="14.45" customHeight="1" x14ac:dyDescent="0.25">
      <c r="A941" s="115">
        <v>18</v>
      </c>
      <c r="B941" s="18"/>
      <c r="C941" s="50" t="s">
        <v>5977</v>
      </c>
      <c r="D941" s="20" t="s">
        <v>4247</v>
      </c>
      <c r="E941" s="52" t="s">
        <v>56</v>
      </c>
      <c r="F941" s="22" t="s">
        <v>238</v>
      </c>
      <c r="G941" s="33" t="s">
        <v>3872</v>
      </c>
      <c r="H941" s="22" t="s">
        <v>305</v>
      </c>
      <c r="I941" s="22" t="s">
        <v>44</v>
      </c>
      <c r="J941" s="22" t="s">
        <v>306</v>
      </c>
      <c r="K941" s="22"/>
      <c r="L941" s="25" t="s">
        <v>4248</v>
      </c>
      <c r="M941" s="26">
        <v>42440</v>
      </c>
      <c r="N941" s="26">
        <v>44312</v>
      </c>
      <c r="O941" s="27" t="s">
        <v>94</v>
      </c>
      <c r="P941" s="28" t="s">
        <v>4249</v>
      </c>
      <c r="Q941" s="29">
        <v>42570</v>
      </c>
      <c r="R941" s="26">
        <v>44312</v>
      </c>
      <c r="S941" s="33" t="s">
        <v>94</v>
      </c>
      <c r="T941" s="33"/>
      <c r="U941" s="33"/>
      <c r="V941" s="33"/>
      <c r="W941" s="77">
        <v>45047</v>
      </c>
      <c r="X941" s="30">
        <v>39722</v>
      </c>
      <c r="Y941" s="30">
        <v>39722</v>
      </c>
      <c r="Z941" s="55" t="str">
        <f t="shared" ca="1" si="66"/>
        <v>17 Tahun 0 Bulan 30 Hari</v>
      </c>
      <c r="AA941" s="55" t="s">
        <v>76</v>
      </c>
      <c r="AB941" s="56">
        <v>30432</v>
      </c>
      <c r="AC941" s="31" t="s">
        <v>4250</v>
      </c>
      <c r="AD941" s="57" t="str">
        <f t="shared" ca="1" si="65"/>
        <v xml:space="preserve">42 Tahun 6 Bulan </v>
      </c>
      <c r="AE941" s="61" t="s">
        <v>94</v>
      </c>
      <c r="AF941" s="79"/>
      <c r="AG941" s="58" t="s">
        <v>4119</v>
      </c>
      <c r="AH941" s="22"/>
      <c r="AI941" s="22"/>
      <c r="AJ941" s="22"/>
      <c r="AK941" s="33"/>
      <c r="AL941" s="22"/>
      <c r="AM941" s="14"/>
    </row>
    <row r="942" spans="1:39" ht="14.45" customHeight="1" x14ac:dyDescent="0.25">
      <c r="A942" s="17">
        <v>19</v>
      </c>
      <c r="B942" s="18"/>
      <c r="C942" s="50" t="s">
        <v>4251</v>
      </c>
      <c r="D942" s="20" t="s">
        <v>4252</v>
      </c>
      <c r="E942" s="21" t="s">
        <v>56</v>
      </c>
      <c r="F942" s="22" t="s">
        <v>238</v>
      </c>
      <c r="G942" s="33" t="s">
        <v>3872</v>
      </c>
      <c r="H942" s="22" t="s">
        <v>1078</v>
      </c>
      <c r="I942" s="22" t="s">
        <v>44</v>
      </c>
      <c r="J942" s="22" t="s">
        <v>4133</v>
      </c>
      <c r="K942" s="22"/>
      <c r="L942" s="25" t="s">
        <v>4253</v>
      </c>
      <c r="M942" s="26">
        <v>42597</v>
      </c>
      <c r="N942" s="26">
        <v>44294</v>
      </c>
      <c r="O942" s="27" t="s">
        <v>4178</v>
      </c>
      <c r="P942" s="53" t="s">
        <v>4254</v>
      </c>
      <c r="Q942" s="26">
        <v>43004</v>
      </c>
      <c r="R942" s="26">
        <v>44294</v>
      </c>
      <c r="S942" s="33" t="s">
        <v>4134</v>
      </c>
      <c r="T942" s="33"/>
      <c r="U942" s="33"/>
      <c r="V942" s="33"/>
      <c r="W942" s="77">
        <v>45047</v>
      </c>
      <c r="X942" s="30">
        <v>40330</v>
      </c>
      <c r="Y942" s="30">
        <v>40334</v>
      </c>
      <c r="Z942" s="31" t="str">
        <f t="shared" ca="1" si="66"/>
        <v>15 Tahun 4 Bulan 30 Hari</v>
      </c>
      <c r="AA942" s="31" t="s">
        <v>76</v>
      </c>
      <c r="AB942" s="32">
        <v>32241</v>
      </c>
      <c r="AC942" s="31" t="s">
        <v>4255</v>
      </c>
      <c r="AD942" s="22" t="str">
        <f t="shared" ca="1" si="65"/>
        <v xml:space="preserve">37 Tahun 6 Bulan </v>
      </c>
      <c r="AE942" s="33" t="s">
        <v>4137</v>
      </c>
      <c r="AF942" s="34"/>
      <c r="AG942" s="58" t="s">
        <v>4119</v>
      </c>
      <c r="AH942" s="22"/>
      <c r="AI942" s="22"/>
      <c r="AJ942" s="22"/>
      <c r="AK942" s="33"/>
      <c r="AL942" s="22"/>
    </row>
    <row r="943" spans="1:39" ht="14.25" customHeight="1" x14ac:dyDescent="0.25">
      <c r="A943" s="115">
        <v>20</v>
      </c>
      <c r="B943" s="18"/>
      <c r="C943" s="50" t="s">
        <v>4256</v>
      </c>
      <c r="D943" s="20" t="s">
        <v>4257</v>
      </c>
      <c r="E943" s="52" t="s">
        <v>56</v>
      </c>
      <c r="F943" s="22" t="s">
        <v>238</v>
      </c>
      <c r="G943" s="33" t="s">
        <v>3872</v>
      </c>
      <c r="H943" s="22" t="s">
        <v>1078</v>
      </c>
      <c r="I943" s="22" t="s">
        <v>44</v>
      </c>
      <c r="J943" s="22" t="s">
        <v>4133</v>
      </c>
      <c r="K943" s="22"/>
      <c r="L943" s="25" t="s">
        <v>4258</v>
      </c>
      <c r="M943" s="26">
        <v>42446</v>
      </c>
      <c r="N943" s="26">
        <v>44300</v>
      </c>
      <c r="O943" s="27" t="s">
        <v>4178</v>
      </c>
      <c r="P943" s="28" t="s">
        <v>4259</v>
      </c>
      <c r="Q943" s="29">
        <v>42535</v>
      </c>
      <c r="R943" s="26">
        <v>44300</v>
      </c>
      <c r="S943" s="33" t="s">
        <v>4134</v>
      </c>
      <c r="T943" s="33"/>
      <c r="U943" s="33"/>
      <c r="V943" s="33"/>
      <c r="W943" s="77">
        <v>45047</v>
      </c>
      <c r="X943" s="30">
        <v>40695</v>
      </c>
      <c r="Y943" s="30">
        <v>40710</v>
      </c>
      <c r="Z943" s="55" t="str">
        <f t="shared" ca="1" si="66"/>
        <v>14 Tahun 4 Bulan 30 Hari</v>
      </c>
      <c r="AA943" s="55" t="s">
        <v>76</v>
      </c>
      <c r="AB943" s="56">
        <v>31881</v>
      </c>
      <c r="AC943" s="31" t="s">
        <v>4260</v>
      </c>
      <c r="AD943" s="57" t="str">
        <f t="shared" ca="1" si="65"/>
        <v xml:space="preserve">38 Tahun 6 Bulan </v>
      </c>
      <c r="AE943" s="61" t="s">
        <v>4137</v>
      </c>
      <c r="AF943" s="79"/>
      <c r="AG943" s="58" t="s">
        <v>4119</v>
      </c>
      <c r="AH943" s="22"/>
      <c r="AI943" s="22"/>
      <c r="AJ943" s="22"/>
      <c r="AK943" s="33"/>
      <c r="AL943" s="36"/>
      <c r="AM943" s="14"/>
    </row>
    <row r="944" spans="1:39" ht="14.45" customHeight="1" x14ac:dyDescent="0.25">
      <c r="A944" s="17">
        <v>21</v>
      </c>
      <c r="B944" s="18"/>
      <c r="C944" s="50" t="s">
        <v>4261</v>
      </c>
      <c r="D944" s="20" t="s">
        <v>4262</v>
      </c>
      <c r="E944" s="52" t="s">
        <v>56</v>
      </c>
      <c r="F944" s="22" t="s">
        <v>238</v>
      </c>
      <c r="G944" s="33" t="s">
        <v>3872</v>
      </c>
      <c r="H944" s="22" t="s">
        <v>305</v>
      </c>
      <c r="I944" s="22" t="s">
        <v>44</v>
      </c>
      <c r="J944" s="22" t="s">
        <v>306</v>
      </c>
      <c r="K944" s="22"/>
      <c r="L944" s="22" t="s">
        <v>4263</v>
      </c>
      <c r="M944" s="26">
        <v>42964</v>
      </c>
      <c r="N944" s="26">
        <v>44790</v>
      </c>
      <c r="O944" s="22" t="s">
        <v>94</v>
      </c>
      <c r="P944" s="22" t="s">
        <v>4264</v>
      </c>
      <c r="Q944" s="23">
        <v>43304</v>
      </c>
      <c r="R944" s="26">
        <v>44851</v>
      </c>
      <c r="S944" s="33" t="s">
        <v>94</v>
      </c>
      <c r="T944" s="33"/>
      <c r="U944" s="33"/>
      <c r="V944" s="33"/>
      <c r="W944" s="77">
        <v>45047</v>
      </c>
      <c r="X944" s="30">
        <v>42370</v>
      </c>
      <c r="Y944" s="30">
        <v>42401</v>
      </c>
      <c r="Z944" s="55" t="str">
        <f t="shared" ca="1" si="66"/>
        <v>9 Tahun 9 Bulan 30 Hari</v>
      </c>
      <c r="AA944" s="55" t="s">
        <v>1540</v>
      </c>
      <c r="AB944" s="56">
        <v>32372</v>
      </c>
      <c r="AC944" s="31" t="s">
        <v>4265</v>
      </c>
      <c r="AD944" s="57" t="str">
        <f t="shared" ca="1" si="65"/>
        <v xml:space="preserve">37 Tahun 2 Bulan </v>
      </c>
      <c r="AE944" s="61" t="s">
        <v>94</v>
      </c>
      <c r="AF944" s="79"/>
      <c r="AG944" s="58" t="s">
        <v>4119</v>
      </c>
      <c r="AH944" s="58"/>
      <c r="AI944" s="58"/>
      <c r="AJ944" s="87"/>
      <c r="AK944" s="61"/>
      <c r="AL944" s="36"/>
    </row>
    <row r="945" spans="1:39" ht="14.45" customHeight="1" x14ac:dyDescent="0.25">
      <c r="A945" s="115">
        <v>22</v>
      </c>
      <c r="B945" s="18"/>
      <c r="C945" s="50" t="s">
        <v>4266</v>
      </c>
      <c r="D945" s="20" t="s">
        <v>4267</v>
      </c>
      <c r="E945" s="52" t="s">
        <v>40</v>
      </c>
      <c r="F945" s="22" t="s">
        <v>41</v>
      </c>
      <c r="G945" s="33" t="s">
        <v>227</v>
      </c>
      <c r="H945" s="22" t="s">
        <v>228</v>
      </c>
      <c r="I945" s="22" t="s">
        <v>44</v>
      </c>
      <c r="J945" s="22" t="s">
        <v>4268</v>
      </c>
      <c r="K945" s="77">
        <v>44621</v>
      </c>
      <c r="L945" s="22" t="s">
        <v>4269</v>
      </c>
      <c r="M945" s="26">
        <v>42437</v>
      </c>
      <c r="N945" s="26">
        <v>44406</v>
      </c>
      <c r="O945" s="22" t="s">
        <v>274</v>
      </c>
      <c r="P945" s="22" t="s">
        <v>4270</v>
      </c>
      <c r="Q945" s="23">
        <v>42592</v>
      </c>
      <c r="R945" s="26">
        <v>44406</v>
      </c>
      <c r="S945" s="33" t="s">
        <v>94</v>
      </c>
      <c r="T945" s="33"/>
      <c r="U945" s="33"/>
      <c r="V945" s="33"/>
      <c r="W945" s="22">
        <v>44621</v>
      </c>
      <c r="X945" s="30">
        <v>42370</v>
      </c>
      <c r="Y945" s="30">
        <v>42401</v>
      </c>
      <c r="Z945" s="55" t="str">
        <f t="shared" ca="1" si="66"/>
        <v>9 Tahun 9 Bulan 30 Hari</v>
      </c>
      <c r="AA945" s="55" t="s">
        <v>76</v>
      </c>
      <c r="AB945" s="56">
        <v>32353</v>
      </c>
      <c r="AC945" s="31" t="s">
        <v>4271</v>
      </c>
      <c r="AD945" s="57" t="str">
        <f t="shared" ca="1" si="65"/>
        <v xml:space="preserve">37 Tahun 3 Bulan </v>
      </c>
      <c r="AE945" s="61" t="s">
        <v>94</v>
      </c>
      <c r="AF945" s="79"/>
      <c r="AG945" s="58" t="s">
        <v>4119</v>
      </c>
      <c r="AH945" s="22"/>
      <c r="AI945" s="22"/>
      <c r="AJ945" s="60"/>
      <c r="AK945" s="61"/>
      <c r="AL945" s="36"/>
    </row>
    <row r="946" spans="1:39" ht="14.45" customHeight="1" x14ac:dyDescent="0.25">
      <c r="A946" s="17">
        <v>23</v>
      </c>
      <c r="B946" s="18"/>
      <c r="C946" s="50" t="s">
        <v>4272</v>
      </c>
      <c r="D946" s="20" t="s">
        <v>4273</v>
      </c>
      <c r="E946" s="21" t="s">
        <v>56</v>
      </c>
      <c r="F946" s="22" t="s">
        <v>41</v>
      </c>
      <c r="G946" s="23" t="s">
        <v>3976</v>
      </c>
      <c r="H946" s="22" t="s">
        <v>138</v>
      </c>
      <c r="I946" s="22" t="s">
        <v>44</v>
      </c>
      <c r="J946" s="22" t="s">
        <v>4176</v>
      </c>
      <c r="K946" s="24">
        <v>42826</v>
      </c>
      <c r="L946" s="25" t="s">
        <v>4274</v>
      </c>
      <c r="M946" s="26">
        <v>42516</v>
      </c>
      <c r="N946" s="26">
        <v>44196</v>
      </c>
      <c r="O946" s="27" t="s">
        <v>4178</v>
      </c>
      <c r="P946" s="28" t="s">
        <v>4275</v>
      </c>
      <c r="Q946" s="29">
        <v>42646</v>
      </c>
      <c r="R946" s="26">
        <v>44196</v>
      </c>
      <c r="S946" s="33" t="s">
        <v>2880</v>
      </c>
      <c r="T946" s="33"/>
      <c r="U946" s="33"/>
      <c r="V946" s="33"/>
      <c r="W946" s="30">
        <v>33298</v>
      </c>
      <c r="X946" s="30">
        <v>40238</v>
      </c>
      <c r="Y946" s="30">
        <v>40238</v>
      </c>
      <c r="Z946" s="55" t="str">
        <f ca="1">DATEDIF(W946,TODAY(),"y")&amp;" Tahun "&amp;DATEDIF(W946,TODAY(),"ym")&amp;" Bulan "&amp;DATEDIF(W946,TODAY(),"md")&amp;" Hari"</f>
        <v>34 Tahun 7 Bulan 30 Hari</v>
      </c>
      <c r="AA946" s="55" t="s">
        <v>3392</v>
      </c>
      <c r="AB946" s="56">
        <v>25609</v>
      </c>
      <c r="AC946" s="31" t="s">
        <v>4276</v>
      </c>
      <c r="AD946" s="57" t="str">
        <f t="shared" ca="1" si="65"/>
        <v xml:space="preserve">55 Tahun 8 Bulan </v>
      </c>
      <c r="AE946" s="33" t="s">
        <v>4137</v>
      </c>
      <c r="AF946" s="34"/>
      <c r="AG946" s="22" t="s">
        <v>4119</v>
      </c>
      <c r="AH946" s="58"/>
      <c r="AI946" s="58"/>
      <c r="AJ946" s="58"/>
      <c r="AK946" s="33" t="s">
        <v>4209</v>
      </c>
      <c r="AL946" s="22"/>
    </row>
    <row r="947" spans="1:39" ht="14.45" customHeight="1" x14ac:dyDescent="0.25">
      <c r="A947" s="115">
        <v>24</v>
      </c>
      <c r="B947" s="18"/>
      <c r="C947" s="50" t="s">
        <v>4277</v>
      </c>
      <c r="D947" s="20" t="s">
        <v>4278</v>
      </c>
      <c r="E947" s="22" t="s">
        <v>56</v>
      </c>
      <c r="F947" s="22" t="s">
        <v>41</v>
      </c>
      <c r="G947" s="23" t="s">
        <v>227</v>
      </c>
      <c r="H947" s="22" t="s">
        <v>228</v>
      </c>
      <c r="I947" s="22" t="s">
        <v>44</v>
      </c>
      <c r="J947" s="22" t="s">
        <v>4200</v>
      </c>
      <c r="K947" s="24">
        <v>45870</v>
      </c>
      <c r="L947" s="25" t="s">
        <v>4279</v>
      </c>
      <c r="M947" s="26">
        <v>41939</v>
      </c>
      <c r="N947" s="26">
        <v>43751</v>
      </c>
      <c r="O947" s="27" t="s">
        <v>4184</v>
      </c>
      <c r="P947" s="28" t="s">
        <v>4280</v>
      </c>
      <c r="Q947" s="29">
        <v>42229</v>
      </c>
      <c r="R947" s="26">
        <v>43751</v>
      </c>
      <c r="S947" s="23" t="s">
        <v>4134</v>
      </c>
      <c r="T947" s="23"/>
      <c r="U947" s="23"/>
      <c r="V947" s="23"/>
      <c r="W947" s="30">
        <v>42095</v>
      </c>
      <c r="X947" s="30">
        <v>42095</v>
      </c>
      <c r="Y947" s="30">
        <v>42095</v>
      </c>
      <c r="Z947" s="31" t="str">
        <f ca="1">DATEDIF(W947,TODAY(),"y")&amp;" Tahun "&amp;DATEDIF(W947,TODAY(),"ym")&amp;" Bulan "&amp;DATEDIF(W947,TODAY(),"md")&amp;" Hari"</f>
        <v>10 Tahun 6 Bulan 30 Hari</v>
      </c>
      <c r="AA947" s="32" t="s">
        <v>1860</v>
      </c>
      <c r="AB947" s="32">
        <v>33890</v>
      </c>
      <c r="AC947" s="31" t="s">
        <v>4281</v>
      </c>
      <c r="AD947" s="22" t="str">
        <f t="shared" ca="1" si="65"/>
        <v xml:space="preserve">33 Tahun 0 Bulan </v>
      </c>
      <c r="AE947" s="33" t="s">
        <v>4241</v>
      </c>
      <c r="AF947" s="34"/>
      <c r="AG947" s="22" t="s">
        <v>4119</v>
      </c>
      <c r="AH947" s="58"/>
      <c r="AI947" s="58"/>
      <c r="AJ947" s="58"/>
      <c r="AK947" s="33" t="s">
        <v>314</v>
      </c>
      <c r="AL947" s="22"/>
    </row>
    <row r="948" spans="1:39" ht="14.45" customHeight="1" x14ac:dyDescent="0.25">
      <c r="A948" s="17">
        <v>25</v>
      </c>
      <c r="B948" s="18"/>
      <c r="C948" s="50" t="s">
        <v>4282</v>
      </c>
      <c r="D948" s="20" t="s">
        <v>4283</v>
      </c>
      <c r="E948" s="52" t="s">
        <v>56</v>
      </c>
      <c r="F948" s="22" t="s">
        <v>238</v>
      </c>
      <c r="G948" s="33" t="s">
        <v>3872</v>
      </c>
      <c r="H948" s="22" t="s">
        <v>1078</v>
      </c>
      <c r="I948" s="22" t="s">
        <v>44</v>
      </c>
      <c r="J948" s="22" t="s">
        <v>4133</v>
      </c>
      <c r="K948" s="22"/>
      <c r="L948" s="25" t="s">
        <v>4284</v>
      </c>
      <c r="M948" s="26">
        <v>41969</v>
      </c>
      <c r="N948" s="26">
        <v>43678</v>
      </c>
      <c r="O948" s="27" t="s">
        <v>4178</v>
      </c>
      <c r="P948" s="28" t="s">
        <v>4285</v>
      </c>
      <c r="Q948" s="29">
        <v>42256</v>
      </c>
      <c r="R948" s="26">
        <v>43678</v>
      </c>
      <c r="S948" s="23" t="s">
        <v>4134</v>
      </c>
      <c r="T948" s="23"/>
      <c r="U948" s="23"/>
      <c r="V948" s="23"/>
      <c r="W948" s="77">
        <v>45047</v>
      </c>
      <c r="X948" s="30">
        <v>39085</v>
      </c>
      <c r="Y948" s="30">
        <v>39085</v>
      </c>
      <c r="Z948" s="55" t="str">
        <f t="shared" ref="Z948:Z960" ca="1" si="67">DATEDIF(X948,TODAY(),"y")&amp;" Tahun "&amp;DATEDIF(X948,TODAY(),"ym")&amp;" Bulan "&amp;DATEDIF(X948,TODAY(),"md")&amp;" Hari"</f>
        <v>18 Tahun 9 Bulan 28 Hari</v>
      </c>
      <c r="AA948" s="55" t="s">
        <v>76</v>
      </c>
      <c r="AB948" s="56">
        <v>31260</v>
      </c>
      <c r="AC948" s="32" t="s">
        <v>4286</v>
      </c>
      <c r="AD948" s="57" t="str">
        <f t="shared" ca="1" si="65"/>
        <v xml:space="preserve">40 Tahun 2 Bulan </v>
      </c>
      <c r="AE948" s="61" t="s">
        <v>4137</v>
      </c>
      <c r="AF948" s="79"/>
      <c r="AG948" s="22" t="s">
        <v>4119</v>
      </c>
      <c r="AH948" s="22"/>
      <c r="AI948" s="22"/>
      <c r="AJ948" s="60"/>
      <c r="AK948" s="61"/>
      <c r="AL948" s="22"/>
      <c r="AM948" s="14"/>
    </row>
    <row r="949" spans="1:39" ht="14.45" customHeight="1" x14ac:dyDescent="0.25">
      <c r="A949" s="115">
        <v>26</v>
      </c>
      <c r="B949" s="18"/>
      <c r="C949" s="50" t="s">
        <v>6179</v>
      </c>
      <c r="D949" s="20" t="s">
        <v>4287</v>
      </c>
      <c r="E949" s="52" t="s">
        <v>56</v>
      </c>
      <c r="F949" s="58" t="s">
        <v>41</v>
      </c>
      <c r="G949" s="38" t="s">
        <v>1547</v>
      </c>
      <c r="H949" s="22" t="s">
        <v>1548</v>
      </c>
      <c r="I949" s="22" t="s">
        <v>44</v>
      </c>
      <c r="J949" s="22" t="s">
        <v>4133</v>
      </c>
      <c r="K949" s="77">
        <v>44621</v>
      </c>
      <c r="L949" s="25" t="s">
        <v>4288</v>
      </c>
      <c r="M949" s="26">
        <v>42723</v>
      </c>
      <c r="N949" s="26">
        <v>44196</v>
      </c>
      <c r="O949" s="27" t="s">
        <v>4178</v>
      </c>
      <c r="P949" s="28" t="s">
        <v>4288</v>
      </c>
      <c r="Q949" s="29">
        <v>42723</v>
      </c>
      <c r="R949" s="26">
        <v>44196</v>
      </c>
      <c r="S949" s="23" t="s">
        <v>4134</v>
      </c>
      <c r="T949" s="23"/>
      <c r="U949" s="23"/>
      <c r="V949" s="23"/>
      <c r="W949" s="77">
        <v>44621</v>
      </c>
      <c r="X949" s="30">
        <v>39424</v>
      </c>
      <c r="Y949" s="30">
        <v>39424</v>
      </c>
      <c r="Z949" s="55" t="str">
        <f t="shared" ca="1" si="67"/>
        <v>17 Tahun 10 Bulan 23 Hari</v>
      </c>
      <c r="AA949" s="66" t="s">
        <v>76</v>
      </c>
      <c r="AB949" s="56">
        <v>32692</v>
      </c>
      <c r="AC949" s="32" t="s">
        <v>4289</v>
      </c>
      <c r="AD949" s="57" t="str">
        <f t="shared" ca="1" si="65"/>
        <v xml:space="preserve">36 Tahun 3 Bulan </v>
      </c>
      <c r="AE949" s="33" t="s">
        <v>4137</v>
      </c>
      <c r="AF949" s="71"/>
      <c r="AG949" s="22" t="s">
        <v>4119</v>
      </c>
      <c r="AH949" s="22"/>
      <c r="AI949" s="22"/>
      <c r="AJ949" s="60"/>
      <c r="AK949" s="61"/>
      <c r="AL949" s="22"/>
      <c r="AM949" s="14"/>
    </row>
    <row r="950" spans="1:39" ht="14.45" customHeight="1" x14ac:dyDescent="0.25">
      <c r="A950" s="17">
        <v>27</v>
      </c>
      <c r="B950" s="18"/>
      <c r="C950" s="50" t="s">
        <v>4290</v>
      </c>
      <c r="D950" s="20" t="s">
        <v>4291</v>
      </c>
      <c r="E950" s="52" t="s">
        <v>56</v>
      </c>
      <c r="F950" s="22" t="s">
        <v>66</v>
      </c>
      <c r="G950" s="33" t="s">
        <v>3872</v>
      </c>
      <c r="H950" s="22" t="s">
        <v>3872</v>
      </c>
      <c r="I950" s="22"/>
      <c r="J950" s="22"/>
      <c r="K950" s="22"/>
      <c r="L950" s="25" t="s">
        <v>4292</v>
      </c>
      <c r="M950" s="26">
        <v>42446</v>
      </c>
      <c r="N950" s="26">
        <v>44259</v>
      </c>
      <c r="O950" s="27" t="s">
        <v>4178</v>
      </c>
      <c r="P950" s="28" t="s">
        <v>4293</v>
      </c>
      <c r="Q950" s="29">
        <v>42535</v>
      </c>
      <c r="R950" s="26">
        <v>44259</v>
      </c>
      <c r="S950" s="23" t="s">
        <v>4294</v>
      </c>
      <c r="T950" s="23"/>
      <c r="U950" s="23"/>
      <c r="V950" s="23"/>
      <c r="W950" s="22"/>
      <c r="X950" s="30">
        <v>39845</v>
      </c>
      <c r="Y950" s="30">
        <v>39845</v>
      </c>
      <c r="Z950" s="55" t="str">
        <f t="shared" ca="1" si="67"/>
        <v>16 Tahun 8 Bulan 30 Hari</v>
      </c>
      <c r="AA950" s="55" t="s">
        <v>76</v>
      </c>
      <c r="AB950" s="56">
        <v>30745</v>
      </c>
      <c r="AC950" s="31" t="s">
        <v>4295</v>
      </c>
      <c r="AD950" s="57" t="str">
        <f t="shared" ca="1" si="65"/>
        <v xml:space="preserve">41 Tahun 7 Bulan </v>
      </c>
      <c r="AE950" s="33" t="s">
        <v>4137</v>
      </c>
      <c r="AF950" s="79"/>
      <c r="AG950" s="22" t="s">
        <v>4119</v>
      </c>
      <c r="AH950" s="22"/>
      <c r="AI950" s="22"/>
      <c r="AJ950" s="60"/>
      <c r="AK950" s="61"/>
      <c r="AL950" s="22"/>
      <c r="AM950" s="14"/>
    </row>
    <row r="951" spans="1:39" ht="14.45" customHeight="1" x14ac:dyDescent="0.25">
      <c r="A951" s="115">
        <v>28</v>
      </c>
      <c r="B951" s="18"/>
      <c r="C951" s="50" t="s">
        <v>4296</v>
      </c>
      <c r="D951" s="20" t="s">
        <v>4297</v>
      </c>
      <c r="E951" s="21" t="s">
        <v>56</v>
      </c>
      <c r="F951" s="22" t="s">
        <v>238</v>
      </c>
      <c r="G951" s="33" t="s">
        <v>3872</v>
      </c>
      <c r="H951" s="22" t="s">
        <v>1078</v>
      </c>
      <c r="I951" s="22" t="s">
        <v>44</v>
      </c>
      <c r="J951" s="22" t="s">
        <v>4133</v>
      </c>
      <c r="K951" s="22"/>
      <c r="L951" s="25" t="s">
        <v>4298</v>
      </c>
      <c r="M951" s="26">
        <v>42516</v>
      </c>
      <c r="N951" s="26">
        <v>44398</v>
      </c>
      <c r="O951" s="27" t="s">
        <v>4178</v>
      </c>
      <c r="P951" s="28" t="s">
        <v>4299</v>
      </c>
      <c r="Q951" s="29">
        <v>42627</v>
      </c>
      <c r="R951" s="26">
        <v>44398</v>
      </c>
      <c r="S951" s="33" t="s">
        <v>4134</v>
      </c>
      <c r="T951" s="33"/>
      <c r="U951" s="33"/>
      <c r="V951" s="33"/>
      <c r="W951" s="77">
        <v>45047</v>
      </c>
      <c r="X951" s="30">
        <v>40330</v>
      </c>
      <c r="Y951" s="30">
        <v>40334</v>
      </c>
      <c r="Z951" s="31" t="str">
        <f t="shared" ca="1" si="67"/>
        <v>15 Tahun 4 Bulan 30 Hari</v>
      </c>
      <c r="AA951" s="31" t="s">
        <v>76</v>
      </c>
      <c r="AB951" s="32">
        <v>32345</v>
      </c>
      <c r="AC951" s="31" t="s">
        <v>4300</v>
      </c>
      <c r="AD951" s="22" t="str">
        <f t="shared" ca="1" si="65"/>
        <v xml:space="preserve">37 Tahun 3 Bulan </v>
      </c>
      <c r="AE951" s="33" t="s">
        <v>4137</v>
      </c>
      <c r="AF951" s="34"/>
      <c r="AG951" s="22" t="s">
        <v>4119</v>
      </c>
      <c r="AH951" s="22"/>
      <c r="AI951" s="22"/>
      <c r="AJ951" s="22"/>
      <c r="AK951" s="33"/>
      <c r="AL951" s="22"/>
      <c r="AM951" s="14"/>
    </row>
    <row r="952" spans="1:39" ht="14.45" customHeight="1" x14ac:dyDescent="0.25">
      <c r="A952" s="17">
        <v>29</v>
      </c>
      <c r="B952" s="18"/>
      <c r="C952" s="50" t="s">
        <v>4301</v>
      </c>
      <c r="D952" s="20" t="s">
        <v>4302</v>
      </c>
      <c r="E952" s="22" t="s">
        <v>56</v>
      </c>
      <c r="F952" s="22" t="s">
        <v>238</v>
      </c>
      <c r="G952" s="33" t="s">
        <v>3872</v>
      </c>
      <c r="H952" s="22" t="s">
        <v>305</v>
      </c>
      <c r="I952" s="22" t="s">
        <v>44</v>
      </c>
      <c r="J952" s="22" t="s">
        <v>306</v>
      </c>
      <c r="K952" s="30"/>
      <c r="L952" s="25" t="s">
        <v>4303</v>
      </c>
      <c r="M952" s="26">
        <v>41699</v>
      </c>
      <c r="N952" s="26">
        <v>43605</v>
      </c>
      <c r="O952" s="27" t="s">
        <v>94</v>
      </c>
      <c r="P952" s="28" t="s">
        <v>4304</v>
      </c>
      <c r="Q952" s="29">
        <v>42171</v>
      </c>
      <c r="R952" s="26">
        <v>43605</v>
      </c>
      <c r="S952" s="33" t="s">
        <v>4124</v>
      </c>
      <c r="T952" s="33"/>
      <c r="U952" s="33"/>
      <c r="V952" s="33"/>
      <c r="W952" s="30">
        <v>45047</v>
      </c>
      <c r="X952" s="30">
        <v>42095</v>
      </c>
      <c r="Y952" s="30">
        <v>42114</v>
      </c>
      <c r="Z952" s="31" t="str">
        <f t="shared" ca="1" si="67"/>
        <v>10 Tahun 6 Bulan 30 Hari</v>
      </c>
      <c r="AA952" s="31" t="s">
        <v>76</v>
      </c>
      <c r="AB952" s="32">
        <v>33378</v>
      </c>
      <c r="AC952" s="31" t="s">
        <v>4305</v>
      </c>
      <c r="AD952" s="22" t="str">
        <f t="shared" ca="1" si="65"/>
        <v xml:space="preserve">34 Tahun 5 Bulan </v>
      </c>
      <c r="AE952" s="33" t="s">
        <v>94</v>
      </c>
      <c r="AF952" s="34"/>
      <c r="AG952" s="22" t="s">
        <v>4119</v>
      </c>
      <c r="AH952" s="22"/>
      <c r="AI952" s="22"/>
      <c r="AJ952" s="22"/>
      <c r="AK952" s="33"/>
      <c r="AL952" s="22"/>
      <c r="AM952" s="14"/>
    </row>
    <row r="953" spans="1:39" ht="14.45" customHeight="1" x14ac:dyDescent="0.25">
      <c r="A953" s="115">
        <v>30</v>
      </c>
      <c r="B953" s="76"/>
      <c r="C953" s="50" t="s">
        <v>4306</v>
      </c>
      <c r="D953" s="20" t="s">
        <v>4307</v>
      </c>
      <c r="E953" s="58" t="s">
        <v>56</v>
      </c>
      <c r="F953" s="22" t="s">
        <v>238</v>
      </c>
      <c r="G953" s="33" t="s">
        <v>3872</v>
      </c>
      <c r="H953" s="22" t="s">
        <v>305</v>
      </c>
      <c r="I953" s="22" t="s">
        <v>44</v>
      </c>
      <c r="J953" s="22" t="s">
        <v>306</v>
      </c>
      <c r="K953" s="30"/>
      <c r="L953" s="25" t="s">
        <v>4308</v>
      </c>
      <c r="M953" s="26">
        <v>42661</v>
      </c>
      <c r="N953" s="26">
        <v>44487</v>
      </c>
      <c r="O953" s="27" t="s">
        <v>94</v>
      </c>
      <c r="P953" s="28" t="s">
        <v>4309</v>
      </c>
      <c r="Q953" s="29">
        <v>42695</v>
      </c>
      <c r="R953" s="26">
        <v>44487</v>
      </c>
      <c r="S953" s="33" t="s">
        <v>4124</v>
      </c>
      <c r="T953" s="33"/>
      <c r="U953" s="33"/>
      <c r="V953" s="33"/>
      <c r="W953" s="30">
        <v>45047</v>
      </c>
      <c r="X953" s="30">
        <v>42095</v>
      </c>
      <c r="Y953" s="30">
        <v>42114</v>
      </c>
      <c r="Z953" s="55" t="str">
        <f t="shared" ca="1" si="67"/>
        <v>10 Tahun 6 Bulan 30 Hari</v>
      </c>
      <c r="AA953" s="55" t="s">
        <v>50</v>
      </c>
      <c r="AB953" s="56">
        <v>32434</v>
      </c>
      <c r="AC953" s="31" t="s">
        <v>4310</v>
      </c>
      <c r="AD953" s="57" t="str">
        <f t="shared" ca="1" si="65"/>
        <v xml:space="preserve">37 Tahun 0 Bulan </v>
      </c>
      <c r="AE953" s="33" t="s">
        <v>94</v>
      </c>
      <c r="AF953" s="34"/>
      <c r="AG953" s="22" t="s">
        <v>4119</v>
      </c>
      <c r="AH953" s="22"/>
      <c r="AI953" s="22"/>
      <c r="AJ953" s="60"/>
      <c r="AK953" s="61" t="s">
        <v>314</v>
      </c>
      <c r="AL953" s="22"/>
      <c r="AM953" s="14"/>
    </row>
    <row r="954" spans="1:39" ht="14.45" customHeight="1" x14ac:dyDescent="0.25">
      <c r="A954" s="17">
        <v>31</v>
      </c>
      <c r="B954" s="76"/>
      <c r="C954" s="50" t="s">
        <v>4311</v>
      </c>
      <c r="D954" s="20" t="s">
        <v>4312</v>
      </c>
      <c r="E954" s="58" t="s">
        <v>56</v>
      </c>
      <c r="F954" s="58" t="s">
        <v>238</v>
      </c>
      <c r="G954" s="33" t="s">
        <v>3872</v>
      </c>
      <c r="H954" s="22" t="s">
        <v>305</v>
      </c>
      <c r="I954" s="22" t="s">
        <v>44</v>
      </c>
      <c r="J954" s="22" t="s">
        <v>306</v>
      </c>
      <c r="K954" s="30"/>
      <c r="L954" s="25" t="s">
        <v>4313</v>
      </c>
      <c r="M954" s="26">
        <v>42600</v>
      </c>
      <c r="N954" s="26">
        <v>44457</v>
      </c>
      <c r="O954" s="27" t="s">
        <v>274</v>
      </c>
      <c r="P954" s="28" t="s">
        <v>4314</v>
      </c>
      <c r="Q954" s="29">
        <v>42891</v>
      </c>
      <c r="R954" s="26">
        <v>44457</v>
      </c>
      <c r="S954" s="33" t="s">
        <v>4124</v>
      </c>
      <c r="T954" s="33"/>
      <c r="U954" s="33"/>
      <c r="V954" s="33"/>
      <c r="W954" s="30">
        <v>45047</v>
      </c>
      <c r="X954" s="30">
        <v>42095</v>
      </c>
      <c r="Y954" s="30">
        <v>42114</v>
      </c>
      <c r="Z954" s="55" t="str">
        <f t="shared" ca="1" si="67"/>
        <v>10 Tahun 6 Bulan 30 Hari</v>
      </c>
      <c r="AA954" s="55" t="s">
        <v>1279</v>
      </c>
      <c r="AB954" s="56">
        <v>32038</v>
      </c>
      <c r="AC954" s="31" t="s">
        <v>4315</v>
      </c>
      <c r="AD954" s="57" t="str">
        <f t="shared" ca="1" si="65"/>
        <v xml:space="preserve">38 Tahun 1 Bulan </v>
      </c>
      <c r="AE954" s="33" t="s">
        <v>94</v>
      </c>
      <c r="AF954" s="71"/>
      <c r="AG954" s="22" t="s">
        <v>4119</v>
      </c>
      <c r="AH954" s="22"/>
      <c r="AI954" s="22"/>
      <c r="AJ954" s="60"/>
      <c r="AK954" s="61" t="s">
        <v>314</v>
      </c>
      <c r="AL954" s="22"/>
      <c r="AM954" s="14"/>
    </row>
    <row r="955" spans="1:39" ht="14.45" customHeight="1" x14ac:dyDescent="0.25">
      <c r="A955" s="115">
        <v>32</v>
      </c>
      <c r="B955" s="18"/>
      <c r="C955" s="50" t="s">
        <v>4316</v>
      </c>
      <c r="D955" s="20" t="s">
        <v>4317</v>
      </c>
      <c r="E955" s="58" t="s">
        <v>40</v>
      </c>
      <c r="F955" s="22" t="s">
        <v>238</v>
      </c>
      <c r="G955" s="33" t="s">
        <v>3872</v>
      </c>
      <c r="H955" s="22" t="s">
        <v>1078</v>
      </c>
      <c r="I955" s="22" t="s">
        <v>44</v>
      </c>
      <c r="J955" s="22" t="s">
        <v>4133</v>
      </c>
      <c r="K955" s="30"/>
      <c r="L955" s="25" t="s">
        <v>4318</v>
      </c>
      <c r="M955" s="26">
        <v>42446</v>
      </c>
      <c r="N955" s="26">
        <v>44205</v>
      </c>
      <c r="O955" s="27" t="s">
        <v>4178</v>
      </c>
      <c r="P955" s="28" t="s">
        <v>4319</v>
      </c>
      <c r="Q955" s="29">
        <v>42563</v>
      </c>
      <c r="R955" s="26">
        <v>44205</v>
      </c>
      <c r="S955" s="33" t="s">
        <v>4134</v>
      </c>
      <c r="T955" s="33"/>
      <c r="U955" s="33"/>
      <c r="V955" s="33"/>
      <c r="W955" s="30">
        <v>45047</v>
      </c>
      <c r="X955" s="30">
        <v>42095</v>
      </c>
      <c r="Y955" s="30">
        <v>42114</v>
      </c>
      <c r="Z955" s="55" t="str">
        <f t="shared" ca="1" si="67"/>
        <v>10 Tahun 6 Bulan 30 Hari</v>
      </c>
      <c r="AA955" s="55" t="s">
        <v>76</v>
      </c>
      <c r="AB955" s="56">
        <v>32882</v>
      </c>
      <c r="AC955" s="31" t="s">
        <v>4320</v>
      </c>
      <c r="AD955" s="57" t="str">
        <f t="shared" ca="1" si="65"/>
        <v xml:space="preserve">35 Tahun 9 Bulan </v>
      </c>
      <c r="AE955" s="33" t="s">
        <v>4137</v>
      </c>
      <c r="AF955" s="34"/>
      <c r="AG955" s="22" t="s">
        <v>4119</v>
      </c>
      <c r="AH955" s="22"/>
      <c r="AI955" s="22"/>
      <c r="AJ955" s="22"/>
      <c r="AK955" s="61" t="s">
        <v>314</v>
      </c>
      <c r="AL955" s="22"/>
      <c r="AM955" s="14"/>
    </row>
    <row r="956" spans="1:39" ht="14.45" customHeight="1" x14ac:dyDescent="0.25">
      <c r="A956" s="17">
        <v>33</v>
      </c>
      <c r="B956" s="18"/>
      <c r="C956" s="50" t="s">
        <v>4321</v>
      </c>
      <c r="D956" s="20" t="s">
        <v>4322</v>
      </c>
      <c r="E956" s="58" t="s">
        <v>56</v>
      </c>
      <c r="F956" s="22" t="s">
        <v>238</v>
      </c>
      <c r="G956" s="33" t="s">
        <v>3872</v>
      </c>
      <c r="H956" s="22" t="s">
        <v>1078</v>
      </c>
      <c r="I956" s="22" t="s">
        <v>44</v>
      </c>
      <c r="J956" s="22" t="s">
        <v>4133</v>
      </c>
      <c r="K956" s="30"/>
      <c r="L956" s="25" t="s">
        <v>4323</v>
      </c>
      <c r="M956" s="26">
        <v>42567</v>
      </c>
      <c r="N956" s="26">
        <v>44482</v>
      </c>
      <c r="O956" s="27" t="s">
        <v>4178</v>
      </c>
      <c r="P956" s="28" t="s">
        <v>4324</v>
      </c>
      <c r="Q956" s="29">
        <v>42702</v>
      </c>
      <c r="R956" s="26">
        <v>44482</v>
      </c>
      <c r="S956" s="33" t="s">
        <v>4134</v>
      </c>
      <c r="T956" s="33"/>
      <c r="U956" s="33"/>
      <c r="V956" s="33"/>
      <c r="W956" s="30">
        <v>45047</v>
      </c>
      <c r="X956" s="30">
        <v>42095</v>
      </c>
      <c r="Y956" s="30">
        <v>42114</v>
      </c>
      <c r="Z956" s="31" t="str">
        <f t="shared" ca="1" si="67"/>
        <v>10 Tahun 6 Bulan 30 Hari</v>
      </c>
      <c r="AA956" s="31" t="s">
        <v>76</v>
      </c>
      <c r="AB956" s="32">
        <v>31333</v>
      </c>
      <c r="AC956" s="31" t="s">
        <v>4325</v>
      </c>
      <c r="AD956" s="57" t="str">
        <f t="shared" ca="1" si="65"/>
        <v xml:space="preserve">40 Tahun 0 Bulan </v>
      </c>
      <c r="AE956" s="33" t="s">
        <v>4137</v>
      </c>
      <c r="AF956" s="34"/>
      <c r="AG956" s="22" t="s">
        <v>4119</v>
      </c>
      <c r="AH956" s="22"/>
      <c r="AI956" s="22"/>
      <c r="AJ956" s="60"/>
      <c r="AK956" s="61" t="s">
        <v>314</v>
      </c>
      <c r="AL956" s="22"/>
      <c r="AM956" s="14"/>
    </row>
    <row r="957" spans="1:39" ht="14.45" customHeight="1" x14ac:dyDescent="0.25">
      <c r="A957" s="115">
        <v>34</v>
      </c>
      <c r="B957" s="18"/>
      <c r="C957" s="50" t="s">
        <v>4326</v>
      </c>
      <c r="D957" s="20" t="s">
        <v>4327</v>
      </c>
      <c r="E957" s="58" t="s">
        <v>56</v>
      </c>
      <c r="F957" s="22" t="s">
        <v>238</v>
      </c>
      <c r="G957" s="33" t="s">
        <v>3872</v>
      </c>
      <c r="H957" s="22" t="s">
        <v>305</v>
      </c>
      <c r="I957" s="22" t="s">
        <v>44</v>
      </c>
      <c r="J957" s="22" t="s">
        <v>306</v>
      </c>
      <c r="K957" s="30"/>
      <c r="L957" s="25" t="s">
        <v>4328</v>
      </c>
      <c r="M957" s="26">
        <v>42070</v>
      </c>
      <c r="N957" s="26">
        <v>44134</v>
      </c>
      <c r="O957" s="27" t="s">
        <v>274</v>
      </c>
      <c r="P957" s="28" t="s">
        <v>4329</v>
      </c>
      <c r="Q957" s="29">
        <v>42635</v>
      </c>
      <c r="R957" s="26">
        <v>44134</v>
      </c>
      <c r="S957" s="33" t="s">
        <v>94</v>
      </c>
      <c r="T957" s="33"/>
      <c r="U957" s="33"/>
      <c r="V957" s="33"/>
      <c r="W957" s="30">
        <v>45047</v>
      </c>
      <c r="X957" s="30">
        <v>42370</v>
      </c>
      <c r="Y957" s="30">
        <v>42401</v>
      </c>
      <c r="Z957" s="31" t="str">
        <f t="shared" ca="1" si="67"/>
        <v>9 Tahun 9 Bulan 30 Hari</v>
      </c>
      <c r="AA957" s="31" t="s">
        <v>1279</v>
      </c>
      <c r="AB957" s="32">
        <v>33176</v>
      </c>
      <c r="AC957" s="31" t="s">
        <v>4330</v>
      </c>
      <c r="AD957" s="57" t="str">
        <f t="shared" ca="1" si="65"/>
        <v xml:space="preserve">35 Tahun 0 Bulan </v>
      </c>
      <c r="AE957" s="33" t="s">
        <v>94</v>
      </c>
      <c r="AF957" s="71"/>
      <c r="AG957" s="22" t="s">
        <v>4119</v>
      </c>
      <c r="AH957" s="22"/>
      <c r="AI957" s="22"/>
      <c r="AJ957" s="60"/>
      <c r="AK957" s="61" t="s">
        <v>314</v>
      </c>
      <c r="AL957" s="22"/>
      <c r="AM957" s="14"/>
    </row>
    <row r="958" spans="1:39" ht="14.45" customHeight="1" x14ac:dyDescent="0.25">
      <c r="A958" s="17">
        <v>35</v>
      </c>
      <c r="B958" s="78">
        <v>1399</v>
      </c>
      <c r="C958" s="50" t="s">
        <v>5978</v>
      </c>
      <c r="D958" s="20" t="s">
        <v>4331</v>
      </c>
      <c r="E958" s="22" t="s">
        <v>56</v>
      </c>
      <c r="F958" s="22" t="s">
        <v>41</v>
      </c>
      <c r="G958" s="38" t="s">
        <v>2877</v>
      </c>
      <c r="H958" s="22" t="s">
        <v>2878</v>
      </c>
      <c r="I958" s="22" t="s">
        <v>44</v>
      </c>
      <c r="J958" s="22" t="s">
        <v>4133</v>
      </c>
      <c r="K958" s="24">
        <v>45505</v>
      </c>
      <c r="L958" s="25"/>
      <c r="M958" s="26"/>
      <c r="N958" s="26"/>
      <c r="O958" s="27"/>
      <c r="P958" s="28"/>
      <c r="Q958" s="29"/>
      <c r="R958" s="26"/>
      <c r="S958" s="23" t="s">
        <v>4134</v>
      </c>
      <c r="T958" s="23"/>
      <c r="U958" s="23"/>
      <c r="V958" s="23"/>
      <c r="W958" s="30">
        <v>44166</v>
      </c>
      <c r="X958" s="30">
        <v>44197</v>
      </c>
      <c r="Y958" s="30">
        <v>44197</v>
      </c>
      <c r="Z958" s="31" t="str">
        <f t="shared" ca="1" si="67"/>
        <v>4 Tahun 9 Bulan 30 Hari</v>
      </c>
      <c r="AA958" s="31" t="s">
        <v>128</v>
      </c>
      <c r="AB958" s="32">
        <v>35357</v>
      </c>
      <c r="AC958" s="32" t="s">
        <v>4332</v>
      </c>
      <c r="AD958" s="22" t="str">
        <f t="shared" ca="1" si="65"/>
        <v xml:space="preserve">29 Tahun 0 Bulan </v>
      </c>
      <c r="AE958" s="33" t="s">
        <v>4137</v>
      </c>
      <c r="AF958" s="34"/>
      <c r="AG958" s="22" t="s">
        <v>4119</v>
      </c>
      <c r="AH958" s="22"/>
      <c r="AI958" s="22"/>
      <c r="AJ958" s="60"/>
      <c r="AK958" s="61" t="s">
        <v>112</v>
      </c>
      <c r="AL958" s="22"/>
      <c r="AM958" s="14"/>
    </row>
    <row r="959" spans="1:39" ht="14.45" customHeight="1" x14ac:dyDescent="0.25">
      <c r="A959" s="115">
        <v>36</v>
      </c>
      <c r="B959" s="78">
        <v>1400</v>
      </c>
      <c r="C959" s="50" t="s">
        <v>6156</v>
      </c>
      <c r="D959" s="20" t="s">
        <v>4333</v>
      </c>
      <c r="E959" s="58" t="s">
        <v>56</v>
      </c>
      <c r="F959" s="60" t="s">
        <v>41</v>
      </c>
      <c r="G959" s="38" t="s">
        <v>2877</v>
      </c>
      <c r="H959" s="22" t="s">
        <v>2878</v>
      </c>
      <c r="I959" s="22" t="s">
        <v>44</v>
      </c>
      <c r="J959" s="22" t="s">
        <v>4133</v>
      </c>
      <c r="K959" s="24">
        <v>45505</v>
      </c>
      <c r="L959" s="25"/>
      <c r="M959" s="26"/>
      <c r="N959" s="26"/>
      <c r="O959" s="27"/>
      <c r="P959" s="28"/>
      <c r="Q959" s="29"/>
      <c r="R959" s="26"/>
      <c r="S959" s="23" t="s">
        <v>4134</v>
      </c>
      <c r="T959" s="23"/>
      <c r="U959" s="23"/>
      <c r="V959" s="23"/>
      <c r="W959" s="30">
        <v>44166</v>
      </c>
      <c r="X959" s="30">
        <v>44197</v>
      </c>
      <c r="Y959" s="82">
        <v>44197</v>
      </c>
      <c r="Z959" s="55" t="str">
        <f t="shared" ca="1" si="67"/>
        <v>4 Tahun 9 Bulan 30 Hari</v>
      </c>
      <c r="AA959" s="55" t="s">
        <v>76</v>
      </c>
      <c r="AB959" s="56">
        <v>33786</v>
      </c>
      <c r="AC959" s="32" t="s">
        <v>4334</v>
      </c>
      <c r="AD959" s="57" t="str">
        <f t="shared" ca="1" si="65"/>
        <v xml:space="preserve">33 Tahun 3 Bulan </v>
      </c>
      <c r="AE959" s="61" t="s">
        <v>4137</v>
      </c>
      <c r="AF959" s="34"/>
      <c r="AG959" s="58" t="s">
        <v>4119</v>
      </c>
      <c r="AH959" s="22"/>
      <c r="AI959" s="22"/>
      <c r="AJ959" s="22"/>
      <c r="AK959" s="33"/>
      <c r="AL959" s="22"/>
      <c r="AM959" s="14"/>
    </row>
    <row r="960" spans="1:39" ht="14.45" customHeight="1" x14ac:dyDescent="0.25">
      <c r="A960" s="17">
        <v>37</v>
      </c>
      <c r="B960" s="134">
        <v>1401</v>
      </c>
      <c r="C960" s="138" t="s">
        <v>6180</v>
      </c>
      <c r="D960" s="20" t="s">
        <v>4335</v>
      </c>
      <c r="E960" s="22" t="s">
        <v>56</v>
      </c>
      <c r="F960" s="22" t="s">
        <v>41</v>
      </c>
      <c r="G960" s="38" t="s">
        <v>2877</v>
      </c>
      <c r="H960" s="22" t="s">
        <v>2878</v>
      </c>
      <c r="I960" s="22" t="s">
        <v>44</v>
      </c>
      <c r="J960" s="22" t="s">
        <v>4133</v>
      </c>
      <c r="K960" s="24">
        <v>45505</v>
      </c>
      <c r="L960" s="25"/>
      <c r="M960" s="26"/>
      <c r="N960" s="26"/>
      <c r="O960" s="27"/>
      <c r="P960" s="28"/>
      <c r="Q960" s="29"/>
      <c r="R960" s="26"/>
      <c r="S960" s="23" t="s">
        <v>4134</v>
      </c>
      <c r="T960" s="23"/>
      <c r="U960" s="23"/>
      <c r="V960" s="23"/>
      <c r="W960" s="30">
        <v>44166</v>
      </c>
      <c r="X960" s="30">
        <v>44197</v>
      </c>
      <c r="Y960" s="30">
        <v>44197</v>
      </c>
      <c r="Z960" s="31" t="str">
        <f t="shared" ca="1" si="67"/>
        <v>4 Tahun 9 Bulan 30 Hari</v>
      </c>
      <c r="AA960" s="31" t="s">
        <v>76</v>
      </c>
      <c r="AB960" s="32">
        <v>34275</v>
      </c>
      <c r="AC960" s="32" t="s">
        <v>4336</v>
      </c>
      <c r="AD960" s="22" t="str">
        <f t="shared" ca="1" si="65"/>
        <v xml:space="preserve">31 Tahun 11 Bulan </v>
      </c>
      <c r="AE960" s="33" t="s">
        <v>4137</v>
      </c>
      <c r="AF960" s="34"/>
      <c r="AG960" s="58" t="s">
        <v>4119</v>
      </c>
      <c r="AH960" s="22"/>
      <c r="AI960" s="22"/>
      <c r="AJ960" s="22"/>
      <c r="AK960" s="33"/>
      <c r="AL960" s="22"/>
      <c r="AM960" s="14"/>
    </row>
    <row r="961" spans="1:39" ht="14.45" customHeight="1" x14ac:dyDescent="0.25">
      <c r="A961" s="115">
        <v>38</v>
      </c>
      <c r="B961" s="18"/>
      <c r="C961" s="50" t="s">
        <v>4337</v>
      </c>
      <c r="D961" s="20" t="s">
        <v>4338</v>
      </c>
      <c r="E961" s="21" t="s">
        <v>40</v>
      </c>
      <c r="F961" s="22" t="s">
        <v>41</v>
      </c>
      <c r="G961" s="23" t="s">
        <v>102</v>
      </c>
      <c r="H961" s="22" t="s">
        <v>103</v>
      </c>
      <c r="I961" s="22" t="s">
        <v>44</v>
      </c>
      <c r="J961" s="22" t="s">
        <v>4176</v>
      </c>
      <c r="K961" s="24">
        <v>45323</v>
      </c>
      <c r="L961" s="25" t="s">
        <v>4339</v>
      </c>
      <c r="M961" s="26">
        <v>42566</v>
      </c>
      <c r="N961" s="26">
        <v>44537</v>
      </c>
      <c r="O961" s="27" t="s">
        <v>4178</v>
      </c>
      <c r="P961" s="53" t="s">
        <v>4340</v>
      </c>
      <c r="Q961" s="26">
        <v>43025</v>
      </c>
      <c r="R961" s="26">
        <v>44537</v>
      </c>
      <c r="S961" s="33" t="s">
        <v>4134</v>
      </c>
      <c r="T961" s="33"/>
      <c r="U961" s="33"/>
      <c r="V961" s="33"/>
      <c r="W961" s="30">
        <v>40513</v>
      </c>
      <c r="X961" s="30">
        <v>40638</v>
      </c>
      <c r="Y961" s="30">
        <v>40638</v>
      </c>
      <c r="Z961" s="31" t="str">
        <f ca="1">DATEDIF(W961,TODAY(),"y")&amp;" Tahun "&amp;DATEDIF(W961,TODAY(),"ym")&amp;" Bulan "&amp;DATEDIF(W961,TODAY(),"md")&amp;" Hari"</f>
        <v>14 Tahun 10 Bulan 30 Hari</v>
      </c>
      <c r="AA961" s="31" t="s">
        <v>1435</v>
      </c>
      <c r="AB961" s="32">
        <v>31023</v>
      </c>
      <c r="AC961" s="31" t="s">
        <v>4341</v>
      </c>
      <c r="AD961" s="22" t="str">
        <f t="shared" ca="1" si="65"/>
        <v xml:space="preserve">40 Tahun 10 Bulan </v>
      </c>
      <c r="AE961" s="33" t="s">
        <v>4137</v>
      </c>
      <c r="AF961" s="34"/>
      <c r="AG961" s="58" t="s">
        <v>4119</v>
      </c>
      <c r="AH961" s="22"/>
      <c r="AI961" s="22"/>
      <c r="AJ961" s="22"/>
      <c r="AK961" s="33" t="s">
        <v>314</v>
      </c>
      <c r="AL961" s="22"/>
      <c r="AM961" s="14"/>
    </row>
    <row r="962" spans="1:39" ht="14.45" customHeight="1" x14ac:dyDescent="0.25">
      <c r="A962" s="17">
        <v>39</v>
      </c>
      <c r="B962" s="18"/>
      <c r="C962" s="50" t="s">
        <v>4342</v>
      </c>
      <c r="D962" s="20" t="s">
        <v>4343</v>
      </c>
      <c r="E962" s="21" t="s">
        <v>56</v>
      </c>
      <c r="F962" s="22" t="s">
        <v>238</v>
      </c>
      <c r="G962" s="33" t="s">
        <v>3872</v>
      </c>
      <c r="H962" s="22" t="s">
        <v>305</v>
      </c>
      <c r="I962" s="22" t="s">
        <v>44</v>
      </c>
      <c r="J962" s="22" t="s">
        <v>306</v>
      </c>
      <c r="K962" s="30"/>
      <c r="L962" s="53" t="s">
        <v>4344</v>
      </c>
      <c r="M962" s="173">
        <v>43021</v>
      </c>
      <c r="N962" s="26">
        <v>44836</v>
      </c>
      <c r="O962" s="27" t="s">
        <v>274</v>
      </c>
      <c r="P962" s="53" t="s">
        <v>4345</v>
      </c>
      <c r="Q962" s="26">
        <v>43067</v>
      </c>
      <c r="R962" s="26">
        <v>44836</v>
      </c>
      <c r="S962" s="23" t="s">
        <v>94</v>
      </c>
      <c r="T962" s="23"/>
      <c r="U962" s="23"/>
      <c r="V962" s="23"/>
      <c r="W962" s="30">
        <v>45047</v>
      </c>
      <c r="X962" s="30">
        <v>41061</v>
      </c>
      <c r="Y962" s="30">
        <v>41061</v>
      </c>
      <c r="Z962" s="31" t="str">
        <f ca="1">DATEDIF(X962,TODAY(),"y")&amp;" Tahun "&amp;DATEDIF(X962,TODAY(),"ym")&amp;" Bulan "&amp;DATEDIF(X962,TODAY(),"md")&amp;" Hari"</f>
        <v>13 Tahun 4 Bulan 30 Hari</v>
      </c>
      <c r="AA962" s="31" t="s">
        <v>128</v>
      </c>
      <c r="AB962" s="32">
        <v>32783</v>
      </c>
      <c r="AC962" s="32" t="s">
        <v>4346</v>
      </c>
      <c r="AD962" s="22" t="str">
        <f t="shared" ca="1" si="65"/>
        <v xml:space="preserve">36 Tahun 0 Bulan </v>
      </c>
      <c r="AE962" s="33" t="s">
        <v>94</v>
      </c>
      <c r="AF962" s="34"/>
      <c r="AG962" s="58" t="s">
        <v>4119</v>
      </c>
      <c r="AH962" s="58"/>
      <c r="AI962" s="58"/>
      <c r="AJ962" s="58"/>
      <c r="AK962" s="33" t="s">
        <v>573</v>
      </c>
      <c r="AL962" s="22"/>
      <c r="AM962" s="14"/>
    </row>
    <row r="963" spans="1:39" ht="14.45" customHeight="1" x14ac:dyDescent="0.25">
      <c r="A963" s="115">
        <v>40</v>
      </c>
      <c r="B963" s="18"/>
      <c r="C963" s="50" t="s">
        <v>4347</v>
      </c>
      <c r="D963" s="20" t="s">
        <v>4348</v>
      </c>
      <c r="E963" s="52" t="s">
        <v>40</v>
      </c>
      <c r="F963" s="22" t="s">
        <v>238</v>
      </c>
      <c r="G963" s="33" t="s">
        <v>3872</v>
      </c>
      <c r="H963" s="22" t="s">
        <v>1078</v>
      </c>
      <c r="I963" s="22" t="s">
        <v>44</v>
      </c>
      <c r="J963" s="22" t="s">
        <v>4133</v>
      </c>
      <c r="K963" s="22"/>
      <c r="L963" s="53" t="s">
        <v>4349</v>
      </c>
      <c r="M963" s="26">
        <v>42789</v>
      </c>
      <c r="N963" s="26">
        <v>44869</v>
      </c>
      <c r="O963" s="27" t="s">
        <v>4178</v>
      </c>
      <c r="P963" s="53" t="s">
        <v>4350</v>
      </c>
      <c r="Q963" s="26">
        <v>43025</v>
      </c>
      <c r="R963" s="26">
        <v>44869</v>
      </c>
      <c r="S963" s="33" t="s">
        <v>4134</v>
      </c>
      <c r="T963" s="33"/>
      <c r="U963" s="33"/>
      <c r="V963" s="33"/>
      <c r="W963" s="77">
        <v>45047</v>
      </c>
      <c r="X963" s="30">
        <v>40695</v>
      </c>
      <c r="Y963" s="30">
        <v>40710</v>
      </c>
      <c r="Z963" s="55" t="str">
        <f ca="1">DATEDIF(X963,TODAY(),"y")&amp;" Tahun "&amp;DATEDIF(X963,TODAY(),"ym")&amp;" Bulan "&amp;DATEDIF(X963,TODAY(),"md")&amp;" Hari"</f>
        <v>14 Tahun 4 Bulan 30 Hari</v>
      </c>
      <c r="AA963" s="55" t="s">
        <v>76</v>
      </c>
      <c r="AB963" s="56">
        <v>32085</v>
      </c>
      <c r="AC963" s="31" t="s">
        <v>4351</v>
      </c>
      <c r="AD963" s="57" t="str">
        <f t="shared" ca="1" si="65"/>
        <v xml:space="preserve">37 Tahun 11 Bulan </v>
      </c>
      <c r="AE963" s="33" t="s">
        <v>4137</v>
      </c>
      <c r="AF963" s="34"/>
      <c r="AG963" s="58" t="s">
        <v>4119</v>
      </c>
      <c r="AH963" s="22"/>
      <c r="AI963" s="22"/>
      <c r="AJ963" s="60"/>
      <c r="AK963" s="61"/>
      <c r="AL963" s="22"/>
      <c r="AM963" s="14"/>
    </row>
    <row r="964" spans="1:39" ht="14.45" customHeight="1" x14ac:dyDescent="0.25">
      <c r="A964" s="17">
        <v>41</v>
      </c>
      <c r="B964" s="18"/>
      <c r="C964" s="50" t="s">
        <v>4352</v>
      </c>
      <c r="D964" s="20" t="s">
        <v>4353</v>
      </c>
      <c r="E964" s="52" t="s">
        <v>40</v>
      </c>
      <c r="F964" s="22" t="s">
        <v>238</v>
      </c>
      <c r="G964" s="33" t="s">
        <v>3872</v>
      </c>
      <c r="H964" s="22" t="s">
        <v>1078</v>
      </c>
      <c r="I964" s="22" t="s">
        <v>44</v>
      </c>
      <c r="J964" s="22" t="s">
        <v>4133</v>
      </c>
      <c r="K964" s="22"/>
      <c r="L964" s="25" t="s">
        <v>4354</v>
      </c>
      <c r="M964" s="26">
        <v>40862</v>
      </c>
      <c r="N964" s="26">
        <v>44315</v>
      </c>
      <c r="O964" s="27" t="s">
        <v>4178</v>
      </c>
      <c r="P964" s="28" t="s">
        <v>4355</v>
      </c>
      <c r="Q964" s="29">
        <v>42725</v>
      </c>
      <c r="R964" s="26">
        <v>44315</v>
      </c>
      <c r="S964" s="23" t="s">
        <v>4134</v>
      </c>
      <c r="T964" s="23"/>
      <c r="U964" s="23"/>
      <c r="V964" s="23"/>
      <c r="W964" s="77">
        <v>45047</v>
      </c>
      <c r="X964" s="30">
        <v>39424</v>
      </c>
      <c r="Y964" s="30">
        <v>39424</v>
      </c>
      <c r="Z964" s="55" t="str">
        <f ca="1">DATEDIF(X964,TODAY(),"y")&amp;" Tahun "&amp;DATEDIF(X964,TODAY(),"ym")&amp;" Bulan "&amp;DATEDIF(X964,TODAY(),"md")&amp;" Hari"</f>
        <v>17 Tahun 10 Bulan 23 Hari</v>
      </c>
      <c r="AA964" s="31" t="s">
        <v>563</v>
      </c>
      <c r="AB964" s="56">
        <v>31166</v>
      </c>
      <c r="AC964" s="31" t="s">
        <v>4356</v>
      </c>
      <c r="AD964" s="57" t="str">
        <f t="shared" ca="1" si="65"/>
        <v xml:space="preserve">40 Tahun 6 Bulan </v>
      </c>
      <c r="AE964" s="33" t="s">
        <v>4137</v>
      </c>
      <c r="AF964" s="79"/>
      <c r="AG964" s="58" t="s">
        <v>4119</v>
      </c>
      <c r="AH964" s="22"/>
      <c r="AI964" s="22"/>
      <c r="AJ964" s="22"/>
      <c r="AK964" s="33" t="s">
        <v>314</v>
      </c>
      <c r="AL964" s="22"/>
      <c r="AM964" s="14"/>
    </row>
    <row r="965" spans="1:39" ht="14.45" customHeight="1" x14ac:dyDescent="0.25">
      <c r="A965" s="115">
        <v>42</v>
      </c>
      <c r="B965" s="18"/>
      <c r="C965" s="50" t="s">
        <v>4357</v>
      </c>
      <c r="D965" s="62" t="s">
        <v>4358</v>
      </c>
      <c r="E965" s="35" t="s">
        <v>56</v>
      </c>
      <c r="F965" s="35" t="s">
        <v>41</v>
      </c>
      <c r="G965" s="38" t="s">
        <v>2877</v>
      </c>
      <c r="H965" s="22" t="s">
        <v>2878</v>
      </c>
      <c r="I965" s="22" t="s">
        <v>44</v>
      </c>
      <c r="J965" s="22" t="s">
        <v>4133</v>
      </c>
      <c r="K965" s="24">
        <v>45505</v>
      </c>
      <c r="L965" s="25" t="s">
        <v>4359</v>
      </c>
      <c r="M965" s="26">
        <v>41964</v>
      </c>
      <c r="N965" s="26">
        <v>43810</v>
      </c>
      <c r="O965" s="27" t="s">
        <v>4178</v>
      </c>
      <c r="P965" s="28" t="s">
        <v>4360</v>
      </c>
      <c r="Q965" s="29">
        <v>42984</v>
      </c>
      <c r="R965" s="26">
        <v>43810</v>
      </c>
      <c r="S965" s="38" t="s">
        <v>4134</v>
      </c>
      <c r="T965" s="38"/>
      <c r="U965" s="38"/>
      <c r="V965" s="38"/>
      <c r="W965" s="30">
        <v>44166</v>
      </c>
      <c r="X965" s="37">
        <v>42370</v>
      </c>
      <c r="Y965" s="37">
        <v>42401</v>
      </c>
      <c r="Z965" s="63" t="str">
        <f ca="1">DATEDIF(X965,TODAY(),"y")&amp;" Tahun "&amp;DATEDIF(X965,TODAY(),"ym")&amp;" Bulan "&amp;DATEDIF(X965,TODAY(),"md")&amp;" Hari"</f>
        <v>9 Tahun 9 Bulan 30 Hari</v>
      </c>
      <c r="AA965" s="63" t="s">
        <v>76</v>
      </c>
      <c r="AB965" s="39">
        <v>34314</v>
      </c>
      <c r="AC965" s="31" t="s">
        <v>4361</v>
      </c>
      <c r="AD965" s="22" t="str">
        <f t="shared" ca="1" si="65"/>
        <v xml:space="preserve">31 Tahun 10 Bulan </v>
      </c>
      <c r="AE965" s="154" t="s">
        <v>4137</v>
      </c>
      <c r="AF965" s="96"/>
      <c r="AG965" s="58" t="s">
        <v>4119</v>
      </c>
      <c r="AH965" s="22"/>
      <c r="AI965" s="22"/>
      <c r="AJ965" s="22"/>
      <c r="AK965" s="33" t="s">
        <v>314</v>
      </c>
      <c r="AL965" s="22"/>
      <c r="AM965" s="14"/>
    </row>
    <row r="966" spans="1:39" ht="14.45" customHeight="1" x14ac:dyDescent="0.25">
      <c r="A966" s="17">
        <v>43</v>
      </c>
      <c r="B966" s="18"/>
      <c r="C966" s="50" t="s">
        <v>4362</v>
      </c>
      <c r="D966" s="20" t="s">
        <v>4363</v>
      </c>
      <c r="E966" s="52" t="s">
        <v>56</v>
      </c>
      <c r="F966" s="58" t="s">
        <v>238</v>
      </c>
      <c r="G966" s="33" t="s">
        <v>3872</v>
      </c>
      <c r="H966" s="22" t="s">
        <v>1078</v>
      </c>
      <c r="I966" s="22" t="s">
        <v>44</v>
      </c>
      <c r="J966" s="22" t="s">
        <v>4133</v>
      </c>
      <c r="K966" s="22"/>
      <c r="L966" s="25" t="s">
        <v>4364</v>
      </c>
      <c r="M966" s="26">
        <v>42516</v>
      </c>
      <c r="N966" s="26">
        <v>44370</v>
      </c>
      <c r="O966" s="27" t="s">
        <v>4178</v>
      </c>
      <c r="P966" s="28" t="s">
        <v>4365</v>
      </c>
      <c r="Q966" s="29">
        <v>42725</v>
      </c>
      <c r="R966" s="26">
        <v>44370</v>
      </c>
      <c r="S966" s="23" t="s">
        <v>4134</v>
      </c>
      <c r="T966" s="23"/>
      <c r="U966" s="23"/>
      <c r="V966" s="23"/>
      <c r="W966" s="77">
        <v>45047</v>
      </c>
      <c r="X966" s="30">
        <v>39424</v>
      </c>
      <c r="Y966" s="30">
        <v>39424</v>
      </c>
      <c r="Z966" s="55" t="str">
        <f ca="1">DATEDIF(X966,TODAY(),"y")&amp;" Tahun "&amp;DATEDIF(X966,TODAY(),"ym")&amp;" Bulan "&amp;DATEDIF(X966,TODAY(),"md")&amp;" Hari"</f>
        <v>17 Tahun 10 Bulan 23 Hari</v>
      </c>
      <c r="AA966" s="55" t="s">
        <v>171</v>
      </c>
      <c r="AB966" s="56">
        <v>31586</v>
      </c>
      <c r="AC966" s="31" t="s">
        <v>4366</v>
      </c>
      <c r="AD966" s="57" t="str">
        <f t="shared" ca="1" si="65"/>
        <v xml:space="preserve">39 Tahun 4 Bulan </v>
      </c>
      <c r="AE966" s="33" t="s">
        <v>4137</v>
      </c>
      <c r="AF966" s="71"/>
      <c r="AG966" s="58" t="s">
        <v>4119</v>
      </c>
      <c r="AH966" s="22"/>
      <c r="AI966" s="22"/>
      <c r="AJ966" s="22"/>
      <c r="AK966" s="33" t="s">
        <v>314</v>
      </c>
      <c r="AL966" s="22"/>
      <c r="AM966" s="14"/>
    </row>
    <row r="967" spans="1:39" ht="14.45" customHeight="1" x14ac:dyDescent="0.25">
      <c r="A967" s="115">
        <v>44</v>
      </c>
      <c r="B967" s="18"/>
      <c r="C967" s="50" t="s">
        <v>4368</v>
      </c>
      <c r="D967" s="20" t="s">
        <v>4369</v>
      </c>
      <c r="E967" s="21" t="s">
        <v>56</v>
      </c>
      <c r="F967" s="22" t="s">
        <v>41</v>
      </c>
      <c r="G967" s="23" t="s">
        <v>137</v>
      </c>
      <c r="H967" s="22" t="s">
        <v>138</v>
      </c>
      <c r="I967" s="22" t="s">
        <v>44</v>
      </c>
      <c r="J967" s="22" t="s">
        <v>4176</v>
      </c>
      <c r="K967" s="24">
        <v>45870</v>
      </c>
      <c r="L967" s="53" t="s">
        <v>4370</v>
      </c>
      <c r="M967" s="26">
        <v>43087</v>
      </c>
      <c r="N967" s="26">
        <v>44121</v>
      </c>
      <c r="O967" s="40" t="s">
        <v>4178</v>
      </c>
      <c r="P967" s="53" t="s">
        <v>4371</v>
      </c>
      <c r="Q967" s="26">
        <v>43203</v>
      </c>
      <c r="R967" s="26">
        <v>44121</v>
      </c>
      <c r="S967" s="33" t="s">
        <v>4134</v>
      </c>
      <c r="T967" s="23">
        <v>2018</v>
      </c>
      <c r="U967" s="23"/>
      <c r="V967" s="23"/>
      <c r="W967" s="30">
        <v>37226</v>
      </c>
      <c r="X967" s="30">
        <v>37226</v>
      </c>
      <c r="Y967" s="30">
        <v>37226</v>
      </c>
      <c r="Z967" s="31" t="str">
        <f ca="1">DATEDIF(W967,TODAY(),"y")&amp;" Tahun "&amp;DATEDIF(W967,TODAY(),"ym")&amp;" Bulan "&amp;DATEDIF(W967,TODAY(),"md")&amp;" Hari"</f>
        <v>23 Tahun 10 Bulan 30 Hari</v>
      </c>
      <c r="AA967" s="31" t="s">
        <v>141</v>
      </c>
      <c r="AB967" s="32">
        <v>27512</v>
      </c>
      <c r="AC967" s="31" t="s">
        <v>4372</v>
      </c>
      <c r="AD967" s="22" t="str">
        <f t="shared" ca="1" si="65"/>
        <v xml:space="preserve">50 Tahun 6 Bulan </v>
      </c>
      <c r="AE967" s="33" t="s">
        <v>4137</v>
      </c>
      <c r="AF967" s="34" t="s">
        <v>3444</v>
      </c>
      <c r="AG967" s="58" t="s">
        <v>4119</v>
      </c>
      <c r="AH967" s="58"/>
      <c r="AI967" s="58"/>
      <c r="AJ967" s="58"/>
      <c r="AK967" s="33" t="s">
        <v>314</v>
      </c>
      <c r="AL967" s="22"/>
      <c r="AM967" s="14"/>
    </row>
    <row r="968" spans="1:39" ht="14.45" customHeight="1" x14ac:dyDescent="0.25">
      <c r="A968" s="17">
        <v>45</v>
      </c>
      <c r="B968" s="18"/>
      <c r="C968" s="50" t="s">
        <v>4373</v>
      </c>
      <c r="D968" s="20" t="s">
        <v>4374</v>
      </c>
      <c r="E968" s="52" t="s">
        <v>56</v>
      </c>
      <c r="F968" s="22" t="s">
        <v>41</v>
      </c>
      <c r="G968" s="23" t="s">
        <v>102</v>
      </c>
      <c r="H968" s="22" t="s">
        <v>103</v>
      </c>
      <c r="I968" s="22" t="s">
        <v>44</v>
      </c>
      <c r="J968" s="22" t="s">
        <v>4176</v>
      </c>
      <c r="K968" s="24">
        <v>45323</v>
      </c>
      <c r="L968" s="25" t="s">
        <v>4375</v>
      </c>
      <c r="M968" s="26">
        <v>42541</v>
      </c>
      <c r="N968" s="26">
        <v>44348</v>
      </c>
      <c r="O968" s="27" t="s">
        <v>4178</v>
      </c>
      <c r="P968" s="28" t="s">
        <v>4376</v>
      </c>
      <c r="Q968" s="29">
        <v>42446</v>
      </c>
      <c r="R968" s="26">
        <v>44348</v>
      </c>
      <c r="S968" s="33" t="s">
        <v>4134</v>
      </c>
      <c r="T968" s="33"/>
      <c r="U968" s="33"/>
      <c r="V968" s="33"/>
      <c r="W968" s="30">
        <v>40513</v>
      </c>
      <c r="X968" s="30">
        <v>40638</v>
      </c>
      <c r="Y968" s="30">
        <v>40638</v>
      </c>
      <c r="Z968" s="31" t="str">
        <f ca="1">DATEDIF(W968,TODAY(),"y")&amp;" Tahun "&amp;DATEDIF(W968,TODAY(),"ym")&amp;" Bulan "&amp;DATEDIF(W968,TODAY(),"md")&amp;" Hari"</f>
        <v>14 Tahun 10 Bulan 30 Hari</v>
      </c>
      <c r="AA968" s="31" t="s">
        <v>1737</v>
      </c>
      <c r="AB968" s="32">
        <v>32295</v>
      </c>
      <c r="AC968" s="31" t="s">
        <v>4377</v>
      </c>
      <c r="AD968" s="57" t="str">
        <f t="shared" ca="1" si="65"/>
        <v xml:space="preserve">37 Tahun 4 Bulan </v>
      </c>
      <c r="AE968" s="33" t="s">
        <v>4137</v>
      </c>
      <c r="AF968" s="71"/>
      <c r="AG968" s="58" t="s">
        <v>4119</v>
      </c>
      <c r="AH968" s="22"/>
      <c r="AI968" s="22"/>
      <c r="AJ968" s="22"/>
      <c r="AK968" s="33" t="s">
        <v>314</v>
      </c>
      <c r="AL968" s="22"/>
      <c r="AM968" s="14"/>
    </row>
    <row r="969" spans="1:39" ht="14.45" customHeight="1" x14ac:dyDescent="0.25">
      <c r="A969" s="115">
        <v>46</v>
      </c>
      <c r="B969" s="76"/>
      <c r="C969" s="50" t="s">
        <v>4378</v>
      </c>
      <c r="D969" s="20" t="s">
        <v>4379</v>
      </c>
      <c r="E969" s="52" t="s">
        <v>40</v>
      </c>
      <c r="F969" s="22" t="s">
        <v>238</v>
      </c>
      <c r="G969" s="33" t="s">
        <v>3872</v>
      </c>
      <c r="H969" s="22" t="s">
        <v>1078</v>
      </c>
      <c r="I969" s="22" t="s">
        <v>44</v>
      </c>
      <c r="J969" s="22" t="s">
        <v>1079</v>
      </c>
      <c r="K969" s="22"/>
      <c r="L969" s="22"/>
      <c r="M969" s="22"/>
      <c r="N969" s="22"/>
      <c r="O969" s="22"/>
      <c r="P969" s="22"/>
      <c r="Q969" s="23"/>
      <c r="R969" s="26"/>
      <c r="S969" s="33" t="s">
        <v>2869</v>
      </c>
      <c r="T969" s="33"/>
      <c r="U969" s="33"/>
      <c r="V969" s="33"/>
      <c r="W969" s="77">
        <v>45383</v>
      </c>
      <c r="X969" s="30">
        <v>40330</v>
      </c>
      <c r="Y969" s="30">
        <v>40334</v>
      </c>
      <c r="Z969" s="55" t="str">
        <f t="shared" ref="Z969:Z996" ca="1" si="68">DATEDIF(X969,TODAY(),"y")&amp;" Tahun "&amp;DATEDIF(X969,TODAY(),"ym")&amp;" Bulan "&amp;DATEDIF(X969,TODAY(),"md")&amp;" Hari"</f>
        <v>15 Tahun 4 Bulan 30 Hari</v>
      </c>
      <c r="AA969" s="55" t="s">
        <v>76</v>
      </c>
      <c r="AB969" s="56">
        <v>30065</v>
      </c>
      <c r="AC969" s="31" t="s">
        <v>4380</v>
      </c>
      <c r="AD969" s="57" t="str">
        <f t="shared" ca="1" si="65"/>
        <v xml:space="preserve">43 Tahun 6 Bulan </v>
      </c>
      <c r="AE969" s="33" t="s">
        <v>1069</v>
      </c>
      <c r="AF969" s="71"/>
      <c r="AG969" s="58" t="s">
        <v>4119</v>
      </c>
      <c r="AH969" s="22"/>
      <c r="AI969" s="22"/>
      <c r="AJ969" s="22"/>
      <c r="AK969" s="33" t="s">
        <v>314</v>
      </c>
      <c r="AL969" s="22"/>
      <c r="AM969" s="14"/>
    </row>
    <row r="970" spans="1:39" ht="14.45" customHeight="1" x14ac:dyDescent="0.25">
      <c r="A970" s="17">
        <v>47</v>
      </c>
      <c r="B970" s="76"/>
      <c r="C970" s="50" t="s">
        <v>4381</v>
      </c>
      <c r="D970" s="20" t="s">
        <v>4382</v>
      </c>
      <c r="E970" s="58" t="s">
        <v>40</v>
      </c>
      <c r="F970" s="22" t="s">
        <v>238</v>
      </c>
      <c r="G970" s="33" t="s">
        <v>3872</v>
      </c>
      <c r="H970" s="22" t="s">
        <v>1078</v>
      </c>
      <c r="I970" s="22" t="s">
        <v>44</v>
      </c>
      <c r="J970" s="22" t="s">
        <v>1079</v>
      </c>
      <c r="K970" s="30"/>
      <c r="L970" s="22"/>
      <c r="M970" s="22"/>
      <c r="N970" s="22"/>
      <c r="O970" s="22"/>
      <c r="P970" s="22"/>
      <c r="Q970" s="23"/>
      <c r="R970" s="26"/>
      <c r="S970" s="33" t="s">
        <v>1080</v>
      </c>
      <c r="T970" s="33"/>
      <c r="U970" s="33"/>
      <c r="V970" s="33"/>
      <c r="W970" s="30">
        <v>45139</v>
      </c>
      <c r="X970" s="30">
        <v>42370</v>
      </c>
      <c r="Y970" s="30">
        <v>42401</v>
      </c>
      <c r="Z970" s="55" t="str">
        <f t="shared" ca="1" si="68"/>
        <v>9 Tahun 9 Bulan 30 Hari</v>
      </c>
      <c r="AA970" s="66" t="s">
        <v>76</v>
      </c>
      <c r="AB970" s="56">
        <v>32815</v>
      </c>
      <c r="AC970" s="31" t="s">
        <v>4383</v>
      </c>
      <c r="AD970" s="57" t="str">
        <f t="shared" ca="1" si="65"/>
        <v xml:space="preserve">35 Tahun 11 Bulan </v>
      </c>
      <c r="AE970" s="33" t="s">
        <v>4384</v>
      </c>
      <c r="AF970" s="34"/>
      <c r="AG970" s="58" t="s">
        <v>4119</v>
      </c>
      <c r="AH970" s="58"/>
      <c r="AI970" s="58"/>
      <c r="AJ970" s="58"/>
      <c r="AK970" s="33" t="s">
        <v>314</v>
      </c>
      <c r="AL970" s="22"/>
      <c r="AM970" s="14"/>
    </row>
    <row r="971" spans="1:39" ht="14.45" customHeight="1" x14ac:dyDescent="0.25">
      <c r="A971" s="115">
        <v>48</v>
      </c>
      <c r="B971" s="76"/>
      <c r="C971" s="50" t="s">
        <v>5979</v>
      </c>
      <c r="D971" s="20" t="s">
        <v>4385</v>
      </c>
      <c r="E971" s="58" t="s">
        <v>56</v>
      </c>
      <c r="F971" s="22" t="s">
        <v>41</v>
      </c>
      <c r="G971" s="33" t="s">
        <v>137</v>
      </c>
      <c r="H971" s="22" t="s">
        <v>138</v>
      </c>
      <c r="I971" s="22" t="s">
        <v>44</v>
      </c>
      <c r="J971" s="22" t="s">
        <v>4189</v>
      </c>
      <c r="K971" s="30">
        <v>45383</v>
      </c>
      <c r="L971" s="22"/>
      <c r="M971" s="22"/>
      <c r="N971" s="22"/>
      <c r="O971" s="22"/>
      <c r="P971" s="22"/>
      <c r="Q971" s="23"/>
      <c r="R971" s="26"/>
      <c r="S971" s="23" t="s">
        <v>94</v>
      </c>
      <c r="T971" s="33"/>
      <c r="U971" s="33"/>
      <c r="V971" s="33"/>
      <c r="W971" s="30">
        <v>43101</v>
      </c>
      <c r="X971" s="24">
        <v>45659</v>
      </c>
      <c r="Y971" s="24">
        <v>45659</v>
      </c>
      <c r="Z971" s="55" t="str">
        <f t="shared" ca="1" si="68"/>
        <v>0 Tahun 9 Bulan 29 Hari</v>
      </c>
      <c r="AA971" s="66" t="s">
        <v>76</v>
      </c>
      <c r="AB971" s="56">
        <v>31786</v>
      </c>
      <c r="AC971" s="31" t="s">
        <v>4386</v>
      </c>
      <c r="AD971" s="57" t="str">
        <f t="shared" ca="1" si="65"/>
        <v xml:space="preserve">38 Tahun 9 Bulan </v>
      </c>
      <c r="AE971" s="33" t="s">
        <v>94</v>
      </c>
      <c r="AF971" s="34"/>
      <c r="AG971" s="58" t="s">
        <v>4119</v>
      </c>
      <c r="AH971" s="22"/>
      <c r="AI971" s="22"/>
      <c r="AJ971" s="22"/>
      <c r="AK971" s="33"/>
      <c r="AL971" s="36"/>
    </row>
    <row r="972" spans="1:39" ht="14.45" customHeight="1" x14ac:dyDescent="0.25">
      <c r="A972" s="17">
        <v>49</v>
      </c>
      <c r="B972" s="78"/>
      <c r="C972" s="50" t="s">
        <v>5980</v>
      </c>
      <c r="D972" s="20">
        <v>2024080765</v>
      </c>
      <c r="E972" s="21" t="s">
        <v>56</v>
      </c>
      <c r="F972" s="22" t="s">
        <v>1063</v>
      </c>
      <c r="G972" s="23" t="s">
        <v>3872</v>
      </c>
      <c r="H972" s="22" t="s">
        <v>3872</v>
      </c>
      <c r="I972" s="22"/>
      <c r="J972" s="22"/>
      <c r="K972" s="30"/>
      <c r="L972" s="53"/>
      <c r="M972" s="26"/>
      <c r="N972" s="26"/>
      <c r="O972" s="27"/>
      <c r="P972" s="53"/>
      <c r="Q972" s="26"/>
      <c r="R972" s="29"/>
      <c r="S972" s="23" t="s">
        <v>94</v>
      </c>
      <c r="T972" s="23"/>
      <c r="U972" s="23"/>
      <c r="V972" s="23"/>
      <c r="W972" s="30"/>
      <c r="X972" s="30">
        <v>45505</v>
      </c>
      <c r="Y972" s="30">
        <v>45505</v>
      </c>
      <c r="Z972" s="31" t="str">
        <f t="shared" ca="1" si="68"/>
        <v>1 Tahun 2 Bulan 30 Hari</v>
      </c>
      <c r="AA972" s="31" t="s">
        <v>4388</v>
      </c>
      <c r="AB972" s="32">
        <v>34871</v>
      </c>
      <c r="AC972" s="31" t="s">
        <v>4389</v>
      </c>
      <c r="AD972" s="22" t="str">
        <f t="shared" ca="1" si="65"/>
        <v xml:space="preserve">30 Tahun 4 Bulan </v>
      </c>
      <c r="AE972" s="33" t="s">
        <v>94</v>
      </c>
      <c r="AF972" s="34"/>
      <c r="AG972" s="58" t="s">
        <v>4119</v>
      </c>
      <c r="AH972" s="22"/>
      <c r="AI972" s="22"/>
      <c r="AJ972" s="22"/>
      <c r="AK972" s="33"/>
      <c r="AL972" s="36"/>
    </row>
    <row r="973" spans="1:39" ht="14.45" customHeight="1" x14ac:dyDescent="0.25">
      <c r="A973" s="115">
        <v>50</v>
      </c>
      <c r="B973" s="78"/>
      <c r="C973" s="50" t="s">
        <v>5981</v>
      </c>
      <c r="D973" s="20">
        <v>2024080766</v>
      </c>
      <c r="E973" s="21" t="s">
        <v>56</v>
      </c>
      <c r="F973" s="22" t="s">
        <v>1063</v>
      </c>
      <c r="G973" s="23" t="s">
        <v>3872</v>
      </c>
      <c r="H973" s="22" t="s">
        <v>3872</v>
      </c>
      <c r="I973" s="22"/>
      <c r="J973" s="22"/>
      <c r="K973" s="30"/>
      <c r="L973" s="53"/>
      <c r="M973" s="26"/>
      <c r="N973" s="26"/>
      <c r="O973" s="27"/>
      <c r="P973" s="53"/>
      <c r="Q973" s="26"/>
      <c r="R973" s="29"/>
      <c r="S973" s="23" t="s">
        <v>94</v>
      </c>
      <c r="T973" s="23"/>
      <c r="U973" s="23"/>
      <c r="V973" s="23"/>
      <c r="W973" s="30"/>
      <c r="X973" s="30">
        <v>45505</v>
      </c>
      <c r="Y973" s="30">
        <v>45505</v>
      </c>
      <c r="Z973" s="31" t="str">
        <f t="shared" ca="1" si="68"/>
        <v>1 Tahun 2 Bulan 30 Hari</v>
      </c>
      <c r="AA973" s="31" t="s">
        <v>76</v>
      </c>
      <c r="AB973" s="32">
        <v>34450</v>
      </c>
      <c r="AC973" s="31" t="s">
        <v>4390</v>
      </c>
      <c r="AD973" s="22" t="str">
        <f t="shared" ca="1" si="65"/>
        <v xml:space="preserve">31 Tahun 6 Bulan </v>
      </c>
      <c r="AE973" s="33" t="s">
        <v>94</v>
      </c>
      <c r="AF973" s="34" t="s">
        <v>1907</v>
      </c>
      <c r="AG973" s="58" t="s">
        <v>4119</v>
      </c>
      <c r="AH973" s="22"/>
      <c r="AI973" s="22"/>
      <c r="AJ973" s="22"/>
      <c r="AK973" s="33"/>
      <c r="AL973" s="36"/>
    </row>
    <row r="974" spans="1:39" ht="14.45" customHeight="1" x14ac:dyDescent="0.25">
      <c r="A974" s="17">
        <v>51</v>
      </c>
      <c r="B974" s="78"/>
      <c r="C974" s="50" t="s">
        <v>4391</v>
      </c>
      <c r="D974" s="20">
        <v>2024080767</v>
      </c>
      <c r="E974" s="21" t="s">
        <v>56</v>
      </c>
      <c r="F974" s="22" t="s">
        <v>1063</v>
      </c>
      <c r="G974" s="23" t="s">
        <v>3872</v>
      </c>
      <c r="H974" s="22" t="s">
        <v>3872</v>
      </c>
      <c r="I974" s="22"/>
      <c r="J974" s="22"/>
      <c r="K974" s="30"/>
      <c r="L974" s="53"/>
      <c r="M974" s="26"/>
      <c r="N974" s="26"/>
      <c r="O974" s="27"/>
      <c r="P974" s="53"/>
      <c r="Q974" s="26"/>
      <c r="R974" s="29"/>
      <c r="S974" s="23" t="s">
        <v>4134</v>
      </c>
      <c r="T974" s="23"/>
      <c r="U974" s="23"/>
      <c r="V974" s="23"/>
      <c r="W974" s="30"/>
      <c r="X974" s="30">
        <v>45505</v>
      </c>
      <c r="Y974" s="30">
        <v>45505</v>
      </c>
      <c r="Z974" s="31" t="str">
        <f t="shared" ca="1" si="68"/>
        <v>1 Tahun 2 Bulan 30 Hari</v>
      </c>
      <c r="AA974" s="31" t="s">
        <v>141</v>
      </c>
      <c r="AB974" s="32">
        <v>35834</v>
      </c>
      <c r="AC974" s="31" t="s">
        <v>4392</v>
      </c>
      <c r="AD974" s="22" t="str">
        <f t="shared" ca="1" si="65"/>
        <v xml:space="preserve">27 Tahun 8 Bulan </v>
      </c>
      <c r="AE974" s="33" t="s">
        <v>4137</v>
      </c>
      <c r="AF974" s="34"/>
      <c r="AG974" s="58" t="s">
        <v>4119</v>
      </c>
      <c r="AH974" s="22"/>
      <c r="AI974" s="22"/>
      <c r="AJ974" s="22"/>
      <c r="AK974" s="33"/>
      <c r="AL974" s="22"/>
      <c r="AM974" s="14"/>
    </row>
    <row r="975" spans="1:39" ht="14.45" customHeight="1" x14ac:dyDescent="0.25">
      <c r="A975" s="115">
        <v>52</v>
      </c>
      <c r="B975" s="78"/>
      <c r="C975" s="50" t="s">
        <v>6181</v>
      </c>
      <c r="D975" s="20">
        <v>2024080768</v>
      </c>
      <c r="E975" s="21" t="s">
        <v>56</v>
      </c>
      <c r="F975" s="22" t="s">
        <v>1063</v>
      </c>
      <c r="G975" s="23" t="s">
        <v>3872</v>
      </c>
      <c r="H975" s="22" t="s">
        <v>3872</v>
      </c>
      <c r="I975" s="22"/>
      <c r="J975" s="22"/>
      <c r="K975" s="30"/>
      <c r="L975" s="53"/>
      <c r="M975" s="26"/>
      <c r="N975" s="26"/>
      <c r="O975" s="27"/>
      <c r="P975" s="53"/>
      <c r="Q975" s="26"/>
      <c r="R975" s="29"/>
      <c r="S975" s="23" t="s">
        <v>4134</v>
      </c>
      <c r="T975" s="23"/>
      <c r="U975" s="23"/>
      <c r="V975" s="23"/>
      <c r="W975" s="30"/>
      <c r="X975" s="30">
        <v>45505</v>
      </c>
      <c r="Y975" s="30">
        <v>45505</v>
      </c>
      <c r="Z975" s="31" t="str">
        <f t="shared" ca="1" si="68"/>
        <v>1 Tahun 2 Bulan 30 Hari</v>
      </c>
      <c r="AA975" s="31" t="s">
        <v>76</v>
      </c>
      <c r="AB975" s="32">
        <v>34978</v>
      </c>
      <c r="AC975" s="31" t="s">
        <v>4393</v>
      </c>
      <c r="AD975" s="22" t="str">
        <f t="shared" ca="1" si="65"/>
        <v xml:space="preserve">30 Tahun 0 Bulan </v>
      </c>
      <c r="AE975" s="33" t="s">
        <v>4137</v>
      </c>
      <c r="AF975" s="34"/>
      <c r="AG975" s="58" t="s">
        <v>4119</v>
      </c>
      <c r="AH975" s="22"/>
      <c r="AI975" s="22"/>
      <c r="AJ975" s="22"/>
      <c r="AK975" s="33" t="s">
        <v>314</v>
      </c>
      <c r="AL975" s="22"/>
      <c r="AM975" s="14"/>
    </row>
    <row r="976" spans="1:39" ht="14.45" customHeight="1" x14ac:dyDescent="0.25">
      <c r="A976" s="17">
        <v>53</v>
      </c>
      <c r="B976" s="78"/>
      <c r="C976" s="50" t="s">
        <v>4394</v>
      </c>
      <c r="D976" s="20">
        <v>2024080769</v>
      </c>
      <c r="E976" s="21" t="s">
        <v>56</v>
      </c>
      <c r="F976" s="22" t="s">
        <v>1063</v>
      </c>
      <c r="G976" s="23" t="s">
        <v>3872</v>
      </c>
      <c r="H976" s="22" t="s">
        <v>3872</v>
      </c>
      <c r="I976" s="22"/>
      <c r="J976" s="22"/>
      <c r="K976" s="30"/>
      <c r="L976" s="53"/>
      <c r="M976" s="26"/>
      <c r="N976" s="26"/>
      <c r="O976" s="27"/>
      <c r="P976" s="53"/>
      <c r="Q976" s="26"/>
      <c r="R976" s="29"/>
      <c r="S976" s="23" t="s">
        <v>4134</v>
      </c>
      <c r="T976" s="23"/>
      <c r="U976" s="23"/>
      <c r="V976" s="23"/>
      <c r="W976" s="30"/>
      <c r="X976" s="30">
        <v>45505</v>
      </c>
      <c r="Y976" s="30">
        <v>45505</v>
      </c>
      <c r="Z976" s="31" t="str">
        <f t="shared" ca="1" si="68"/>
        <v>1 Tahun 2 Bulan 30 Hari</v>
      </c>
      <c r="AA976" s="31" t="s">
        <v>2143</v>
      </c>
      <c r="AB976" s="32">
        <v>34180</v>
      </c>
      <c r="AC976" s="31" t="s">
        <v>4395</v>
      </c>
      <c r="AD976" s="22" t="str">
        <f t="shared" ca="1" si="65"/>
        <v xml:space="preserve">32 Tahun 3 Bulan </v>
      </c>
      <c r="AE976" s="33" t="s">
        <v>4137</v>
      </c>
      <c r="AF976" s="34"/>
      <c r="AG976" s="58" t="s">
        <v>4119</v>
      </c>
      <c r="AH976" s="22"/>
      <c r="AI976" s="22"/>
      <c r="AJ976" s="22"/>
      <c r="AK976" s="33" t="s">
        <v>314</v>
      </c>
      <c r="AL976" s="22"/>
      <c r="AM976" s="14"/>
    </row>
    <row r="977" spans="1:39" ht="14.45" customHeight="1" x14ac:dyDescent="0.25">
      <c r="A977" s="115">
        <v>54</v>
      </c>
      <c r="B977" s="78"/>
      <c r="C977" s="50" t="s">
        <v>4396</v>
      </c>
      <c r="D977" s="20" t="s">
        <v>4397</v>
      </c>
      <c r="E977" s="21" t="s">
        <v>56</v>
      </c>
      <c r="F977" s="22" t="s">
        <v>1063</v>
      </c>
      <c r="G977" s="23" t="s">
        <v>3872</v>
      </c>
      <c r="H977" s="22" t="s">
        <v>3872</v>
      </c>
      <c r="I977" s="22"/>
      <c r="J977" s="22"/>
      <c r="K977" s="30"/>
      <c r="L977" s="53"/>
      <c r="M977" s="26"/>
      <c r="N977" s="26"/>
      <c r="O977" s="27"/>
      <c r="P977" s="53"/>
      <c r="Q977" s="26"/>
      <c r="R977" s="29"/>
      <c r="S977" s="23" t="s">
        <v>4134</v>
      </c>
      <c r="T977" s="23"/>
      <c r="U977" s="23"/>
      <c r="V977" s="23"/>
      <c r="W977" s="30"/>
      <c r="X977" s="30">
        <v>45505</v>
      </c>
      <c r="Y977" s="30">
        <v>45505</v>
      </c>
      <c r="Z977" s="31" t="str">
        <f t="shared" ca="1" si="68"/>
        <v>1 Tahun 2 Bulan 30 Hari</v>
      </c>
      <c r="AA977" s="31" t="s">
        <v>76</v>
      </c>
      <c r="AB977" s="32">
        <v>36931</v>
      </c>
      <c r="AC977" s="31" t="s">
        <v>4398</v>
      </c>
      <c r="AD977" s="22" t="str">
        <f t="shared" ca="1" si="65"/>
        <v xml:space="preserve">24 Tahun 8 Bulan </v>
      </c>
      <c r="AE977" s="33" t="s">
        <v>4137</v>
      </c>
      <c r="AF977" s="34"/>
      <c r="AG977" s="58" t="s">
        <v>4119</v>
      </c>
      <c r="AH977" s="22"/>
      <c r="AI977" s="22"/>
      <c r="AJ977" s="60"/>
      <c r="AK977" s="61" t="s">
        <v>314</v>
      </c>
      <c r="AL977" s="22"/>
      <c r="AM977" s="14"/>
    </row>
    <row r="978" spans="1:39" ht="15" x14ac:dyDescent="0.25">
      <c r="A978" s="17">
        <v>55</v>
      </c>
      <c r="B978" s="78"/>
      <c r="C978" s="50" t="s">
        <v>4399</v>
      </c>
      <c r="D978" s="20" t="s">
        <v>4400</v>
      </c>
      <c r="E978" s="21" t="s">
        <v>56</v>
      </c>
      <c r="F978" s="22" t="s">
        <v>1063</v>
      </c>
      <c r="G978" s="23" t="s">
        <v>3872</v>
      </c>
      <c r="H978" s="22" t="s">
        <v>3872</v>
      </c>
      <c r="I978" s="22"/>
      <c r="J978" s="22"/>
      <c r="K978" s="30"/>
      <c r="L978" s="53"/>
      <c r="M978" s="26"/>
      <c r="N978" s="26"/>
      <c r="O978" s="27"/>
      <c r="P978" s="53"/>
      <c r="Q978" s="26"/>
      <c r="R978" s="29"/>
      <c r="S978" s="23" t="s">
        <v>4134</v>
      </c>
      <c r="T978" s="23"/>
      <c r="U978" s="23"/>
      <c r="V978" s="23"/>
      <c r="W978" s="30"/>
      <c r="X978" s="30">
        <v>45536</v>
      </c>
      <c r="Y978" s="30">
        <v>45536</v>
      </c>
      <c r="Z978" s="31" t="str">
        <f t="shared" ca="1" si="68"/>
        <v>1 Tahun 1 Bulan 30 Hari</v>
      </c>
      <c r="AA978" s="31" t="s">
        <v>1540</v>
      </c>
      <c r="AB978" s="32">
        <v>34884</v>
      </c>
      <c r="AC978" s="31" t="s">
        <v>4401</v>
      </c>
      <c r="AD978" s="22" t="str">
        <f t="shared" ca="1" si="65"/>
        <v xml:space="preserve">30 Tahun 3 Bulan </v>
      </c>
      <c r="AE978" s="33" t="s">
        <v>4137</v>
      </c>
      <c r="AF978" s="34"/>
      <c r="AG978" s="58" t="s">
        <v>4119</v>
      </c>
      <c r="AH978" s="38"/>
      <c r="AI978" s="38"/>
      <c r="AJ978" s="38"/>
      <c r="AK978" s="38" t="s">
        <v>112</v>
      </c>
      <c r="AL978" s="38"/>
      <c r="AM978" s="47"/>
    </row>
    <row r="979" spans="1:39" ht="14.45" customHeight="1" x14ac:dyDescent="0.25">
      <c r="A979" s="115">
        <v>56</v>
      </c>
      <c r="B979" s="78"/>
      <c r="C979" s="50" t="s">
        <v>4402</v>
      </c>
      <c r="D979" s="20" t="s">
        <v>4403</v>
      </c>
      <c r="E979" s="21" t="s">
        <v>56</v>
      </c>
      <c r="F979" s="22" t="s">
        <v>1063</v>
      </c>
      <c r="G979" s="23" t="s">
        <v>3872</v>
      </c>
      <c r="H979" s="22" t="s">
        <v>3872</v>
      </c>
      <c r="I979" s="22"/>
      <c r="J979" s="22"/>
      <c r="K979" s="30"/>
      <c r="L979" s="53"/>
      <c r="M979" s="26"/>
      <c r="N979" s="26"/>
      <c r="O979" s="27"/>
      <c r="P979" s="53"/>
      <c r="Q979" s="26"/>
      <c r="R979" s="29"/>
      <c r="S979" s="23" t="s">
        <v>4134</v>
      </c>
      <c r="T979" s="23"/>
      <c r="U979" s="23"/>
      <c r="V979" s="23"/>
      <c r="W979" s="30"/>
      <c r="X979" s="30">
        <v>45505</v>
      </c>
      <c r="Y979" s="30">
        <v>45505</v>
      </c>
      <c r="Z979" s="31" t="str">
        <f t="shared" ca="1" si="68"/>
        <v>1 Tahun 2 Bulan 30 Hari</v>
      </c>
      <c r="AA979" s="31" t="s">
        <v>934</v>
      </c>
      <c r="AB979" s="32">
        <v>35511</v>
      </c>
      <c r="AC979" s="31" t="s">
        <v>4404</v>
      </c>
      <c r="AD979" s="22" t="str">
        <f t="shared" ca="1" si="65"/>
        <v xml:space="preserve">28 Tahun 7 Bulan </v>
      </c>
      <c r="AE979" s="33" t="s">
        <v>4137</v>
      </c>
      <c r="AF979" s="34"/>
      <c r="AG979" s="58" t="s">
        <v>4119</v>
      </c>
      <c r="AH979" s="58"/>
      <c r="AI979" s="58"/>
      <c r="AJ979" s="58"/>
      <c r="AK979" s="33" t="s">
        <v>4367</v>
      </c>
      <c r="AL979" s="22"/>
    </row>
    <row r="980" spans="1:39" ht="14.45" customHeight="1" x14ac:dyDescent="0.25">
      <c r="A980" s="17">
        <v>57</v>
      </c>
      <c r="B980" s="78"/>
      <c r="C980" s="50" t="s">
        <v>4405</v>
      </c>
      <c r="D980" s="20" t="s">
        <v>4406</v>
      </c>
      <c r="E980" s="21" t="s">
        <v>56</v>
      </c>
      <c r="F980" s="22" t="s">
        <v>1063</v>
      </c>
      <c r="G980" s="23" t="s">
        <v>3872</v>
      </c>
      <c r="H980" s="22" t="s">
        <v>3872</v>
      </c>
      <c r="I980" s="22"/>
      <c r="J980" s="22"/>
      <c r="K980" s="30"/>
      <c r="L980" s="53"/>
      <c r="M980" s="26"/>
      <c r="N980" s="26"/>
      <c r="O980" s="27"/>
      <c r="P980" s="53"/>
      <c r="Q980" s="26"/>
      <c r="R980" s="29"/>
      <c r="S980" s="23" t="s">
        <v>4134</v>
      </c>
      <c r="T980" s="23"/>
      <c r="U980" s="23"/>
      <c r="V980" s="23"/>
      <c r="W980" s="30"/>
      <c r="X980" s="30">
        <v>45505</v>
      </c>
      <c r="Y980" s="30">
        <v>45505</v>
      </c>
      <c r="Z980" s="31" t="str">
        <f t="shared" ca="1" si="68"/>
        <v>1 Tahun 2 Bulan 30 Hari</v>
      </c>
      <c r="AA980" s="31" t="s">
        <v>846</v>
      </c>
      <c r="AB980" s="32">
        <v>44039</v>
      </c>
      <c r="AC980" s="31" t="s">
        <v>4407</v>
      </c>
      <c r="AD980" s="22" t="str">
        <f t="shared" ca="1" si="65"/>
        <v xml:space="preserve">5 Tahun 3 Bulan </v>
      </c>
      <c r="AE980" s="33" t="s">
        <v>4137</v>
      </c>
      <c r="AF980" s="34"/>
      <c r="AG980" s="58" t="s">
        <v>4119</v>
      </c>
      <c r="AH980" s="22"/>
      <c r="AI980" s="22"/>
      <c r="AJ980" s="22"/>
      <c r="AK980" s="33"/>
      <c r="AL980" s="22"/>
    </row>
    <row r="981" spans="1:39" ht="14.45" customHeight="1" x14ac:dyDescent="0.25">
      <c r="A981" s="115">
        <v>58</v>
      </c>
      <c r="B981" s="78"/>
      <c r="C981" s="50" t="s">
        <v>4408</v>
      </c>
      <c r="D981" s="20" t="s">
        <v>4409</v>
      </c>
      <c r="E981" s="21" t="s">
        <v>56</v>
      </c>
      <c r="F981" s="22" t="s">
        <v>1063</v>
      </c>
      <c r="G981" s="23" t="s">
        <v>3872</v>
      </c>
      <c r="H981" s="22" t="s">
        <v>3872</v>
      </c>
      <c r="I981" s="22"/>
      <c r="J981" s="22"/>
      <c r="K981" s="30"/>
      <c r="L981" s="53"/>
      <c r="M981" s="26"/>
      <c r="N981" s="26"/>
      <c r="O981" s="27"/>
      <c r="P981" s="53"/>
      <c r="Q981" s="26"/>
      <c r="R981" s="29"/>
      <c r="S981" s="23" t="s">
        <v>4134</v>
      </c>
      <c r="T981" s="23"/>
      <c r="U981" s="23"/>
      <c r="V981" s="23"/>
      <c r="W981" s="30"/>
      <c r="X981" s="30">
        <v>45505</v>
      </c>
      <c r="Y981" s="30">
        <v>45505</v>
      </c>
      <c r="Z981" s="31" t="str">
        <f t="shared" ca="1" si="68"/>
        <v>1 Tahun 2 Bulan 30 Hari</v>
      </c>
      <c r="AA981" s="31" t="s">
        <v>76</v>
      </c>
      <c r="AB981" s="32">
        <v>37358</v>
      </c>
      <c r="AC981" s="31" t="s">
        <v>4410</v>
      </c>
      <c r="AD981" s="22" t="str">
        <f t="shared" ca="1" si="65"/>
        <v xml:space="preserve">23 Tahun 6 Bulan </v>
      </c>
      <c r="AE981" s="33" t="s">
        <v>4137</v>
      </c>
      <c r="AF981" s="34"/>
      <c r="AG981" s="58" t="s">
        <v>4119</v>
      </c>
      <c r="AH981" s="58"/>
      <c r="AI981" s="58"/>
      <c r="AJ981" s="58"/>
      <c r="AK981" s="33"/>
      <c r="AL981" s="22"/>
    </row>
    <row r="982" spans="1:39" ht="14.45" customHeight="1" x14ac:dyDescent="0.25">
      <c r="A982" s="17">
        <v>59</v>
      </c>
      <c r="B982" s="78"/>
      <c r="C982" s="50" t="s">
        <v>4411</v>
      </c>
      <c r="D982" s="20" t="s">
        <v>4412</v>
      </c>
      <c r="E982" s="21" t="s">
        <v>56</v>
      </c>
      <c r="F982" s="22" t="s">
        <v>1063</v>
      </c>
      <c r="G982" s="23" t="s">
        <v>3872</v>
      </c>
      <c r="H982" s="22" t="s">
        <v>3872</v>
      </c>
      <c r="I982" s="22"/>
      <c r="J982" s="22"/>
      <c r="K982" s="30"/>
      <c r="L982" s="53"/>
      <c r="M982" s="26"/>
      <c r="N982" s="26"/>
      <c r="O982" s="27"/>
      <c r="P982" s="53"/>
      <c r="Q982" s="26"/>
      <c r="R982" s="29"/>
      <c r="S982" s="23" t="s">
        <v>4134</v>
      </c>
      <c r="T982" s="23"/>
      <c r="U982" s="23"/>
      <c r="V982" s="23"/>
      <c r="W982" s="30"/>
      <c r="X982" s="30">
        <v>45505</v>
      </c>
      <c r="Y982" s="30">
        <v>45505</v>
      </c>
      <c r="Z982" s="31" t="str">
        <f t="shared" ca="1" si="68"/>
        <v>1 Tahun 2 Bulan 30 Hari</v>
      </c>
      <c r="AA982" s="31" t="s">
        <v>76</v>
      </c>
      <c r="AB982" s="32">
        <v>37391</v>
      </c>
      <c r="AC982" s="31" t="s">
        <v>4413</v>
      </c>
      <c r="AD982" s="22" t="str">
        <f t="shared" ca="1" si="65"/>
        <v xml:space="preserve">23 Tahun 5 Bulan </v>
      </c>
      <c r="AE982" s="33" t="s">
        <v>4137</v>
      </c>
      <c r="AF982" s="34"/>
      <c r="AG982" s="58" t="s">
        <v>4119</v>
      </c>
      <c r="AH982" s="58"/>
      <c r="AI982" s="58"/>
      <c r="AJ982" s="58"/>
      <c r="AK982" s="33" t="s">
        <v>485</v>
      </c>
      <c r="AL982" s="22"/>
    </row>
    <row r="983" spans="1:39" ht="14.45" customHeight="1" x14ac:dyDescent="0.25">
      <c r="A983" s="115">
        <v>60</v>
      </c>
      <c r="B983" s="78"/>
      <c r="C983" s="50" t="s">
        <v>4414</v>
      </c>
      <c r="D983" s="20" t="s">
        <v>4415</v>
      </c>
      <c r="E983" s="21" t="s">
        <v>56</v>
      </c>
      <c r="F983" s="22" t="s">
        <v>1063</v>
      </c>
      <c r="G983" s="23" t="s">
        <v>3872</v>
      </c>
      <c r="H983" s="22" t="s">
        <v>3872</v>
      </c>
      <c r="I983" s="22"/>
      <c r="J983" s="22"/>
      <c r="K983" s="30"/>
      <c r="L983" s="53"/>
      <c r="M983" s="26"/>
      <c r="N983" s="26"/>
      <c r="O983" s="27"/>
      <c r="P983" s="53"/>
      <c r="Q983" s="26"/>
      <c r="R983" s="29"/>
      <c r="S983" s="23" t="s">
        <v>4134</v>
      </c>
      <c r="T983" s="23"/>
      <c r="U983" s="23"/>
      <c r="V983" s="23"/>
      <c r="W983" s="30"/>
      <c r="X983" s="30">
        <v>45505</v>
      </c>
      <c r="Y983" s="30">
        <v>45505</v>
      </c>
      <c r="Z983" s="31" t="str">
        <f t="shared" ca="1" si="68"/>
        <v>1 Tahun 2 Bulan 30 Hari</v>
      </c>
      <c r="AA983" s="31" t="s">
        <v>76</v>
      </c>
      <c r="AB983" s="32">
        <v>34270</v>
      </c>
      <c r="AC983" s="31" t="s">
        <v>4416</v>
      </c>
      <c r="AD983" s="22" t="str">
        <f t="shared" ca="1" si="65"/>
        <v xml:space="preserve">32 Tahun 0 Bulan </v>
      </c>
      <c r="AE983" s="33" t="s">
        <v>4137</v>
      </c>
      <c r="AF983" s="34"/>
      <c r="AG983" s="58" t="s">
        <v>4119</v>
      </c>
      <c r="AH983" s="22"/>
      <c r="AI983" s="22"/>
      <c r="AJ983" s="22"/>
      <c r="AK983" s="33"/>
      <c r="AL983" s="22"/>
    </row>
    <row r="984" spans="1:39" ht="14.45" customHeight="1" x14ac:dyDescent="0.25">
      <c r="A984" s="17">
        <v>61</v>
      </c>
      <c r="B984" s="78"/>
      <c r="C984" s="50" t="s">
        <v>4417</v>
      </c>
      <c r="D984" s="20" t="s">
        <v>4418</v>
      </c>
      <c r="E984" s="21" t="s">
        <v>56</v>
      </c>
      <c r="F984" s="22" t="s">
        <v>1063</v>
      </c>
      <c r="G984" s="23" t="s">
        <v>3872</v>
      </c>
      <c r="H984" s="22" t="s">
        <v>3872</v>
      </c>
      <c r="I984" s="22"/>
      <c r="J984" s="22"/>
      <c r="K984" s="30"/>
      <c r="L984" s="53"/>
      <c r="M984" s="26"/>
      <c r="N984" s="26"/>
      <c r="O984" s="27"/>
      <c r="P984" s="53"/>
      <c r="Q984" s="26"/>
      <c r="R984" s="29"/>
      <c r="S984" s="23" t="s">
        <v>4134</v>
      </c>
      <c r="T984" s="23"/>
      <c r="U984" s="23"/>
      <c r="V984" s="23"/>
      <c r="W984" s="30"/>
      <c r="X984" s="30">
        <v>45505</v>
      </c>
      <c r="Y984" s="30">
        <v>45505</v>
      </c>
      <c r="Z984" s="31" t="str">
        <f t="shared" ca="1" si="68"/>
        <v>1 Tahun 2 Bulan 30 Hari</v>
      </c>
      <c r="AA984" s="31" t="s">
        <v>50</v>
      </c>
      <c r="AB984" s="32">
        <v>34828</v>
      </c>
      <c r="AC984" s="31" t="s">
        <v>4419</v>
      </c>
      <c r="AD984" s="22" t="str">
        <f t="shared" ca="1" si="65"/>
        <v xml:space="preserve">30 Tahun 5 Bulan </v>
      </c>
      <c r="AE984" s="33" t="s">
        <v>4137</v>
      </c>
      <c r="AF984" s="34"/>
      <c r="AG984" s="58" t="s">
        <v>4119</v>
      </c>
      <c r="AH984" s="22"/>
      <c r="AI984" s="22"/>
      <c r="AJ984" s="22"/>
      <c r="AK984" s="33" t="s">
        <v>4387</v>
      </c>
      <c r="AL984" s="22"/>
    </row>
    <row r="985" spans="1:39" ht="14.45" customHeight="1" x14ac:dyDescent="0.25">
      <c r="A985" s="115">
        <v>62</v>
      </c>
      <c r="B985" s="78"/>
      <c r="C985" s="50" t="s">
        <v>4420</v>
      </c>
      <c r="D985" s="20" t="s">
        <v>4421</v>
      </c>
      <c r="E985" s="21" t="s">
        <v>56</v>
      </c>
      <c r="F985" s="22" t="s">
        <v>1063</v>
      </c>
      <c r="G985" s="23" t="s">
        <v>3872</v>
      </c>
      <c r="H985" s="22" t="s">
        <v>3872</v>
      </c>
      <c r="I985" s="22"/>
      <c r="J985" s="22"/>
      <c r="K985" s="30"/>
      <c r="L985" s="53"/>
      <c r="M985" s="26"/>
      <c r="N985" s="26"/>
      <c r="O985" s="27"/>
      <c r="P985" s="53"/>
      <c r="Q985" s="26"/>
      <c r="R985" s="29"/>
      <c r="S985" s="23" t="s">
        <v>4134</v>
      </c>
      <c r="T985" s="23"/>
      <c r="U985" s="23"/>
      <c r="V985" s="23"/>
      <c r="W985" s="30"/>
      <c r="X985" s="30">
        <v>45505</v>
      </c>
      <c r="Y985" s="30">
        <v>45505</v>
      </c>
      <c r="Z985" s="31" t="str">
        <f t="shared" ca="1" si="68"/>
        <v>1 Tahun 2 Bulan 30 Hari</v>
      </c>
      <c r="AA985" s="31" t="s">
        <v>76</v>
      </c>
      <c r="AB985" s="32">
        <v>36427</v>
      </c>
      <c r="AC985" s="31" t="s">
        <v>4422</v>
      </c>
      <c r="AD985" s="22" t="str">
        <f t="shared" ca="1" si="65"/>
        <v xml:space="preserve">26 Tahun 1 Bulan </v>
      </c>
      <c r="AE985" s="33" t="s">
        <v>4137</v>
      </c>
      <c r="AF985" s="34"/>
      <c r="AG985" s="58" t="s">
        <v>4119</v>
      </c>
      <c r="AH985" s="22"/>
      <c r="AI985" s="22"/>
      <c r="AJ985" s="22"/>
      <c r="AK985" s="33" t="s">
        <v>1421</v>
      </c>
      <c r="AL985" s="36"/>
      <c r="AM985" s="14"/>
    </row>
    <row r="986" spans="1:39" ht="14.45" customHeight="1" x14ac:dyDescent="0.25">
      <c r="A986" s="17">
        <v>63</v>
      </c>
      <c r="B986" s="78"/>
      <c r="C986" s="50" t="s">
        <v>4423</v>
      </c>
      <c r="D986" s="20" t="s">
        <v>4424</v>
      </c>
      <c r="E986" s="21" t="s">
        <v>56</v>
      </c>
      <c r="F986" s="22" t="s">
        <v>1063</v>
      </c>
      <c r="G986" s="23" t="s">
        <v>3872</v>
      </c>
      <c r="H986" s="22" t="s">
        <v>3872</v>
      </c>
      <c r="I986" s="22"/>
      <c r="J986" s="22"/>
      <c r="K986" s="30"/>
      <c r="L986" s="53"/>
      <c r="M986" s="26"/>
      <c r="N986" s="26"/>
      <c r="O986" s="27"/>
      <c r="P986" s="53"/>
      <c r="Q986" s="26"/>
      <c r="R986" s="29"/>
      <c r="S986" s="23" t="s">
        <v>4134</v>
      </c>
      <c r="T986" s="23"/>
      <c r="U986" s="23"/>
      <c r="V986" s="23"/>
      <c r="W986" s="30"/>
      <c r="X986" s="30">
        <v>45505</v>
      </c>
      <c r="Y986" s="30">
        <v>45505</v>
      </c>
      <c r="Z986" s="31" t="str">
        <f t="shared" ca="1" si="68"/>
        <v>1 Tahun 2 Bulan 30 Hari</v>
      </c>
      <c r="AA986" s="31" t="s">
        <v>128</v>
      </c>
      <c r="AB986" s="32">
        <v>34201</v>
      </c>
      <c r="AC986" s="31" t="s">
        <v>4425</v>
      </c>
      <c r="AD986" s="22" t="str">
        <f t="shared" ca="1" si="65"/>
        <v xml:space="preserve">32 Tahun 2 Bulan </v>
      </c>
      <c r="AE986" s="33" t="s">
        <v>4137</v>
      </c>
      <c r="AF986" s="34"/>
      <c r="AG986" s="58" t="s">
        <v>4119</v>
      </c>
      <c r="AH986" s="22"/>
      <c r="AI986" s="22"/>
      <c r="AJ986" s="22"/>
      <c r="AK986" s="33" t="s">
        <v>1421</v>
      </c>
      <c r="AL986" s="36"/>
      <c r="AM986" s="14"/>
    </row>
    <row r="987" spans="1:39" ht="14.45" customHeight="1" x14ac:dyDescent="0.25">
      <c r="A987" s="115">
        <v>64</v>
      </c>
      <c r="B987" s="78"/>
      <c r="C987" s="50" t="s">
        <v>4426</v>
      </c>
      <c r="D987" s="20" t="s">
        <v>4427</v>
      </c>
      <c r="E987" s="21" t="s">
        <v>56</v>
      </c>
      <c r="F987" s="22" t="s">
        <v>1063</v>
      </c>
      <c r="G987" s="23" t="s">
        <v>3872</v>
      </c>
      <c r="H987" s="22" t="s">
        <v>3872</v>
      </c>
      <c r="I987" s="22"/>
      <c r="J987" s="22"/>
      <c r="K987" s="30"/>
      <c r="L987" s="53"/>
      <c r="M987" s="26"/>
      <c r="N987" s="26"/>
      <c r="O987" s="27"/>
      <c r="P987" s="53"/>
      <c r="Q987" s="26"/>
      <c r="R987" s="29"/>
      <c r="S987" s="23" t="s">
        <v>4134</v>
      </c>
      <c r="T987" s="23"/>
      <c r="U987" s="23"/>
      <c r="V987" s="23"/>
      <c r="W987" s="30"/>
      <c r="X987" s="30">
        <v>45536</v>
      </c>
      <c r="Y987" s="30">
        <v>45536</v>
      </c>
      <c r="Z987" s="31" t="str">
        <f t="shared" ca="1" si="68"/>
        <v>1 Tahun 1 Bulan 30 Hari</v>
      </c>
      <c r="AA987" s="31" t="s">
        <v>128</v>
      </c>
      <c r="AB987" s="32">
        <v>35617</v>
      </c>
      <c r="AC987" s="31" t="s">
        <v>4428</v>
      </c>
      <c r="AD987" s="22" t="str">
        <f t="shared" ca="1" si="65"/>
        <v xml:space="preserve">28 Tahun 3 Bulan </v>
      </c>
      <c r="AE987" s="33" t="s">
        <v>4137</v>
      </c>
      <c r="AF987" s="34"/>
      <c r="AG987" s="58" t="s">
        <v>4119</v>
      </c>
      <c r="AH987" s="22"/>
      <c r="AI987" s="22"/>
      <c r="AJ987" s="22"/>
      <c r="AK987" s="33" t="s">
        <v>1421</v>
      </c>
      <c r="AL987" s="36"/>
      <c r="AM987" s="14"/>
    </row>
    <row r="988" spans="1:39" ht="14.45" customHeight="1" x14ac:dyDescent="0.25">
      <c r="A988" s="17">
        <v>65</v>
      </c>
      <c r="B988" s="78"/>
      <c r="C988" s="50" t="s">
        <v>4429</v>
      </c>
      <c r="D988" s="20" t="s">
        <v>4430</v>
      </c>
      <c r="E988" s="21" t="s">
        <v>56</v>
      </c>
      <c r="F988" s="22" t="s">
        <v>1063</v>
      </c>
      <c r="G988" s="23" t="s">
        <v>3872</v>
      </c>
      <c r="H988" s="22" t="s">
        <v>3872</v>
      </c>
      <c r="I988" s="22"/>
      <c r="J988" s="22"/>
      <c r="K988" s="30"/>
      <c r="L988" s="53"/>
      <c r="M988" s="26"/>
      <c r="N988" s="26"/>
      <c r="O988" s="27"/>
      <c r="P988" s="53"/>
      <c r="Q988" s="26"/>
      <c r="R988" s="29"/>
      <c r="S988" s="23" t="s">
        <v>4134</v>
      </c>
      <c r="T988" s="23"/>
      <c r="U988" s="23"/>
      <c r="V988" s="23"/>
      <c r="W988" s="30"/>
      <c r="X988" s="30">
        <v>45536</v>
      </c>
      <c r="Y988" s="30">
        <v>45536</v>
      </c>
      <c r="Z988" s="31" t="str">
        <f t="shared" ca="1" si="68"/>
        <v>1 Tahun 1 Bulan 30 Hari</v>
      </c>
      <c r="AA988" s="31" t="s">
        <v>76</v>
      </c>
      <c r="AB988" s="32">
        <v>36456</v>
      </c>
      <c r="AC988" s="31" t="s">
        <v>4431</v>
      </c>
      <c r="AD988" s="22" t="str">
        <f t="shared" ca="1" si="65"/>
        <v xml:space="preserve">26 Tahun 0 Bulan </v>
      </c>
      <c r="AE988" s="33" t="s">
        <v>4137</v>
      </c>
      <c r="AF988" s="34"/>
      <c r="AG988" s="58" t="s">
        <v>4119</v>
      </c>
      <c r="AH988" s="22"/>
      <c r="AI988" s="22"/>
      <c r="AJ988" s="22"/>
      <c r="AK988" s="33" t="s">
        <v>1421</v>
      </c>
      <c r="AL988" s="36"/>
      <c r="AM988" s="14"/>
    </row>
    <row r="989" spans="1:39" ht="14.45" customHeight="1" x14ac:dyDescent="0.25">
      <c r="A989" s="115">
        <v>66</v>
      </c>
      <c r="B989" s="18"/>
      <c r="C989" s="50" t="s">
        <v>5982</v>
      </c>
      <c r="D989" s="20" t="s">
        <v>4432</v>
      </c>
      <c r="E989" s="21" t="s">
        <v>56</v>
      </c>
      <c r="F989" s="22" t="s">
        <v>192</v>
      </c>
      <c r="G989" s="23" t="s">
        <v>227</v>
      </c>
      <c r="H989" s="22" t="s">
        <v>228</v>
      </c>
      <c r="I989" s="22" t="s">
        <v>155</v>
      </c>
      <c r="J989" s="22" t="s">
        <v>306</v>
      </c>
      <c r="K989" s="24" t="s">
        <v>195</v>
      </c>
      <c r="L989" s="22"/>
      <c r="M989" s="22"/>
      <c r="N989" s="22"/>
      <c r="O989" s="22"/>
      <c r="P989" s="22"/>
      <c r="Q989" s="22"/>
      <c r="R989" s="22"/>
      <c r="S989" s="23" t="s">
        <v>94</v>
      </c>
      <c r="T989" s="23"/>
      <c r="U989" s="23"/>
      <c r="V989" s="23"/>
      <c r="W989" s="69">
        <v>45809</v>
      </c>
      <c r="X989" s="69">
        <v>45810</v>
      </c>
      <c r="Y989" s="69">
        <v>45810</v>
      </c>
      <c r="Z989" s="31" t="str">
        <f t="shared" ca="1" si="68"/>
        <v>0 Tahun 4 Bulan 29 Hari</v>
      </c>
      <c r="AA989" s="23" t="s">
        <v>203</v>
      </c>
      <c r="AB989" s="32">
        <v>36823</v>
      </c>
      <c r="AC989" s="32" t="s">
        <v>4433</v>
      </c>
      <c r="AD989" s="22" t="str">
        <f t="shared" ca="1" si="65"/>
        <v xml:space="preserve">25 Tahun 0 Bulan </v>
      </c>
      <c r="AE989" s="23" t="s">
        <v>94</v>
      </c>
      <c r="AF989" s="34"/>
      <c r="AG989" s="58" t="s">
        <v>4119</v>
      </c>
      <c r="AH989" s="22"/>
      <c r="AI989" s="22"/>
      <c r="AJ989" s="22"/>
      <c r="AK989" s="33" t="s">
        <v>1421</v>
      </c>
      <c r="AL989" s="36"/>
      <c r="AM989" s="14"/>
    </row>
    <row r="990" spans="1:39" ht="14.45" customHeight="1" x14ac:dyDescent="0.25">
      <c r="A990" s="17">
        <v>67</v>
      </c>
      <c r="B990" s="18"/>
      <c r="C990" s="50" t="s">
        <v>5983</v>
      </c>
      <c r="D990" s="20" t="s">
        <v>4434</v>
      </c>
      <c r="E990" s="21" t="s">
        <v>56</v>
      </c>
      <c r="F990" s="22" t="s">
        <v>192</v>
      </c>
      <c r="G990" s="23" t="s">
        <v>227</v>
      </c>
      <c r="H990" s="22" t="s">
        <v>228</v>
      </c>
      <c r="I990" s="22" t="s">
        <v>155</v>
      </c>
      <c r="J990" s="22" t="s">
        <v>306</v>
      </c>
      <c r="K990" s="24" t="s">
        <v>195</v>
      </c>
      <c r="L990" s="22"/>
      <c r="M990" s="22"/>
      <c r="N990" s="22"/>
      <c r="O990" s="22"/>
      <c r="P990" s="22"/>
      <c r="Q990" s="22"/>
      <c r="R990" s="22"/>
      <c r="S990" s="23" t="s">
        <v>94</v>
      </c>
      <c r="T990" s="23"/>
      <c r="U990" s="23"/>
      <c r="V990" s="23"/>
      <c r="W990" s="69">
        <v>45809</v>
      </c>
      <c r="X990" s="69">
        <v>45810</v>
      </c>
      <c r="Y990" s="69">
        <v>45810</v>
      </c>
      <c r="Z990" s="31" t="str">
        <f t="shared" ca="1" si="68"/>
        <v>0 Tahun 4 Bulan 29 Hari</v>
      </c>
      <c r="AA990" s="23" t="s">
        <v>934</v>
      </c>
      <c r="AB990" s="32">
        <v>36462</v>
      </c>
      <c r="AC990" s="32" t="s">
        <v>4435</v>
      </c>
      <c r="AD990" s="22" t="str">
        <f t="shared" ca="1" si="65"/>
        <v xml:space="preserve">26 Tahun 0 Bulan </v>
      </c>
      <c r="AE990" s="33" t="s">
        <v>94</v>
      </c>
      <c r="AF990" s="34"/>
      <c r="AG990" s="58" t="s">
        <v>4119</v>
      </c>
      <c r="AH990" s="22"/>
      <c r="AI990" s="22"/>
      <c r="AJ990" s="22"/>
      <c r="AK990" s="33" t="s">
        <v>1421</v>
      </c>
      <c r="AL990" s="36"/>
      <c r="AM990" s="14"/>
    </row>
    <row r="991" spans="1:39" ht="14.45" customHeight="1" x14ac:dyDescent="0.25">
      <c r="A991" s="115">
        <v>68</v>
      </c>
      <c r="B991" s="18"/>
      <c r="C991" s="50" t="s">
        <v>5984</v>
      </c>
      <c r="D991" s="20" t="s">
        <v>4436</v>
      </c>
      <c r="E991" s="21" t="s">
        <v>56</v>
      </c>
      <c r="F991" s="22" t="s">
        <v>192</v>
      </c>
      <c r="G991" s="23" t="s">
        <v>227</v>
      </c>
      <c r="H991" s="22" t="s">
        <v>228</v>
      </c>
      <c r="I991" s="22" t="s">
        <v>155</v>
      </c>
      <c r="J991" s="22" t="s">
        <v>306</v>
      </c>
      <c r="K991" s="24" t="s">
        <v>195</v>
      </c>
      <c r="L991" s="22"/>
      <c r="M991" s="22"/>
      <c r="N991" s="22"/>
      <c r="O991" s="22"/>
      <c r="P991" s="22"/>
      <c r="Q991" s="22"/>
      <c r="R991" s="22"/>
      <c r="S991" s="23" t="s">
        <v>94</v>
      </c>
      <c r="T991" s="23"/>
      <c r="U991" s="23"/>
      <c r="V991" s="23"/>
      <c r="W991" s="69">
        <v>45809</v>
      </c>
      <c r="X991" s="69">
        <v>45810</v>
      </c>
      <c r="Y991" s="69">
        <v>45810</v>
      </c>
      <c r="Z991" s="31" t="str">
        <f t="shared" ca="1" si="68"/>
        <v>0 Tahun 4 Bulan 29 Hari</v>
      </c>
      <c r="AA991" s="23" t="s">
        <v>751</v>
      </c>
      <c r="AB991" s="32">
        <v>36543</v>
      </c>
      <c r="AC991" s="32" t="s">
        <v>4437</v>
      </c>
      <c r="AD991" s="22" t="str">
        <f t="shared" ca="1" si="65"/>
        <v xml:space="preserve">25 Tahun 9 Bulan </v>
      </c>
      <c r="AE991" s="33" t="s">
        <v>94</v>
      </c>
      <c r="AF991" s="34"/>
      <c r="AG991" s="58" t="s">
        <v>4119</v>
      </c>
      <c r="AH991" s="22"/>
      <c r="AI991" s="22"/>
      <c r="AJ991" s="22"/>
      <c r="AK991" s="33" t="s">
        <v>1421</v>
      </c>
      <c r="AL991" s="36"/>
      <c r="AM991" s="14"/>
    </row>
    <row r="992" spans="1:39" ht="14.45" customHeight="1" x14ac:dyDescent="0.25">
      <c r="A992" s="17">
        <v>69</v>
      </c>
      <c r="B992" s="18"/>
      <c r="C992" s="50" t="s">
        <v>5985</v>
      </c>
      <c r="D992" s="20" t="s">
        <v>4438</v>
      </c>
      <c r="E992" s="21" t="s">
        <v>56</v>
      </c>
      <c r="F992" s="22" t="s">
        <v>192</v>
      </c>
      <c r="G992" s="23" t="s">
        <v>227</v>
      </c>
      <c r="H992" s="22" t="s">
        <v>228</v>
      </c>
      <c r="I992" s="22" t="s">
        <v>155</v>
      </c>
      <c r="J992" s="22" t="s">
        <v>306</v>
      </c>
      <c r="K992" s="24" t="s">
        <v>195</v>
      </c>
      <c r="L992" s="22"/>
      <c r="M992" s="22"/>
      <c r="N992" s="22"/>
      <c r="O992" s="22"/>
      <c r="P992" s="22"/>
      <c r="Q992" s="22"/>
      <c r="R992" s="22"/>
      <c r="S992" s="23" t="s">
        <v>94</v>
      </c>
      <c r="T992" s="23"/>
      <c r="U992" s="23"/>
      <c r="V992" s="23"/>
      <c r="W992" s="69">
        <v>45809</v>
      </c>
      <c r="X992" s="69">
        <v>45810</v>
      </c>
      <c r="Y992" s="69">
        <v>45810</v>
      </c>
      <c r="Z992" s="31" t="str">
        <f t="shared" ca="1" si="68"/>
        <v>0 Tahun 4 Bulan 29 Hari</v>
      </c>
      <c r="AA992" s="23" t="s">
        <v>797</v>
      </c>
      <c r="AB992" s="32">
        <v>36145</v>
      </c>
      <c r="AC992" s="32" t="s">
        <v>4439</v>
      </c>
      <c r="AD992" s="22" t="str">
        <f t="shared" ca="1" si="65"/>
        <v xml:space="preserve">26 Tahun 10 Bulan </v>
      </c>
      <c r="AE992" s="33" t="s">
        <v>94</v>
      </c>
      <c r="AF992" s="34"/>
      <c r="AG992" s="58" t="s">
        <v>4119</v>
      </c>
      <c r="AH992" s="22"/>
      <c r="AI992" s="22"/>
      <c r="AJ992" s="22"/>
      <c r="AK992" s="33" t="s">
        <v>1421</v>
      </c>
      <c r="AL992" s="36"/>
      <c r="AM992" s="14"/>
    </row>
    <row r="993" spans="1:39" ht="14.45" customHeight="1" x14ac:dyDescent="0.25">
      <c r="A993" s="115">
        <v>70</v>
      </c>
      <c r="B993" s="18"/>
      <c r="C993" s="50" t="s">
        <v>5986</v>
      </c>
      <c r="D993" s="20" t="s">
        <v>4440</v>
      </c>
      <c r="E993" s="21" t="s">
        <v>56</v>
      </c>
      <c r="F993" s="22" t="s">
        <v>192</v>
      </c>
      <c r="G993" s="23" t="s">
        <v>1547</v>
      </c>
      <c r="H993" s="22" t="s">
        <v>1548</v>
      </c>
      <c r="I993" s="22" t="s">
        <v>155</v>
      </c>
      <c r="J993" s="22" t="s">
        <v>4133</v>
      </c>
      <c r="K993" s="24" t="s">
        <v>195</v>
      </c>
      <c r="L993" s="22"/>
      <c r="M993" s="22"/>
      <c r="N993" s="22"/>
      <c r="O993" s="22"/>
      <c r="P993" s="22"/>
      <c r="Q993" s="22"/>
      <c r="R993" s="22"/>
      <c r="S993" s="23" t="s">
        <v>4134</v>
      </c>
      <c r="T993" s="23"/>
      <c r="U993" s="23"/>
      <c r="V993" s="23"/>
      <c r="W993" s="69">
        <v>45809</v>
      </c>
      <c r="X993" s="69">
        <v>45810</v>
      </c>
      <c r="Y993" s="69">
        <v>45810</v>
      </c>
      <c r="Z993" s="31" t="str">
        <f t="shared" ca="1" si="68"/>
        <v>0 Tahun 4 Bulan 29 Hari</v>
      </c>
      <c r="AA993" s="23" t="s">
        <v>203</v>
      </c>
      <c r="AB993" s="32">
        <v>36078</v>
      </c>
      <c r="AC993" s="32" t="s">
        <v>4441</v>
      </c>
      <c r="AD993" s="22" t="str">
        <f t="shared" ca="1" si="65"/>
        <v xml:space="preserve">27 Tahun 0 Bulan </v>
      </c>
      <c r="AE993" s="23" t="s">
        <v>4137</v>
      </c>
      <c r="AF993" s="34"/>
      <c r="AG993" s="58" t="s">
        <v>4119</v>
      </c>
      <c r="AH993" s="22"/>
      <c r="AI993" s="22"/>
      <c r="AJ993" s="22"/>
      <c r="AK993" s="33" t="s">
        <v>1421</v>
      </c>
      <c r="AL993" s="36"/>
      <c r="AM993" s="14"/>
    </row>
    <row r="994" spans="1:39" ht="14.45" customHeight="1" x14ac:dyDescent="0.25">
      <c r="A994" s="17">
        <v>71</v>
      </c>
      <c r="B994" s="18"/>
      <c r="C994" s="50" t="s">
        <v>5987</v>
      </c>
      <c r="D994" s="20" t="s">
        <v>4442</v>
      </c>
      <c r="E994" s="21" t="s">
        <v>56</v>
      </c>
      <c r="F994" s="22" t="s">
        <v>192</v>
      </c>
      <c r="G994" s="23" t="s">
        <v>1547</v>
      </c>
      <c r="H994" s="22" t="s">
        <v>1548</v>
      </c>
      <c r="I994" s="22" t="s">
        <v>155</v>
      </c>
      <c r="J994" s="22" t="s">
        <v>4133</v>
      </c>
      <c r="K994" s="24" t="s">
        <v>195</v>
      </c>
      <c r="L994" s="22"/>
      <c r="M994" s="22"/>
      <c r="N994" s="22"/>
      <c r="O994" s="22"/>
      <c r="P994" s="22"/>
      <c r="Q994" s="22"/>
      <c r="R994" s="22"/>
      <c r="S994" s="23" t="s">
        <v>4134</v>
      </c>
      <c r="T994" s="23"/>
      <c r="U994" s="23"/>
      <c r="V994" s="23"/>
      <c r="W994" s="69">
        <v>45809</v>
      </c>
      <c r="X994" s="69">
        <v>45810</v>
      </c>
      <c r="Y994" s="69">
        <v>45810</v>
      </c>
      <c r="Z994" s="31" t="str">
        <f t="shared" ca="1" si="68"/>
        <v>0 Tahun 4 Bulan 29 Hari</v>
      </c>
      <c r="AA994" s="23" t="s">
        <v>4443</v>
      </c>
      <c r="AB994" s="32">
        <v>36272</v>
      </c>
      <c r="AC994" s="32" t="s">
        <v>4444</v>
      </c>
      <c r="AD994" s="22" t="str">
        <f t="shared" ca="1" si="65"/>
        <v xml:space="preserve">26 Tahun 6 Bulan </v>
      </c>
      <c r="AE994" s="23" t="s">
        <v>4137</v>
      </c>
      <c r="AF994" s="34"/>
      <c r="AG994" s="58" t="s">
        <v>4119</v>
      </c>
      <c r="AH994" s="22"/>
      <c r="AI994" s="22"/>
      <c r="AJ994" s="22"/>
      <c r="AK994" s="33" t="s">
        <v>1421</v>
      </c>
      <c r="AL994" s="36"/>
      <c r="AM994" s="14"/>
    </row>
    <row r="995" spans="1:39" ht="14.45" customHeight="1" x14ac:dyDescent="0.25">
      <c r="A995" s="115">
        <v>72</v>
      </c>
      <c r="B995" s="18"/>
      <c r="C995" s="50" t="s">
        <v>5988</v>
      </c>
      <c r="D995" s="20" t="s">
        <v>4445</v>
      </c>
      <c r="E995" s="21" t="s">
        <v>56</v>
      </c>
      <c r="F995" s="22" t="s">
        <v>192</v>
      </c>
      <c r="G995" s="23" t="s">
        <v>1547</v>
      </c>
      <c r="H995" s="22" t="s">
        <v>1548</v>
      </c>
      <c r="I995" s="22" t="s">
        <v>155</v>
      </c>
      <c r="J995" s="22" t="s">
        <v>4133</v>
      </c>
      <c r="K995" s="24" t="s">
        <v>195</v>
      </c>
      <c r="L995" s="22"/>
      <c r="M995" s="22"/>
      <c r="N995" s="22"/>
      <c r="O995" s="22"/>
      <c r="P995" s="22"/>
      <c r="Q995" s="22"/>
      <c r="R995" s="22"/>
      <c r="S995" s="23" t="s">
        <v>4134</v>
      </c>
      <c r="T995" s="23"/>
      <c r="U995" s="23"/>
      <c r="V995" s="23"/>
      <c r="W995" s="69">
        <v>45809</v>
      </c>
      <c r="X995" s="69">
        <v>45810</v>
      </c>
      <c r="Y995" s="69">
        <v>45810</v>
      </c>
      <c r="Z995" s="31" t="str">
        <f t="shared" ca="1" si="68"/>
        <v>0 Tahun 4 Bulan 29 Hari</v>
      </c>
      <c r="AA995" s="23" t="s">
        <v>2179</v>
      </c>
      <c r="AB995" s="32">
        <v>36906</v>
      </c>
      <c r="AC995" s="32" t="s">
        <v>4446</v>
      </c>
      <c r="AD995" s="22" t="str">
        <f t="shared" ca="1" si="65"/>
        <v xml:space="preserve">24 Tahun 9 Bulan </v>
      </c>
      <c r="AE995" s="23" t="s">
        <v>4137</v>
      </c>
      <c r="AF995" s="34"/>
      <c r="AG995" s="58" t="s">
        <v>4119</v>
      </c>
      <c r="AH995" s="22"/>
      <c r="AI995" s="22"/>
      <c r="AJ995" s="22"/>
      <c r="AK995" s="33" t="s">
        <v>1421</v>
      </c>
      <c r="AL995" s="36"/>
      <c r="AM995" s="14"/>
    </row>
    <row r="996" spans="1:39" ht="14.45" customHeight="1" x14ac:dyDescent="0.25">
      <c r="A996" s="17">
        <v>73</v>
      </c>
      <c r="B996" s="18"/>
      <c r="C996" s="50" t="s">
        <v>5989</v>
      </c>
      <c r="D996" s="20" t="s">
        <v>4447</v>
      </c>
      <c r="E996" s="21" t="s">
        <v>56</v>
      </c>
      <c r="F996" s="22" t="s">
        <v>192</v>
      </c>
      <c r="G996" s="23" t="s">
        <v>1547</v>
      </c>
      <c r="H996" s="22" t="s">
        <v>1548</v>
      </c>
      <c r="I996" s="22" t="s">
        <v>155</v>
      </c>
      <c r="J996" s="22" t="s">
        <v>4133</v>
      </c>
      <c r="K996" s="24" t="s">
        <v>195</v>
      </c>
      <c r="L996" s="22"/>
      <c r="M996" s="22"/>
      <c r="N996" s="22"/>
      <c r="O996" s="22"/>
      <c r="P996" s="22"/>
      <c r="Q996" s="22"/>
      <c r="R996" s="22"/>
      <c r="S996" s="23" t="s">
        <v>4134</v>
      </c>
      <c r="T996" s="23"/>
      <c r="U996" s="23"/>
      <c r="V996" s="23"/>
      <c r="W996" s="69">
        <v>45809</v>
      </c>
      <c r="X996" s="69">
        <v>45810</v>
      </c>
      <c r="Y996" s="69">
        <v>45810</v>
      </c>
      <c r="Z996" s="31" t="str">
        <f t="shared" ca="1" si="68"/>
        <v>0 Tahun 4 Bulan 29 Hari</v>
      </c>
      <c r="AA996" s="23" t="s">
        <v>203</v>
      </c>
      <c r="AB996" s="32">
        <v>36960</v>
      </c>
      <c r="AC996" s="32" t="s">
        <v>4448</v>
      </c>
      <c r="AD996" s="22" t="str">
        <f t="shared" ca="1" si="65"/>
        <v xml:space="preserve">24 Tahun 7 Bulan </v>
      </c>
      <c r="AE996" s="23" t="s">
        <v>4137</v>
      </c>
      <c r="AF996" s="34"/>
      <c r="AG996" s="58" t="s">
        <v>4119</v>
      </c>
      <c r="AH996" s="22"/>
      <c r="AI996" s="22"/>
      <c r="AJ996" s="22"/>
      <c r="AK996" s="33" t="s">
        <v>1421</v>
      </c>
      <c r="AL996" s="36"/>
      <c r="AM996" s="14"/>
    </row>
    <row r="997" spans="1:39" ht="14.45" customHeight="1" x14ac:dyDescent="0.25">
      <c r="A997" s="115">
        <v>74</v>
      </c>
      <c r="B997" s="18"/>
      <c r="C997" s="50" t="s">
        <v>4449</v>
      </c>
      <c r="D997" s="20" t="s">
        <v>4450</v>
      </c>
      <c r="E997" s="58" t="s">
        <v>56</v>
      </c>
      <c r="F997" s="22" t="s">
        <v>41</v>
      </c>
      <c r="G997" s="23" t="s">
        <v>193</v>
      </c>
      <c r="H997" s="22" t="s">
        <v>194</v>
      </c>
      <c r="I997" s="22" t="s">
        <v>44</v>
      </c>
      <c r="J997" s="22" t="s">
        <v>4451</v>
      </c>
      <c r="K997" s="24">
        <v>45931</v>
      </c>
      <c r="L997" s="25" t="s">
        <v>4452</v>
      </c>
      <c r="M997" s="29">
        <v>41781</v>
      </c>
      <c r="N997" s="26">
        <v>43529</v>
      </c>
      <c r="O997" s="27" t="s">
        <v>4453</v>
      </c>
      <c r="P997" s="25" t="s">
        <v>4454</v>
      </c>
      <c r="Q997" s="29">
        <v>42455</v>
      </c>
      <c r="R997" s="26">
        <v>43529</v>
      </c>
      <c r="S997" s="23" t="s">
        <v>4455</v>
      </c>
      <c r="T997" s="23"/>
      <c r="U997" s="23"/>
      <c r="V997" s="23"/>
      <c r="W997" s="30">
        <v>41671</v>
      </c>
      <c r="X997" s="30"/>
      <c r="Y997" s="30"/>
      <c r="Z997" s="55" t="str">
        <f ca="1">DATEDIF(W997,TODAY(),"y")&amp;" Tahun "&amp;DATEDIF(W997,TODAY(),"ym")&amp;" Bulan "&amp;DATEDIF(W997,TODAY(),"md")&amp;" Hari"</f>
        <v>11 Tahun 8 Bulan 30 Hari</v>
      </c>
      <c r="AA997" s="55" t="s">
        <v>437</v>
      </c>
      <c r="AB997" s="56">
        <v>34033</v>
      </c>
      <c r="AC997" s="56" t="s">
        <v>4456</v>
      </c>
      <c r="AD997" s="57" t="str">
        <f t="shared" ref="AD997:AD1003" ca="1" si="69">DATEDIF(AB997,TODAY(),"y")&amp;" Tahun "&amp;DATEDIF(AB997,TODAY(),"ym")&amp;" Bulan "</f>
        <v xml:space="preserve">32 Tahun 7 Bulan </v>
      </c>
      <c r="AE997" s="33" t="s">
        <v>4118</v>
      </c>
      <c r="AF997" s="79"/>
      <c r="AG997" s="22" t="s">
        <v>4457</v>
      </c>
      <c r="AH997" s="22"/>
      <c r="AI997" s="22"/>
      <c r="AJ997" s="22"/>
      <c r="AK997" s="33" t="s">
        <v>1421</v>
      </c>
      <c r="AL997" s="36"/>
      <c r="AM997" s="14"/>
    </row>
    <row r="998" spans="1:39" ht="14.45" customHeight="1" x14ac:dyDescent="0.25">
      <c r="A998" s="17">
        <v>75</v>
      </c>
      <c r="B998" s="18"/>
      <c r="C998" s="50" t="s">
        <v>5990</v>
      </c>
      <c r="D998" s="20" t="s">
        <v>4458</v>
      </c>
      <c r="E998" s="21" t="s">
        <v>56</v>
      </c>
      <c r="F998" s="22" t="s">
        <v>41</v>
      </c>
      <c r="G998" s="23" t="s">
        <v>115</v>
      </c>
      <c r="H998" s="22" t="s">
        <v>116</v>
      </c>
      <c r="I998" s="22" t="s">
        <v>44</v>
      </c>
      <c r="J998" s="22" t="s">
        <v>4459</v>
      </c>
      <c r="K998" s="24">
        <v>45505</v>
      </c>
      <c r="L998" s="53" t="s">
        <v>4460</v>
      </c>
      <c r="M998" s="26">
        <v>43042</v>
      </c>
      <c r="N998" s="26">
        <v>44738</v>
      </c>
      <c r="O998" s="40" t="s">
        <v>4461</v>
      </c>
      <c r="P998" s="53" t="s">
        <v>4462</v>
      </c>
      <c r="Q998" s="26">
        <v>43166</v>
      </c>
      <c r="R998" s="26">
        <v>44738</v>
      </c>
      <c r="S998" s="23" t="s">
        <v>4463</v>
      </c>
      <c r="T998" s="23"/>
      <c r="U998" s="23"/>
      <c r="V998" s="23"/>
      <c r="W998" s="30">
        <v>33298</v>
      </c>
      <c r="X998" s="30">
        <v>33298</v>
      </c>
      <c r="Y998" s="30">
        <v>41791</v>
      </c>
      <c r="Z998" s="31" t="str">
        <f ca="1">DATEDIF(W998,TODAY(),"y")&amp;" Tahun "&amp;DATEDIF(W998,TODAY(),"ym")&amp;" Bulan "&amp;DATEDIF(W998,TODAY(),"md")&amp;" Hari"</f>
        <v>34 Tahun 7 Bulan 30 Hari</v>
      </c>
      <c r="AA998" s="31" t="s">
        <v>76</v>
      </c>
      <c r="AB998" s="32">
        <v>24649</v>
      </c>
      <c r="AC998" s="31" t="s">
        <v>4464</v>
      </c>
      <c r="AD998" s="22" t="str">
        <f t="shared" ca="1" si="69"/>
        <v xml:space="preserve">58 Tahun 4 Bulan </v>
      </c>
      <c r="AE998" s="33" t="s">
        <v>4465</v>
      </c>
      <c r="AF998" s="34" t="s">
        <v>4466</v>
      </c>
      <c r="AG998" s="22" t="s">
        <v>4457</v>
      </c>
      <c r="AH998" s="22"/>
      <c r="AI998" s="22"/>
      <c r="AJ998" s="22"/>
      <c r="AK998" s="33" t="s">
        <v>1421</v>
      </c>
      <c r="AL998" s="36"/>
      <c r="AM998" s="14"/>
    </row>
    <row r="999" spans="1:39" ht="14.45" customHeight="1" x14ac:dyDescent="0.25">
      <c r="A999" s="115">
        <v>76</v>
      </c>
      <c r="B999" s="18"/>
      <c r="C999" s="50" t="s">
        <v>4467</v>
      </c>
      <c r="D999" s="20" t="s">
        <v>4468</v>
      </c>
      <c r="E999" s="21" t="s">
        <v>56</v>
      </c>
      <c r="F999" s="22" t="s">
        <v>41</v>
      </c>
      <c r="G999" s="23" t="s">
        <v>137</v>
      </c>
      <c r="H999" s="22" t="s">
        <v>138</v>
      </c>
      <c r="I999" s="22" t="s">
        <v>44</v>
      </c>
      <c r="J999" s="22" t="s">
        <v>4469</v>
      </c>
      <c r="K999" s="24">
        <v>44287</v>
      </c>
      <c r="L999" s="53" t="s">
        <v>4470</v>
      </c>
      <c r="M999" s="26">
        <v>42943</v>
      </c>
      <c r="N999" s="26">
        <v>44797</v>
      </c>
      <c r="O999" s="40" t="s">
        <v>4471</v>
      </c>
      <c r="P999" s="53" t="s">
        <v>4472</v>
      </c>
      <c r="Q999" s="26">
        <v>43166</v>
      </c>
      <c r="R999" s="26">
        <v>44797</v>
      </c>
      <c r="S999" s="23" t="s">
        <v>4455</v>
      </c>
      <c r="T999" s="23"/>
      <c r="U999" s="23"/>
      <c r="V999" s="23"/>
      <c r="W999" s="30">
        <v>38353</v>
      </c>
      <c r="X999" s="30">
        <v>38353</v>
      </c>
      <c r="Y999" s="30">
        <v>38353</v>
      </c>
      <c r="Z999" s="31" t="str">
        <f ca="1">DATEDIF(W999,TODAY(),"y")&amp;" Tahun "&amp;DATEDIF(W999,TODAY(),"ym")&amp;" Bulan "&amp;DATEDIF(W999,TODAY(),"md")&amp;" Hari"</f>
        <v>20 Tahun 9 Bulan 30 Hari</v>
      </c>
      <c r="AA999" s="31" t="s">
        <v>76</v>
      </c>
      <c r="AB999" s="32">
        <v>29091</v>
      </c>
      <c r="AC999" s="31" t="s">
        <v>4473</v>
      </c>
      <c r="AD999" s="22" t="str">
        <f t="shared" ca="1" si="69"/>
        <v xml:space="preserve">46 Tahun 2 Bulan </v>
      </c>
      <c r="AE999" s="33" t="s">
        <v>4465</v>
      </c>
      <c r="AF999" s="34"/>
      <c r="AG999" s="22" t="s">
        <v>4457</v>
      </c>
      <c r="AH999" s="22"/>
      <c r="AI999" s="22"/>
      <c r="AJ999" s="22"/>
      <c r="AK999" s="33" t="s">
        <v>1421</v>
      </c>
      <c r="AL999" s="36"/>
      <c r="AM999" s="14"/>
    </row>
    <row r="1000" spans="1:39" ht="14.45" customHeight="1" x14ac:dyDescent="0.25">
      <c r="A1000" s="17">
        <v>77</v>
      </c>
      <c r="B1000" s="18"/>
      <c r="C1000" s="50" t="s">
        <v>5991</v>
      </c>
      <c r="D1000" s="20" t="s">
        <v>5992</v>
      </c>
      <c r="E1000" s="21" t="s">
        <v>56</v>
      </c>
      <c r="F1000" s="22" t="s">
        <v>238</v>
      </c>
      <c r="G1000" s="23" t="s">
        <v>3872</v>
      </c>
      <c r="H1000" s="22" t="s">
        <v>1078</v>
      </c>
      <c r="I1000" s="22" t="s">
        <v>44</v>
      </c>
      <c r="J1000" s="22" t="s">
        <v>1079</v>
      </c>
      <c r="K1000" s="24"/>
      <c r="L1000" s="22"/>
      <c r="M1000" s="23"/>
      <c r="N1000" s="26"/>
      <c r="O1000" s="22"/>
      <c r="P1000" s="22"/>
      <c r="Q1000" s="23"/>
      <c r="R1000" s="26"/>
      <c r="S1000" s="23" t="s">
        <v>1355</v>
      </c>
      <c r="T1000" s="23"/>
      <c r="U1000" s="23"/>
      <c r="V1000" s="23"/>
      <c r="W1000" s="30">
        <v>45931</v>
      </c>
      <c r="X1000" s="30">
        <v>45261</v>
      </c>
      <c r="Y1000" s="22">
        <v>45261</v>
      </c>
      <c r="Z1000" s="31" t="str">
        <f ca="1">DATEDIF(X1000,TODAY(),"y")&amp;" Tahun "&amp;DATEDIF(X1000,TODAY(),"ym")&amp;" Bulan "&amp;DATEDIF(X1000,TODAY(),"md")&amp;" Hari"</f>
        <v>1 Tahun 10 Bulan 30 Hari</v>
      </c>
      <c r="AA1000" s="31" t="s">
        <v>76</v>
      </c>
      <c r="AB1000" s="32">
        <v>30268</v>
      </c>
      <c r="AC1000" s="31" t="s">
        <v>5993</v>
      </c>
      <c r="AD1000" s="22" t="str">
        <f t="shared" ca="1" si="69"/>
        <v xml:space="preserve">42 Tahun 11 Bulan </v>
      </c>
      <c r="AE1000" s="33" t="s">
        <v>1069</v>
      </c>
      <c r="AF1000" s="34"/>
      <c r="AG1000" s="22" t="s">
        <v>4457</v>
      </c>
      <c r="AH1000" s="22"/>
      <c r="AI1000" s="22"/>
      <c r="AJ1000" s="22"/>
      <c r="AK1000" s="33" t="s">
        <v>1421</v>
      </c>
      <c r="AL1000" s="36"/>
      <c r="AM1000" s="14"/>
    </row>
    <row r="1001" spans="1:39" ht="14.45" customHeight="1" x14ac:dyDescent="0.25">
      <c r="A1001" s="115">
        <v>78</v>
      </c>
      <c r="B1001" s="18"/>
      <c r="C1001" s="50" t="s">
        <v>4474</v>
      </c>
      <c r="D1001" s="20" t="s">
        <v>5994</v>
      </c>
      <c r="E1001" s="21" t="s">
        <v>56</v>
      </c>
      <c r="F1001" s="22" t="s">
        <v>5691</v>
      </c>
      <c r="G1001" s="23" t="s">
        <v>3872</v>
      </c>
      <c r="H1001" s="22" t="s">
        <v>5692</v>
      </c>
      <c r="I1001" s="22" t="s">
        <v>155</v>
      </c>
      <c r="J1001" s="22" t="s">
        <v>5693</v>
      </c>
      <c r="K1001" s="24"/>
      <c r="L1001" s="22"/>
      <c r="M1001" s="23"/>
      <c r="N1001" s="26"/>
      <c r="O1001" s="22"/>
      <c r="P1001" s="22"/>
      <c r="Q1001" s="23"/>
      <c r="R1001" s="26"/>
      <c r="S1001" s="23" t="s">
        <v>2575</v>
      </c>
      <c r="T1001" s="23"/>
      <c r="U1001" s="23"/>
      <c r="V1001" s="23"/>
      <c r="W1001" s="30">
        <v>45931</v>
      </c>
      <c r="X1001" s="30">
        <v>45261</v>
      </c>
      <c r="Y1001" s="22">
        <v>45261</v>
      </c>
      <c r="Z1001" s="31" t="str">
        <f ca="1">DATEDIF(X1001,TODAY(),"y")&amp;" Tahun "&amp;DATEDIF(X1001,TODAY(),"ym")&amp;" Bulan "&amp;DATEDIF(X1001,TODAY(),"md")&amp;" Hari"</f>
        <v>1 Tahun 10 Bulan 30 Hari</v>
      </c>
      <c r="AA1001" s="31" t="s">
        <v>76</v>
      </c>
      <c r="AB1001" s="32">
        <v>32196</v>
      </c>
      <c r="AC1001" s="31" t="s">
        <v>5995</v>
      </c>
      <c r="AD1001" s="22" t="str">
        <f t="shared" ca="1" si="69"/>
        <v xml:space="preserve">37 Tahun 8 Bulan </v>
      </c>
      <c r="AE1001" s="33" t="s">
        <v>1341</v>
      </c>
      <c r="AF1001" s="34"/>
      <c r="AG1001" s="22" t="s">
        <v>4457</v>
      </c>
      <c r="AH1001" s="22"/>
      <c r="AI1001" s="22"/>
      <c r="AJ1001" s="22"/>
      <c r="AK1001" s="33" t="s">
        <v>1421</v>
      </c>
      <c r="AL1001" s="36"/>
      <c r="AM1001" s="14"/>
    </row>
    <row r="1002" spans="1:39" ht="14.45" customHeight="1" x14ac:dyDescent="0.25">
      <c r="A1002" s="17">
        <v>79</v>
      </c>
      <c r="B1002" s="18"/>
      <c r="C1002" s="50" t="s">
        <v>4475</v>
      </c>
      <c r="D1002" s="20">
        <v>2023120758</v>
      </c>
      <c r="E1002" s="21" t="s">
        <v>40</v>
      </c>
      <c r="F1002" s="22" t="s">
        <v>1063</v>
      </c>
      <c r="G1002" s="23" t="s">
        <v>3872</v>
      </c>
      <c r="H1002" s="22" t="s">
        <v>3872</v>
      </c>
      <c r="I1002" s="22"/>
      <c r="J1002" s="22"/>
      <c r="K1002" s="24"/>
      <c r="L1002" s="22"/>
      <c r="M1002" s="23"/>
      <c r="N1002" s="26"/>
      <c r="O1002" s="22"/>
      <c r="P1002" s="22"/>
      <c r="Q1002" s="23"/>
      <c r="R1002" s="26"/>
      <c r="S1002" s="23" t="s">
        <v>2575</v>
      </c>
      <c r="T1002" s="23"/>
      <c r="U1002" s="23"/>
      <c r="V1002" s="23"/>
      <c r="W1002" s="30"/>
      <c r="X1002" s="30">
        <v>45261</v>
      </c>
      <c r="Y1002" s="22">
        <v>45261</v>
      </c>
      <c r="Z1002" s="31" t="str">
        <f ca="1">DATEDIF(X1002,TODAY(),"y")&amp;" Tahun "&amp;DATEDIF(X1002,TODAY(),"ym")&amp;" Bulan "&amp;DATEDIF(X1002,TODAY(),"md")&amp;" Hari"</f>
        <v>1 Tahun 10 Bulan 30 Hari</v>
      </c>
      <c r="AA1002" s="31" t="s">
        <v>76</v>
      </c>
      <c r="AB1002" s="32">
        <v>30908</v>
      </c>
      <c r="AC1002" s="31" t="s">
        <v>4476</v>
      </c>
      <c r="AD1002" s="22" t="str">
        <f t="shared" ca="1" si="69"/>
        <v xml:space="preserve">41 Tahun 2 Bulan </v>
      </c>
      <c r="AE1002" s="33" t="s">
        <v>1341</v>
      </c>
      <c r="AF1002" s="34"/>
      <c r="AG1002" s="22" t="s">
        <v>4457</v>
      </c>
      <c r="AH1002" s="22"/>
      <c r="AI1002" s="22"/>
      <c r="AJ1002" s="22"/>
      <c r="AK1002" s="33" t="s">
        <v>200</v>
      </c>
      <c r="AL1002" s="36"/>
    </row>
    <row r="1003" spans="1:39" ht="14.45" customHeight="1" x14ac:dyDescent="0.25">
      <c r="A1003" s="115">
        <v>80</v>
      </c>
      <c r="B1003" s="18"/>
      <c r="C1003" s="50" t="s">
        <v>4477</v>
      </c>
      <c r="D1003" s="20" t="s">
        <v>5996</v>
      </c>
      <c r="E1003" s="21" t="s">
        <v>56</v>
      </c>
      <c r="F1003" s="22" t="s">
        <v>5691</v>
      </c>
      <c r="G1003" s="23" t="s">
        <v>3872</v>
      </c>
      <c r="H1003" s="22" t="s">
        <v>5692</v>
      </c>
      <c r="I1003" s="22" t="s">
        <v>155</v>
      </c>
      <c r="J1003" s="22" t="s">
        <v>5693</v>
      </c>
      <c r="K1003" s="24"/>
      <c r="L1003" s="22"/>
      <c r="M1003" s="23"/>
      <c r="N1003" s="26"/>
      <c r="O1003" s="22"/>
      <c r="P1003" s="22"/>
      <c r="Q1003" s="23"/>
      <c r="R1003" s="26"/>
      <c r="S1003" s="23" t="s">
        <v>2575</v>
      </c>
      <c r="T1003" s="23"/>
      <c r="U1003" s="23"/>
      <c r="V1003" s="23"/>
      <c r="W1003" s="30">
        <v>45931</v>
      </c>
      <c r="X1003" s="30">
        <v>45261</v>
      </c>
      <c r="Y1003" s="22">
        <v>45261</v>
      </c>
      <c r="Z1003" s="31" t="str">
        <f ca="1">DATEDIF(X1003,TODAY(),"y")&amp;" Tahun "&amp;DATEDIF(X1003,TODAY(),"ym")&amp;" Bulan "&amp;DATEDIF(X1003,TODAY(),"md")&amp;" Hari"</f>
        <v>1 Tahun 10 Bulan 30 Hari</v>
      </c>
      <c r="AA1003" s="31" t="s">
        <v>76</v>
      </c>
      <c r="AB1003" s="32">
        <v>33233</v>
      </c>
      <c r="AC1003" s="31" t="s">
        <v>5997</v>
      </c>
      <c r="AD1003" s="22" t="str">
        <f t="shared" ca="1" si="69"/>
        <v xml:space="preserve">34 Tahun 10 Bulan </v>
      </c>
      <c r="AE1003" s="33" t="s">
        <v>1341</v>
      </c>
      <c r="AF1003" s="34"/>
      <c r="AG1003" s="22" t="s">
        <v>4457</v>
      </c>
      <c r="AH1003" s="22"/>
      <c r="AI1003" s="22"/>
      <c r="AJ1003" s="22"/>
      <c r="AK1003" s="33" t="s">
        <v>200</v>
      </c>
      <c r="AL1003" s="36"/>
    </row>
    <row r="1004" spans="1:39" ht="14.45" customHeight="1" x14ac:dyDescent="0.25">
      <c r="A1004" s="17">
        <v>81</v>
      </c>
      <c r="B1004" s="18"/>
      <c r="C1004" s="50" t="s">
        <v>4478</v>
      </c>
      <c r="D1004" s="20" t="s">
        <v>4479</v>
      </c>
      <c r="E1004" s="21" t="s">
        <v>56</v>
      </c>
      <c r="F1004" s="22" t="s">
        <v>41</v>
      </c>
      <c r="G1004" s="23" t="s">
        <v>115</v>
      </c>
      <c r="H1004" s="22" t="s">
        <v>116</v>
      </c>
      <c r="I1004" s="22" t="s">
        <v>44</v>
      </c>
      <c r="J1004" s="22" t="s">
        <v>4459</v>
      </c>
      <c r="K1004" s="24">
        <v>45505</v>
      </c>
      <c r="L1004" s="53" t="s">
        <v>4480</v>
      </c>
      <c r="M1004" s="26">
        <v>42943</v>
      </c>
      <c r="N1004" s="26">
        <v>44854</v>
      </c>
      <c r="O1004" s="40" t="s">
        <v>4481</v>
      </c>
      <c r="P1004" s="53" t="s">
        <v>4482</v>
      </c>
      <c r="Q1004" s="26">
        <v>43166</v>
      </c>
      <c r="R1004" s="26">
        <v>44854</v>
      </c>
      <c r="S1004" s="23" t="s">
        <v>4483</v>
      </c>
      <c r="T1004" s="23"/>
      <c r="U1004" s="23"/>
      <c r="V1004" s="23"/>
      <c r="W1004" s="30">
        <v>32933</v>
      </c>
      <c r="X1004" s="30">
        <v>32933</v>
      </c>
      <c r="Y1004" s="30">
        <v>32933</v>
      </c>
      <c r="Z1004" s="31" t="str">
        <f ca="1">DATEDIF(W1004,TODAY(),"y")&amp;" Tahun "&amp;DATEDIF(W1004,TODAY(),"ym")&amp;" Bulan "&amp;DATEDIF(W1004,TODAY(),"md")&amp;" Hari"</f>
        <v>35 Tahun 7 Bulan 30 Hari</v>
      </c>
      <c r="AA1004" s="31" t="s">
        <v>141</v>
      </c>
      <c r="AB1004" s="32">
        <v>24400</v>
      </c>
      <c r="AC1004" s="31" t="s">
        <v>4484</v>
      </c>
      <c r="AD1004" s="22" t="str">
        <f t="shared" ref="AD1004:AD1019" ca="1" si="70">DATEDIF(AB1004,TODAY(),"y")&amp;" Tahun "&amp;DATEDIF(AB1004,TODAY(),"ym")&amp;" Bulan "</f>
        <v xml:space="preserve">59 Tahun 0 Bulan </v>
      </c>
      <c r="AE1004" s="33" t="s">
        <v>4465</v>
      </c>
      <c r="AF1004" s="34"/>
      <c r="AG1004" s="22" t="s">
        <v>4457</v>
      </c>
      <c r="AH1004" s="22"/>
      <c r="AI1004" s="22"/>
      <c r="AJ1004" s="22"/>
      <c r="AK1004" s="33" t="s">
        <v>200</v>
      </c>
      <c r="AL1004" s="36"/>
    </row>
    <row r="1005" spans="1:39" ht="14.45" customHeight="1" x14ac:dyDescent="0.25">
      <c r="A1005" s="115">
        <v>82</v>
      </c>
      <c r="B1005" s="18"/>
      <c r="C1005" s="50" t="s">
        <v>4485</v>
      </c>
      <c r="D1005" s="20" t="s">
        <v>4486</v>
      </c>
      <c r="E1005" s="21" t="s">
        <v>56</v>
      </c>
      <c r="F1005" s="22" t="s">
        <v>41</v>
      </c>
      <c r="G1005" s="23" t="s">
        <v>137</v>
      </c>
      <c r="H1005" s="22" t="s">
        <v>138</v>
      </c>
      <c r="I1005" s="22" t="s">
        <v>44</v>
      </c>
      <c r="J1005" s="22" t="s">
        <v>4469</v>
      </c>
      <c r="K1005" s="24">
        <v>43009</v>
      </c>
      <c r="L1005" s="53" t="s">
        <v>4487</v>
      </c>
      <c r="M1005" s="26">
        <v>42943</v>
      </c>
      <c r="N1005" s="26">
        <v>44767</v>
      </c>
      <c r="O1005" s="27" t="s">
        <v>4471</v>
      </c>
      <c r="P1005" s="53" t="s">
        <v>4488</v>
      </c>
      <c r="Q1005" s="26">
        <v>43166</v>
      </c>
      <c r="R1005" s="26">
        <v>44767</v>
      </c>
      <c r="S1005" s="23" t="s">
        <v>4455</v>
      </c>
      <c r="T1005" s="23"/>
      <c r="U1005" s="23"/>
      <c r="V1005" s="23"/>
      <c r="W1005" s="30">
        <v>34029</v>
      </c>
      <c r="X1005" s="30">
        <v>34029</v>
      </c>
      <c r="Y1005" s="30">
        <v>34029</v>
      </c>
      <c r="Z1005" s="31" t="str">
        <f ca="1">DATEDIF(W1005,TODAY(),"y")&amp;" Tahun "&amp;DATEDIF(W1005,TODAY(),"ym")&amp;" Bulan "&amp;DATEDIF(W1005,TODAY(),"md")&amp;" Hari"</f>
        <v>32 Tahun 7 Bulan 30 Hari</v>
      </c>
      <c r="AA1005" s="31" t="s">
        <v>76</v>
      </c>
      <c r="AB1005" s="32">
        <v>26139</v>
      </c>
      <c r="AC1005" s="31" t="s">
        <v>4489</v>
      </c>
      <c r="AD1005" s="22" t="str">
        <f t="shared" ca="1" si="70"/>
        <v xml:space="preserve">54 Tahun 3 Bulan </v>
      </c>
      <c r="AE1005" s="33" t="s">
        <v>4465</v>
      </c>
      <c r="AF1005" s="34"/>
      <c r="AG1005" s="22" t="s">
        <v>4457</v>
      </c>
      <c r="AH1005" s="22"/>
      <c r="AI1005" s="22"/>
      <c r="AJ1005" s="22"/>
      <c r="AK1005" s="33" t="s">
        <v>200</v>
      </c>
      <c r="AL1005" s="36"/>
    </row>
    <row r="1006" spans="1:39" ht="14.45" customHeight="1" x14ac:dyDescent="0.25">
      <c r="A1006" s="17">
        <v>83</v>
      </c>
      <c r="B1006" s="18"/>
      <c r="C1006" s="50" t="s">
        <v>4490</v>
      </c>
      <c r="D1006" s="20" t="s">
        <v>4491</v>
      </c>
      <c r="E1006" s="21" t="s">
        <v>56</v>
      </c>
      <c r="F1006" s="22" t="s">
        <v>41</v>
      </c>
      <c r="G1006" s="23" t="s">
        <v>137</v>
      </c>
      <c r="H1006" s="22" t="s">
        <v>138</v>
      </c>
      <c r="I1006" s="22" t="s">
        <v>44</v>
      </c>
      <c r="J1006" s="22" t="s">
        <v>4469</v>
      </c>
      <c r="K1006" s="24">
        <v>43009</v>
      </c>
      <c r="L1006" s="53" t="s">
        <v>4492</v>
      </c>
      <c r="M1006" s="26">
        <v>42943</v>
      </c>
      <c r="N1006" s="26">
        <v>44770</v>
      </c>
      <c r="O1006" s="27" t="s">
        <v>4471</v>
      </c>
      <c r="P1006" s="53" t="s">
        <v>4493</v>
      </c>
      <c r="Q1006" s="26">
        <v>43166</v>
      </c>
      <c r="R1006" s="26">
        <v>44770</v>
      </c>
      <c r="S1006" s="23" t="s">
        <v>4455</v>
      </c>
      <c r="T1006" s="23"/>
      <c r="U1006" s="23"/>
      <c r="V1006" s="23"/>
      <c r="W1006" s="30">
        <v>34029</v>
      </c>
      <c r="X1006" s="30">
        <v>34029</v>
      </c>
      <c r="Y1006" s="30">
        <v>34029</v>
      </c>
      <c r="Z1006" s="31" t="str">
        <f ca="1">DATEDIF(W1006,TODAY(),"y")&amp;" Tahun "&amp;DATEDIF(W1006,TODAY(),"ym")&amp;" Bulan "&amp;DATEDIF(W1006,TODAY(),"md")&amp;" Hari"</f>
        <v>32 Tahun 7 Bulan 30 Hari</v>
      </c>
      <c r="AA1006" s="31" t="s">
        <v>1464</v>
      </c>
      <c r="AB1006" s="32">
        <v>26142</v>
      </c>
      <c r="AC1006" s="31" t="s">
        <v>4494</v>
      </c>
      <c r="AD1006" s="22" t="str">
        <f t="shared" ca="1" si="70"/>
        <v xml:space="preserve">54 Tahun 3 Bulan </v>
      </c>
      <c r="AE1006" s="33" t="s">
        <v>4465</v>
      </c>
      <c r="AF1006" s="34"/>
      <c r="AG1006" s="22" t="s">
        <v>4457</v>
      </c>
      <c r="AH1006" s="22"/>
      <c r="AI1006" s="22"/>
      <c r="AJ1006" s="22"/>
      <c r="AK1006" s="33" t="s">
        <v>200</v>
      </c>
      <c r="AL1006" s="36"/>
    </row>
    <row r="1007" spans="1:39" ht="14.45" customHeight="1" x14ac:dyDescent="0.25">
      <c r="A1007" s="115">
        <v>84</v>
      </c>
      <c r="B1007" s="18"/>
      <c r="C1007" s="50" t="s">
        <v>4495</v>
      </c>
      <c r="D1007" s="20" t="s">
        <v>4496</v>
      </c>
      <c r="E1007" s="21" t="s">
        <v>40</v>
      </c>
      <c r="F1007" s="22" t="s">
        <v>41</v>
      </c>
      <c r="G1007" s="23" t="s">
        <v>57</v>
      </c>
      <c r="H1007" s="22" t="s">
        <v>58</v>
      </c>
      <c r="I1007" s="22" t="s">
        <v>44</v>
      </c>
      <c r="J1007" s="22" t="s">
        <v>4459</v>
      </c>
      <c r="K1007" s="24">
        <v>45323</v>
      </c>
      <c r="L1007" s="53" t="s">
        <v>4497</v>
      </c>
      <c r="M1007" s="26">
        <v>42905</v>
      </c>
      <c r="N1007" s="26">
        <v>44586</v>
      </c>
      <c r="O1007" s="27" t="s">
        <v>4471</v>
      </c>
      <c r="P1007" s="53" t="s">
        <v>4498</v>
      </c>
      <c r="Q1007" s="26">
        <v>43166</v>
      </c>
      <c r="R1007" s="26">
        <v>44586</v>
      </c>
      <c r="S1007" s="23" t="s">
        <v>4483</v>
      </c>
      <c r="T1007" s="23"/>
      <c r="U1007" s="23"/>
      <c r="V1007" s="23"/>
      <c r="W1007" s="30">
        <v>35490</v>
      </c>
      <c r="X1007" s="30">
        <v>35490</v>
      </c>
      <c r="Y1007" s="30">
        <v>35490</v>
      </c>
      <c r="Z1007" s="31" t="str">
        <f ca="1">DATEDIF(W1007,TODAY(),"y")&amp;" Tahun "&amp;DATEDIF(W1007,TODAY(),"ym")&amp;" Bulan "&amp;DATEDIF(W1007,TODAY(),"md")&amp;" Hari"</f>
        <v>28 Tahun 7 Bulan 30 Hari</v>
      </c>
      <c r="AA1007" s="31" t="s">
        <v>2508</v>
      </c>
      <c r="AB1007" s="32">
        <v>27784</v>
      </c>
      <c r="AC1007" s="31" t="s">
        <v>4499</v>
      </c>
      <c r="AD1007" s="22" t="str">
        <f t="shared" ca="1" si="70"/>
        <v xml:space="preserve">49 Tahun 9 Bulan </v>
      </c>
      <c r="AE1007" s="33" t="s">
        <v>4465</v>
      </c>
      <c r="AF1007" s="34"/>
      <c r="AG1007" s="22" t="s">
        <v>4457</v>
      </c>
      <c r="AH1007" s="22"/>
      <c r="AI1007" s="22"/>
      <c r="AJ1007" s="22"/>
      <c r="AK1007" s="33" t="s">
        <v>200</v>
      </c>
      <c r="AL1007" s="36"/>
    </row>
    <row r="1008" spans="1:39" ht="14.45" customHeight="1" x14ac:dyDescent="0.25">
      <c r="A1008" s="17">
        <v>85</v>
      </c>
      <c r="B1008" s="18"/>
      <c r="C1008" s="50" t="s">
        <v>4500</v>
      </c>
      <c r="D1008" s="20" t="s">
        <v>4501</v>
      </c>
      <c r="E1008" s="21" t="s">
        <v>56</v>
      </c>
      <c r="F1008" s="22" t="s">
        <v>41</v>
      </c>
      <c r="G1008" s="23" t="s">
        <v>137</v>
      </c>
      <c r="H1008" s="22" t="s">
        <v>138</v>
      </c>
      <c r="I1008" s="22" t="s">
        <v>44</v>
      </c>
      <c r="J1008" s="22" t="s">
        <v>4469</v>
      </c>
      <c r="K1008" s="24">
        <v>44287</v>
      </c>
      <c r="L1008" s="53" t="s">
        <v>4502</v>
      </c>
      <c r="M1008" s="26">
        <v>42905</v>
      </c>
      <c r="N1008" s="26">
        <v>44656</v>
      </c>
      <c r="O1008" s="27" t="s">
        <v>4471</v>
      </c>
      <c r="P1008" s="53" t="s">
        <v>4503</v>
      </c>
      <c r="Q1008" s="26">
        <v>43166</v>
      </c>
      <c r="R1008" s="26">
        <v>44656</v>
      </c>
      <c r="S1008" s="23" t="s">
        <v>4455</v>
      </c>
      <c r="T1008" s="23"/>
      <c r="U1008" s="23"/>
      <c r="V1008" s="23"/>
      <c r="W1008" s="30">
        <v>38353</v>
      </c>
      <c r="X1008" s="30">
        <v>38353</v>
      </c>
      <c r="Y1008" s="30">
        <v>38353</v>
      </c>
      <c r="Z1008" s="31" t="str">
        <f ca="1">DATEDIF(W1008,TODAY(),"y")&amp;" Tahun "&amp;DATEDIF(W1008,TODAY(),"ym")&amp;" Bulan "&amp;DATEDIF(W1008,TODAY(),"md")&amp;" Hari"</f>
        <v>20 Tahun 9 Bulan 30 Hari</v>
      </c>
      <c r="AA1008" s="31" t="s">
        <v>76</v>
      </c>
      <c r="AB1008" s="32">
        <v>28220</v>
      </c>
      <c r="AC1008" s="32" t="s">
        <v>4504</v>
      </c>
      <c r="AD1008" s="22" t="str">
        <f t="shared" ca="1" si="70"/>
        <v xml:space="preserve">48 Tahun 6 Bulan </v>
      </c>
      <c r="AE1008" s="33" t="s">
        <v>4465</v>
      </c>
      <c r="AF1008" s="34"/>
      <c r="AG1008" s="22" t="s">
        <v>4457</v>
      </c>
      <c r="AH1008" s="22"/>
      <c r="AI1008" s="22"/>
      <c r="AJ1008" s="22"/>
      <c r="AK1008" s="33" t="s">
        <v>200</v>
      </c>
      <c r="AL1008" s="36"/>
    </row>
    <row r="1009" spans="1:39" ht="14.45" customHeight="1" x14ac:dyDescent="0.25">
      <c r="A1009" s="115">
        <v>86</v>
      </c>
      <c r="B1009" s="18">
        <v>1370</v>
      </c>
      <c r="C1009" s="50" t="s">
        <v>4505</v>
      </c>
      <c r="D1009" s="20" t="s">
        <v>4506</v>
      </c>
      <c r="E1009" s="22" t="s">
        <v>40</v>
      </c>
      <c r="F1009" s="22" t="s">
        <v>41</v>
      </c>
      <c r="G1009" s="23" t="s">
        <v>2877</v>
      </c>
      <c r="H1009" s="22" t="s">
        <v>2878</v>
      </c>
      <c r="I1009" s="22" t="s">
        <v>155</v>
      </c>
      <c r="J1009" s="22" t="s">
        <v>4507</v>
      </c>
      <c r="K1009" s="24">
        <v>43952</v>
      </c>
      <c r="L1009" s="22"/>
      <c r="M1009" s="22"/>
      <c r="N1009" s="22"/>
      <c r="O1009" s="22"/>
      <c r="P1009" s="22"/>
      <c r="Q1009" s="22"/>
      <c r="R1009" s="22"/>
      <c r="S1009" s="23" t="s">
        <v>4455</v>
      </c>
      <c r="T1009" s="23"/>
      <c r="U1009" s="23"/>
      <c r="V1009" s="23"/>
      <c r="W1009" s="30">
        <v>40452</v>
      </c>
      <c r="X1009" s="30">
        <v>43872</v>
      </c>
      <c r="Y1009" s="30">
        <v>43872</v>
      </c>
      <c r="Z1009" s="31" t="str">
        <f ca="1">DATEDIF(W1009,TODAY(),"y")&amp;" Tahun "&amp;DATEDIF(X1009,TODAY(),"ym")&amp;" Bulan "&amp;DATEDIF(X1009,TODAY(),"md")&amp;" Hari"</f>
        <v>15 Tahun 8 Bulan 20 Hari</v>
      </c>
      <c r="AA1009" s="31" t="s">
        <v>76</v>
      </c>
      <c r="AB1009" s="32">
        <v>30477</v>
      </c>
      <c r="AC1009" s="31" t="s">
        <v>4508</v>
      </c>
      <c r="AD1009" s="22" t="str">
        <f t="shared" ca="1" si="70"/>
        <v xml:space="preserve">42 Tahun 4 Bulan </v>
      </c>
      <c r="AE1009" s="33" t="s">
        <v>4465</v>
      </c>
      <c r="AF1009" s="34"/>
      <c r="AG1009" s="22" t="s">
        <v>4457</v>
      </c>
      <c r="AH1009" s="22"/>
      <c r="AI1009" s="22"/>
      <c r="AJ1009" s="22"/>
      <c r="AK1009" s="33" t="s">
        <v>200</v>
      </c>
      <c r="AL1009" s="36"/>
    </row>
    <row r="1010" spans="1:39" ht="14.45" customHeight="1" x14ac:dyDescent="0.25">
      <c r="A1010" s="17">
        <v>1</v>
      </c>
      <c r="B1010" s="18">
        <v>1355</v>
      </c>
      <c r="C1010" s="50" t="s">
        <v>4510</v>
      </c>
      <c r="D1010" s="20" t="s">
        <v>4511</v>
      </c>
      <c r="E1010" s="22" t="s">
        <v>56</v>
      </c>
      <c r="F1010" s="22" t="s">
        <v>41</v>
      </c>
      <c r="G1010" s="23" t="s">
        <v>193</v>
      </c>
      <c r="H1010" s="22" t="s">
        <v>194</v>
      </c>
      <c r="I1010" s="22" t="s">
        <v>44</v>
      </c>
      <c r="J1010" s="22" t="s">
        <v>4451</v>
      </c>
      <c r="K1010" s="24">
        <v>45870</v>
      </c>
      <c r="L1010" s="22"/>
      <c r="M1010" s="22"/>
      <c r="N1010" s="22"/>
      <c r="O1010" s="22"/>
      <c r="P1010" s="22"/>
      <c r="Q1010" s="22"/>
      <c r="R1010" s="22"/>
      <c r="S1010" s="23" t="s">
        <v>4455</v>
      </c>
      <c r="T1010" s="23">
        <v>2014</v>
      </c>
      <c r="U1010" s="23"/>
      <c r="V1010" s="23"/>
      <c r="W1010" s="30">
        <v>43497</v>
      </c>
      <c r="X1010" s="30">
        <v>43497</v>
      </c>
      <c r="Y1010" s="30">
        <v>43497</v>
      </c>
      <c r="Z1010" s="31" t="str">
        <f ca="1">DATEDIF(X1010,TODAY(),"y")&amp;" Tahun "&amp;DATEDIF(X1010,TODAY(),"ym")&amp;" Bulan "&amp;DATEDIF(X1010,TODAY(),"md")&amp;" Hari"</f>
        <v>6 Tahun 8 Bulan 30 Hari</v>
      </c>
      <c r="AA1010" s="31" t="s">
        <v>76</v>
      </c>
      <c r="AB1010" s="32">
        <v>33893</v>
      </c>
      <c r="AC1010" s="31" t="s">
        <v>4512</v>
      </c>
      <c r="AD1010" s="22" t="str">
        <f t="shared" ca="1" si="70"/>
        <v xml:space="preserve">33 Tahun 0 Bulan </v>
      </c>
      <c r="AE1010" s="33" t="s">
        <v>4465</v>
      </c>
      <c r="AF1010" s="34"/>
      <c r="AG1010" s="22" t="s">
        <v>4457</v>
      </c>
      <c r="AH1010" s="22"/>
      <c r="AI1010" s="22"/>
      <c r="AJ1010" s="60"/>
      <c r="AK1010" s="61"/>
      <c r="AL1010" s="36"/>
    </row>
    <row r="1011" spans="1:39" ht="14.45" customHeight="1" x14ac:dyDescent="0.25">
      <c r="A1011" s="17">
        <v>2</v>
      </c>
      <c r="B1011" s="18"/>
      <c r="C1011" s="50" t="s">
        <v>4513</v>
      </c>
      <c r="D1011" s="62" t="s">
        <v>4514</v>
      </c>
      <c r="E1011" s="21" t="s">
        <v>56</v>
      </c>
      <c r="F1011" s="22" t="s">
        <v>41</v>
      </c>
      <c r="G1011" s="23" t="s">
        <v>193</v>
      </c>
      <c r="H1011" s="22" t="s">
        <v>194</v>
      </c>
      <c r="I1011" s="22" t="s">
        <v>44</v>
      </c>
      <c r="J1011" s="22" t="s">
        <v>4451</v>
      </c>
      <c r="K1011" s="24">
        <v>45505</v>
      </c>
      <c r="L1011" s="152" t="s">
        <v>4515</v>
      </c>
      <c r="M1011" s="135">
        <v>42305</v>
      </c>
      <c r="N1011" s="135">
        <v>43931</v>
      </c>
      <c r="O1011" s="201" t="s">
        <v>4453</v>
      </c>
      <c r="P1011" s="53" t="s">
        <v>4516</v>
      </c>
      <c r="Q1011" s="26">
        <v>43166</v>
      </c>
      <c r="R1011" s="26">
        <v>43931</v>
      </c>
      <c r="S1011" s="23" t="s">
        <v>4517</v>
      </c>
      <c r="T1011" s="23"/>
      <c r="U1011" s="23"/>
      <c r="V1011" s="23"/>
      <c r="W1011" s="30">
        <v>43101</v>
      </c>
      <c r="X1011" s="30">
        <v>43101</v>
      </c>
      <c r="Y1011" s="30">
        <v>43101</v>
      </c>
      <c r="Z1011" s="31" t="str">
        <f ca="1">DATEDIF(W1011,TODAY(),"y")&amp;" Tahun "&amp;DATEDIF(W1011,TODAY(),"ym")&amp;" Bulan "&amp;DATEDIF(W1011,TODAY(),"md")&amp;" Hari"</f>
        <v>7 Tahun 9 Bulan 30 Hari</v>
      </c>
      <c r="AA1011" s="31" t="s">
        <v>4518</v>
      </c>
      <c r="AB1011" s="32">
        <v>34434</v>
      </c>
      <c r="AC1011" s="32" t="s">
        <v>4519</v>
      </c>
      <c r="AD1011" s="22" t="str">
        <f t="shared" ca="1" si="70"/>
        <v xml:space="preserve">31 Tahun 6 Bulan </v>
      </c>
      <c r="AE1011" s="33" t="s">
        <v>4465</v>
      </c>
      <c r="AF1011" s="34"/>
      <c r="AG1011" s="22" t="s">
        <v>4457</v>
      </c>
      <c r="AH1011" s="22"/>
      <c r="AI1011" s="22"/>
      <c r="AJ1011" s="22"/>
      <c r="AK1011" s="33"/>
      <c r="AL1011" s="36"/>
    </row>
    <row r="1012" spans="1:39" ht="14.45" customHeight="1" x14ac:dyDescent="0.25">
      <c r="A1012" s="17">
        <v>3</v>
      </c>
      <c r="B1012" s="78">
        <v>1373</v>
      </c>
      <c r="C1012" s="50" t="s">
        <v>5998</v>
      </c>
      <c r="D1012" s="20" t="s">
        <v>4520</v>
      </c>
      <c r="E1012" s="22" t="s">
        <v>56</v>
      </c>
      <c r="F1012" s="22" t="s">
        <v>41</v>
      </c>
      <c r="G1012" s="23" t="s">
        <v>227</v>
      </c>
      <c r="H1012" s="22" t="s">
        <v>228</v>
      </c>
      <c r="I1012" s="22" t="s">
        <v>44</v>
      </c>
      <c r="J1012" s="22" t="s">
        <v>4521</v>
      </c>
      <c r="K1012" s="24">
        <v>45505</v>
      </c>
      <c r="L1012" s="25"/>
      <c r="M1012" s="26"/>
      <c r="N1012" s="26"/>
      <c r="O1012" s="27"/>
      <c r="P1012" s="28"/>
      <c r="Q1012" s="29"/>
      <c r="R1012" s="26"/>
      <c r="S1012" s="23" t="s">
        <v>4517</v>
      </c>
      <c r="T1012" s="23"/>
      <c r="U1012" s="23"/>
      <c r="V1012" s="23"/>
      <c r="W1012" s="30">
        <v>44166</v>
      </c>
      <c r="X1012" s="30">
        <v>44197</v>
      </c>
      <c r="Y1012" s="30">
        <v>44197</v>
      </c>
      <c r="Z1012" s="31" t="str">
        <f t="shared" ref="Z1012:Z1019" ca="1" si="71">DATEDIF(X1012,TODAY(),"y")&amp;" Tahun "&amp;DATEDIF(X1012,TODAY(),"ym")&amp;" Bulan "&amp;DATEDIF(X1012,TODAY(),"md")&amp;" Hari"</f>
        <v>4 Tahun 9 Bulan 30 Hari</v>
      </c>
      <c r="AA1012" s="31" t="s">
        <v>76</v>
      </c>
      <c r="AB1012" s="32">
        <v>35504</v>
      </c>
      <c r="AC1012" s="32" t="s">
        <v>4522</v>
      </c>
      <c r="AD1012" s="22" t="str">
        <f t="shared" ca="1" si="70"/>
        <v xml:space="preserve">28 Tahun 7 Bulan </v>
      </c>
      <c r="AE1012" s="33" t="s">
        <v>4465</v>
      </c>
      <c r="AF1012" s="34"/>
      <c r="AG1012" s="22" t="s">
        <v>4457</v>
      </c>
      <c r="AH1012" s="22"/>
      <c r="AI1012" s="22"/>
      <c r="AJ1012" s="22"/>
      <c r="AK1012" s="33"/>
      <c r="AL1012" s="36"/>
    </row>
    <row r="1013" spans="1:39" ht="14.45" customHeight="1" x14ac:dyDescent="0.25">
      <c r="A1013" s="17">
        <v>1</v>
      </c>
      <c r="B1013" s="18"/>
      <c r="C1013" s="50" t="s">
        <v>4523</v>
      </c>
      <c r="D1013" s="20" t="s">
        <v>4524</v>
      </c>
      <c r="E1013" s="58" t="s">
        <v>56</v>
      </c>
      <c r="F1013" s="22" t="s">
        <v>41</v>
      </c>
      <c r="G1013" s="23" t="s">
        <v>193</v>
      </c>
      <c r="H1013" s="22" t="s">
        <v>194</v>
      </c>
      <c r="I1013" s="22" t="s">
        <v>44</v>
      </c>
      <c r="J1013" s="22" t="s">
        <v>4521</v>
      </c>
      <c r="K1013" s="30">
        <v>44621</v>
      </c>
      <c r="L1013" s="25" t="s">
        <v>4525</v>
      </c>
      <c r="M1013" s="29">
        <v>42212</v>
      </c>
      <c r="N1013" s="26">
        <v>43962</v>
      </c>
      <c r="O1013" s="27" t="s">
        <v>4526</v>
      </c>
      <c r="P1013" s="25" t="s">
        <v>4527</v>
      </c>
      <c r="Q1013" s="29">
        <v>42458</v>
      </c>
      <c r="R1013" s="26">
        <v>43962</v>
      </c>
      <c r="S1013" s="23" t="s">
        <v>4483</v>
      </c>
      <c r="T1013" s="23"/>
      <c r="U1013" s="23"/>
      <c r="V1013" s="23"/>
      <c r="W1013" s="30">
        <v>44621</v>
      </c>
      <c r="X1013" s="30">
        <v>42370</v>
      </c>
      <c r="Y1013" s="30">
        <v>42401</v>
      </c>
      <c r="Z1013" s="55" t="str">
        <f t="shared" ca="1" si="71"/>
        <v>9 Tahun 9 Bulan 30 Hari</v>
      </c>
      <c r="AA1013" s="55" t="s">
        <v>1279</v>
      </c>
      <c r="AB1013" s="56">
        <v>34100</v>
      </c>
      <c r="AC1013" s="32" t="s">
        <v>4528</v>
      </c>
      <c r="AD1013" s="57" t="str">
        <f t="shared" ca="1" si="70"/>
        <v xml:space="preserve">32 Tahun 5 Bulan </v>
      </c>
      <c r="AE1013" s="33" t="s">
        <v>4465</v>
      </c>
      <c r="AF1013" s="34"/>
      <c r="AG1013" s="22" t="s">
        <v>4457</v>
      </c>
      <c r="AH1013" s="22"/>
      <c r="AI1013" s="22"/>
      <c r="AJ1013" s="22"/>
      <c r="AK1013" s="33"/>
      <c r="AL1013" s="36"/>
    </row>
    <row r="1014" spans="1:39" ht="14.45" customHeight="1" x14ac:dyDescent="0.25">
      <c r="A1014" s="17">
        <v>2</v>
      </c>
      <c r="B1014" s="18"/>
      <c r="C1014" s="50" t="s">
        <v>4530</v>
      </c>
      <c r="D1014" s="20" t="s">
        <v>4531</v>
      </c>
      <c r="E1014" s="58" t="s">
        <v>56</v>
      </c>
      <c r="F1014" s="22" t="s">
        <v>41</v>
      </c>
      <c r="G1014" s="23" t="s">
        <v>193</v>
      </c>
      <c r="H1014" s="22" t="s">
        <v>194</v>
      </c>
      <c r="I1014" s="22" t="s">
        <v>44</v>
      </c>
      <c r="J1014" s="22" t="s">
        <v>4521</v>
      </c>
      <c r="K1014" s="30">
        <v>44621</v>
      </c>
      <c r="L1014" s="25"/>
      <c r="M1014" s="29"/>
      <c r="N1014" s="26"/>
      <c r="O1014" s="27"/>
      <c r="P1014" s="25"/>
      <c r="Q1014" s="29"/>
      <c r="R1014" s="26"/>
      <c r="S1014" s="23" t="s">
        <v>4517</v>
      </c>
      <c r="T1014" s="23"/>
      <c r="U1014" s="23"/>
      <c r="V1014" s="23"/>
      <c r="W1014" s="30">
        <v>44621</v>
      </c>
      <c r="X1014" s="30">
        <v>44621</v>
      </c>
      <c r="Y1014" s="30">
        <v>44621</v>
      </c>
      <c r="Z1014" s="31" t="str">
        <f t="shared" ca="1" si="71"/>
        <v>3 Tahun 7 Bulan 30 Hari</v>
      </c>
      <c r="AA1014" s="55" t="s">
        <v>76</v>
      </c>
      <c r="AB1014" s="56">
        <v>35795</v>
      </c>
      <c r="AC1014" s="32" t="s">
        <v>4532</v>
      </c>
      <c r="AD1014" s="57" t="str">
        <f t="shared" ca="1" si="70"/>
        <v xml:space="preserve">27 Tahun 10 Bulan </v>
      </c>
      <c r="AE1014" s="33" t="s">
        <v>4465</v>
      </c>
      <c r="AF1014" s="34"/>
      <c r="AG1014" s="22" t="s">
        <v>4457</v>
      </c>
      <c r="AH1014" s="22"/>
      <c r="AI1014" s="22"/>
      <c r="AJ1014" s="22"/>
      <c r="AK1014" s="33"/>
      <c r="AL1014" s="36"/>
    </row>
    <row r="1015" spans="1:39" ht="14.45" customHeight="1" x14ac:dyDescent="0.25">
      <c r="A1015" s="17">
        <v>3</v>
      </c>
      <c r="B1015" s="18"/>
      <c r="C1015" s="50" t="s">
        <v>4533</v>
      </c>
      <c r="D1015" s="20" t="s">
        <v>4534</v>
      </c>
      <c r="E1015" s="22" t="s">
        <v>56</v>
      </c>
      <c r="F1015" s="22" t="s">
        <v>238</v>
      </c>
      <c r="G1015" s="23" t="s">
        <v>3872</v>
      </c>
      <c r="H1015" s="22" t="s">
        <v>239</v>
      </c>
      <c r="I1015" s="22" t="s">
        <v>44</v>
      </c>
      <c r="J1015" s="22" t="s">
        <v>4521</v>
      </c>
      <c r="K1015" s="30"/>
      <c r="L1015" s="53" t="s">
        <v>4535</v>
      </c>
      <c r="M1015" s="26">
        <v>42873</v>
      </c>
      <c r="N1015" s="26">
        <v>44709</v>
      </c>
      <c r="O1015" s="27" t="s">
        <v>4526</v>
      </c>
      <c r="P1015" s="53" t="s">
        <v>4536</v>
      </c>
      <c r="Q1015" s="26">
        <v>43166</v>
      </c>
      <c r="R1015" s="26">
        <v>44709</v>
      </c>
      <c r="S1015" s="23" t="s">
        <v>4483</v>
      </c>
      <c r="T1015" s="23"/>
      <c r="U1015" s="23"/>
      <c r="V1015" s="23"/>
      <c r="W1015" s="30">
        <v>45047</v>
      </c>
      <c r="X1015" s="30">
        <v>42370</v>
      </c>
      <c r="Y1015" s="30">
        <v>42401</v>
      </c>
      <c r="Z1015" s="31" t="str">
        <f t="shared" ca="1" si="71"/>
        <v>9 Tahun 9 Bulan 30 Hari</v>
      </c>
      <c r="AA1015" s="31" t="s">
        <v>563</v>
      </c>
      <c r="AB1015" s="32">
        <v>33387</v>
      </c>
      <c r="AC1015" s="32" t="s">
        <v>4537</v>
      </c>
      <c r="AD1015" s="22" t="str">
        <f t="shared" ca="1" si="70"/>
        <v xml:space="preserve">34 Tahun 5 Bulan </v>
      </c>
      <c r="AE1015" s="33" t="s">
        <v>4465</v>
      </c>
      <c r="AF1015" s="34"/>
      <c r="AG1015" s="22" t="s">
        <v>4457</v>
      </c>
      <c r="AH1015" s="22"/>
      <c r="AI1015" s="22"/>
      <c r="AJ1015" s="22"/>
      <c r="AK1015" s="33"/>
      <c r="AL1015" s="36"/>
    </row>
    <row r="1016" spans="1:39" ht="14.45" customHeight="1" x14ac:dyDescent="0.25">
      <c r="A1016" s="17">
        <v>4</v>
      </c>
      <c r="B1016" s="18"/>
      <c r="C1016" s="50" t="s">
        <v>4538</v>
      </c>
      <c r="D1016" s="68" t="s">
        <v>4539</v>
      </c>
      <c r="E1016" s="22" t="s">
        <v>56</v>
      </c>
      <c r="F1016" s="22" t="s">
        <v>238</v>
      </c>
      <c r="G1016" s="23" t="s">
        <v>3872</v>
      </c>
      <c r="H1016" s="22" t="s">
        <v>239</v>
      </c>
      <c r="I1016" s="22" t="s">
        <v>44</v>
      </c>
      <c r="J1016" s="22" t="s">
        <v>4521</v>
      </c>
      <c r="K1016" s="30"/>
      <c r="L1016" s="25" t="s">
        <v>4540</v>
      </c>
      <c r="M1016" s="29">
        <v>42324</v>
      </c>
      <c r="N1016" s="26">
        <v>44120</v>
      </c>
      <c r="O1016" s="27" t="s">
        <v>4526</v>
      </c>
      <c r="P1016" s="25" t="s">
        <v>4541</v>
      </c>
      <c r="Q1016" s="29">
        <v>42458</v>
      </c>
      <c r="R1016" s="26">
        <v>44120</v>
      </c>
      <c r="S1016" s="23" t="s">
        <v>4483</v>
      </c>
      <c r="T1016" s="23"/>
      <c r="U1016" s="23"/>
      <c r="V1016" s="23"/>
      <c r="W1016" s="30">
        <v>45047</v>
      </c>
      <c r="X1016" s="30">
        <v>42370</v>
      </c>
      <c r="Y1016" s="30">
        <v>42401</v>
      </c>
      <c r="Z1016" s="31" t="str">
        <f t="shared" ca="1" si="71"/>
        <v>9 Tahun 9 Bulan 30 Hari</v>
      </c>
      <c r="AA1016" s="31" t="s">
        <v>846</v>
      </c>
      <c r="AB1016" s="32">
        <v>34258</v>
      </c>
      <c r="AC1016" s="32" t="s">
        <v>4542</v>
      </c>
      <c r="AD1016" s="22" t="str">
        <f t="shared" ca="1" si="70"/>
        <v xml:space="preserve">32 Tahun 0 Bulan </v>
      </c>
      <c r="AE1016" s="33" t="s">
        <v>4465</v>
      </c>
      <c r="AF1016" s="34"/>
      <c r="AG1016" s="22" t="s">
        <v>4457</v>
      </c>
      <c r="AH1016" s="22"/>
      <c r="AI1016" s="22"/>
      <c r="AJ1016" s="22"/>
      <c r="AK1016" s="33"/>
      <c r="AL1016" s="36"/>
    </row>
    <row r="1017" spans="1:39" ht="14.45" customHeight="1" x14ac:dyDescent="0.25">
      <c r="A1017" s="17">
        <v>1</v>
      </c>
      <c r="B1017" s="18"/>
      <c r="C1017" s="50" t="s">
        <v>4543</v>
      </c>
      <c r="D1017" s="20" t="s">
        <v>4544</v>
      </c>
      <c r="E1017" s="22" t="s">
        <v>56</v>
      </c>
      <c r="F1017" s="22" t="s">
        <v>238</v>
      </c>
      <c r="G1017" s="23" t="s">
        <v>3872</v>
      </c>
      <c r="H1017" s="22" t="s">
        <v>239</v>
      </c>
      <c r="I1017" s="22" t="s">
        <v>44</v>
      </c>
      <c r="J1017" s="22" t="s">
        <v>4521</v>
      </c>
      <c r="K1017" s="30"/>
      <c r="L1017" s="25" t="s">
        <v>4545</v>
      </c>
      <c r="M1017" s="29">
        <v>42172</v>
      </c>
      <c r="N1017" s="26">
        <v>43953</v>
      </c>
      <c r="O1017" s="27" t="s">
        <v>4526</v>
      </c>
      <c r="P1017" s="25" t="s">
        <v>4546</v>
      </c>
      <c r="Q1017" s="29">
        <v>42458</v>
      </c>
      <c r="R1017" s="26">
        <v>43953</v>
      </c>
      <c r="S1017" s="23" t="s">
        <v>4483</v>
      </c>
      <c r="T1017" s="23"/>
      <c r="U1017" s="23"/>
      <c r="V1017" s="23"/>
      <c r="W1017" s="30">
        <v>45047</v>
      </c>
      <c r="X1017" s="30">
        <v>42370</v>
      </c>
      <c r="Y1017" s="30">
        <v>42401</v>
      </c>
      <c r="Z1017" s="31" t="str">
        <f t="shared" ca="1" si="71"/>
        <v>9 Tahun 9 Bulan 30 Hari</v>
      </c>
      <c r="AA1017" s="31" t="s">
        <v>260</v>
      </c>
      <c r="AB1017" s="32">
        <v>33726</v>
      </c>
      <c r="AC1017" s="31" t="s">
        <v>4547</v>
      </c>
      <c r="AD1017" s="22" t="str">
        <f t="shared" ca="1" si="70"/>
        <v xml:space="preserve">33 Tahun 5 Bulan </v>
      </c>
      <c r="AE1017" s="33" t="s">
        <v>4465</v>
      </c>
      <c r="AF1017" s="34"/>
      <c r="AG1017" s="22" t="s">
        <v>4457</v>
      </c>
      <c r="AH1017" s="22"/>
      <c r="AI1017" s="22"/>
      <c r="AJ1017" s="22"/>
      <c r="AK1017" s="33"/>
      <c r="AL1017" s="36"/>
    </row>
    <row r="1018" spans="1:39" ht="14.45" customHeight="1" x14ac:dyDescent="0.25">
      <c r="A1018" s="17">
        <v>2</v>
      </c>
      <c r="B1018" s="18"/>
      <c r="C1018" s="50" t="s">
        <v>5999</v>
      </c>
      <c r="D1018" s="20" t="s">
        <v>4548</v>
      </c>
      <c r="E1018" s="22" t="s">
        <v>56</v>
      </c>
      <c r="F1018" s="22" t="s">
        <v>238</v>
      </c>
      <c r="G1018" s="23" t="s">
        <v>3872</v>
      </c>
      <c r="H1018" s="22" t="s">
        <v>239</v>
      </c>
      <c r="I1018" s="22" t="s">
        <v>44</v>
      </c>
      <c r="J1018" s="22" t="s">
        <v>4521</v>
      </c>
      <c r="K1018" s="30"/>
      <c r="L1018" s="25"/>
      <c r="M1018" s="29"/>
      <c r="N1018" s="26"/>
      <c r="O1018" s="27"/>
      <c r="P1018" s="25"/>
      <c r="Q1018" s="29"/>
      <c r="R1018" s="26"/>
      <c r="S1018" s="23" t="s">
        <v>4483</v>
      </c>
      <c r="T1018" s="23"/>
      <c r="U1018" s="23"/>
      <c r="V1018" s="23"/>
      <c r="W1018" s="30">
        <v>45047</v>
      </c>
      <c r="X1018" s="30">
        <v>45048</v>
      </c>
      <c r="Y1018" s="30">
        <v>45048</v>
      </c>
      <c r="Z1018" s="31" t="str">
        <f t="shared" ca="1" si="71"/>
        <v>2 Tahun 5 Bulan 29 Hari</v>
      </c>
      <c r="AA1018" s="31" t="s">
        <v>498</v>
      </c>
      <c r="AB1018" s="32">
        <v>34220</v>
      </c>
      <c r="AC1018" s="31" t="s">
        <v>4549</v>
      </c>
      <c r="AD1018" s="22" t="str">
        <f t="shared" ca="1" si="70"/>
        <v xml:space="preserve">32 Tahun 1 Bulan </v>
      </c>
      <c r="AE1018" s="33" t="s">
        <v>4465</v>
      </c>
      <c r="AF1018" s="34"/>
      <c r="AG1018" s="22" t="s">
        <v>4457</v>
      </c>
      <c r="AH1018" s="22"/>
      <c r="AI1018" s="22"/>
      <c r="AJ1018" s="22"/>
      <c r="AK1018" s="33"/>
      <c r="AL1018" s="36"/>
    </row>
    <row r="1019" spans="1:39" ht="14.45" customHeight="1" x14ac:dyDescent="0.25">
      <c r="A1019" s="17">
        <v>3</v>
      </c>
      <c r="B1019" s="18"/>
      <c r="C1019" s="50" t="s">
        <v>4550</v>
      </c>
      <c r="D1019" s="20" t="s">
        <v>4551</v>
      </c>
      <c r="E1019" s="22" t="s">
        <v>56</v>
      </c>
      <c r="F1019" s="22" t="s">
        <v>238</v>
      </c>
      <c r="G1019" s="23" t="s">
        <v>3872</v>
      </c>
      <c r="H1019" s="22" t="s">
        <v>239</v>
      </c>
      <c r="I1019" s="22" t="s">
        <v>44</v>
      </c>
      <c r="J1019" s="22" t="s">
        <v>4521</v>
      </c>
      <c r="K1019" s="30"/>
      <c r="L1019" s="25"/>
      <c r="M1019" s="29"/>
      <c r="N1019" s="26"/>
      <c r="O1019" s="27"/>
      <c r="P1019" s="25"/>
      <c r="Q1019" s="29"/>
      <c r="R1019" s="26"/>
      <c r="S1019" s="23" t="s">
        <v>4483</v>
      </c>
      <c r="T1019" s="23"/>
      <c r="U1019" s="23"/>
      <c r="V1019" s="23"/>
      <c r="W1019" s="30">
        <v>45383</v>
      </c>
      <c r="X1019" s="30">
        <v>45383</v>
      </c>
      <c r="Y1019" s="30">
        <v>45383</v>
      </c>
      <c r="Z1019" s="31" t="str">
        <f t="shared" ca="1" si="71"/>
        <v>1 Tahun 6 Bulan 30 Hari</v>
      </c>
      <c r="AA1019" s="31" t="s">
        <v>1516</v>
      </c>
      <c r="AB1019" s="32">
        <v>35248</v>
      </c>
      <c r="AC1019" s="31" t="s">
        <v>4552</v>
      </c>
      <c r="AD1019" s="22" t="str">
        <f t="shared" ca="1" si="70"/>
        <v xml:space="preserve">29 Tahun 3 Bulan </v>
      </c>
      <c r="AE1019" s="33" t="s">
        <v>4465</v>
      </c>
      <c r="AF1019" s="34"/>
      <c r="AG1019" s="22" t="s">
        <v>4457</v>
      </c>
      <c r="AH1019" s="22"/>
      <c r="AI1019" s="22"/>
      <c r="AJ1019" s="22"/>
      <c r="AK1019" s="33"/>
      <c r="AL1019" s="36"/>
    </row>
    <row r="1020" spans="1:39" s="116" customFormat="1" ht="14.45" customHeight="1" x14ac:dyDescent="0.25">
      <c r="A1020" s="17">
        <v>4</v>
      </c>
      <c r="B1020" s="18"/>
      <c r="C1020" s="50" t="s">
        <v>4553</v>
      </c>
      <c r="D1020" s="20" t="s">
        <v>4554</v>
      </c>
      <c r="E1020" s="21" t="s">
        <v>56</v>
      </c>
      <c r="F1020" s="22" t="s">
        <v>41</v>
      </c>
      <c r="G1020" s="23" t="s">
        <v>193</v>
      </c>
      <c r="H1020" s="22" t="s">
        <v>194</v>
      </c>
      <c r="I1020" s="22" t="s">
        <v>155</v>
      </c>
      <c r="J1020" s="22" t="s">
        <v>4555</v>
      </c>
      <c r="K1020" s="24">
        <v>45017</v>
      </c>
      <c r="L1020" s="22"/>
      <c r="M1020" s="23"/>
      <c r="N1020" s="26"/>
      <c r="O1020" s="22"/>
      <c r="P1020" s="22"/>
      <c r="Q1020" s="23"/>
      <c r="R1020" s="26"/>
      <c r="S1020" s="23" t="s">
        <v>1339</v>
      </c>
      <c r="T1020" s="23"/>
      <c r="U1020" s="23"/>
      <c r="V1020" s="23"/>
      <c r="W1020" s="30">
        <v>39083</v>
      </c>
      <c r="X1020" s="30">
        <v>35339</v>
      </c>
      <c r="Y1020" s="30">
        <v>41640</v>
      </c>
      <c r="Z1020" s="31" t="str">
        <f ca="1">DATEDIF(W1020,TODAY(),"y")&amp;" Tahun "&amp;DATEDIF(W1020,TODAY(),"ym")&amp;" Bulan "&amp;DATEDIF(W1020,TODAY(),"md")&amp;" Hari"</f>
        <v>18 Tahun 9 Bulan 30 Hari</v>
      </c>
      <c r="AA1020" s="31" t="s">
        <v>76</v>
      </c>
      <c r="AB1020" s="32">
        <v>27568</v>
      </c>
      <c r="AC1020" s="31" t="s">
        <v>4556</v>
      </c>
      <c r="AD1020" s="22" t="str">
        <f ca="1">DATEDIF(AB1020,TODAY(),"y")&amp;" Tahun "&amp;DATEDIF(AB1020,TODAY(),"ym")&amp;" Bulan "</f>
        <v xml:space="preserve">50 Tahun 4 Bulan </v>
      </c>
      <c r="AE1020" s="33" t="s">
        <v>4557</v>
      </c>
      <c r="AF1020" s="34"/>
      <c r="AG1020" s="22" t="s">
        <v>4457</v>
      </c>
      <c r="AH1020" s="22"/>
      <c r="AI1020" s="22"/>
      <c r="AJ1020" s="22"/>
      <c r="AK1020" s="33"/>
      <c r="AL1020" s="36"/>
      <c r="AM1020" s="13"/>
    </row>
    <row r="1021" spans="1:39" ht="14.45" customHeight="1" x14ac:dyDescent="0.25">
      <c r="A1021" s="17">
        <v>5</v>
      </c>
      <c r="B1021" s="18"/>
      <c r="C1021" s="50" t="s">
        <v>4558</v>
      </c>
      <c r="D1021" s="20" t="s">
        <v>4559</v>
      </c>
      <c r="E1021" s="21" t="s">
        <v>56</v>
      </c>
      <c r="F1021" s="22" t="s">
        <v>41</v>
      </c>
      <c r="G1021" s="23" t="s">
        <v>2877</v>
      </c>
      <c r="H1021" s="22" t="s">
        <v>2878</v>
      </c>
      <c r="I1021" s="22" t="s">
        <v>155</v>
      </c>
      <c r="J1021" s="22" t="s">
        <v>3022</v>
      </c>
      <c r="K1021" s="24">
        <v>44287</v>
      </c>
      <c r="L1021" s="22"/>
      <c r="M1021" s="22"/>
      <c r="N1021" s="22"/>
      <c r="O1021" s="22"/>
      <c r="P1021" s="22"/>
      <c r="Q1021" s="22"/>
      <c r="R1021" s="22"/>
      <c r="S1021" s="23" t="s">
        <v>3023</v>
      </c>
      <c r="T1021" s="23"/>
      <c r="U1021" s="23"/>
      <c r="V1021" s="23"/>
      <c r="W1021" s="30">
        <v>39783</v>
      </c>
      <c r="X1021" s="30">
        <v>36251</v>
      </c>
      <c r="Y1021" s="30">
        <v>36251</v>
      </c>
      <c r="Z1021" s="31" t="str">
        <f ca="1">DATEDIF(W1021,TODAY(),"y")&amp;" Tahun "&amp;DATEDIF(W1021,TODAY(),"ym")&amp;" Bulan "&amp;DATEDIF(W1021,TODAY(),"md")&amp;" Hari"</f>
        <v>16 Tahun 10 Bulan 30 Hari</v>
      </c>
      <c r="AA1021" s="31" t="s">
        <v>76</v>
      </c>
      <c r="AB1021" s="32">
        <v>25220</v>
      </c>
      <c r="AC1021" s="31" t="s">
        <v>4560</v>
      </c>
      <c r="AD1021" s="22" t="str">
        <f ca="1">DATEDIF(AB1021,TODAY(),"y")&amp;" Tahun "&amp;DATEDIF(AB1021,TODAY(),"ym")&amp;" Bulan "</f>
        <v xml:space="preserve">56 Tahun 9 Bulan </v>
      </c>
      <c r="AE1021" s="33" t="s">
        <v>4557</v>
      </c>
      <c r="AF1021" s="34"/>
      <c r="AG1021" s="22" t="s">
        <v>4457</v>
      </c>
      <c r="AH1021" s="22"/>
      <c r="AI1021" s="22"/>
      <c r="AJ1021" s="22"/>
      <c r="AK1021" s="33"/>
      <c r="AL1021" s="36"/>
    </row>
    <row r="1022" spans="1:39" ht="14.45" customHeight="1" x14ac:dyDescent="0.25">
      <c r="A1022" s="17">
        <v>6</v>
      </c>
      <c r="B1022" s="18"/>
      <c r="C1022" s="50" t="s">
        <v>4561</v>
      </c>
      <c r="D1022" s="20" t="s">
        <v>4562</v>
      </c>
      <c r="E1022" s="21" t="s">
        <v>40</v>
      </c>
      <c r="F1022" s="22" t="s">
        <v>41</v>
      </c>
      <c r="G1022" s="23" t="s">
        <v>193</v>
      </c>
      <c r="H1022" s="22" t="s">
        <v>194</v>
      </c>
      <c r="I1022" s="22" t="s">
        <v>155</v>
      </c>
      <c r="J1022" s="22" t="s">
        <v>3022</v>
      </c>
      <c r="K1022" s="24">
        <v>45017</v>
      </c>
      <c r="L1022" s="22"/>
      <c r="M1022" s="22"/>
      <c r="N1022" s="22"/>
      <c r="O1022" s="22"/>
      <c r="P1022" s="22"/>
      <c r="Q1022" s="22"/>
      <c r="R1022" s="22"/>
      <c r="S1022" s="23" t="s">
        <v>4563</v>
      </c>
      <c r="T1022" s="23"/>
      <c r="U1022" s="23"/>
      <c r="V1022" s="23"/>
      <c r="W1022" s="30">
        <v>39083</v>
      </c>
      <c r="X1022" s="30">
        <v>35309</v>
      </c>
      <c r="Y1022" s="30">
        <v>35309</v>
      </c>
      <c r="Z1022" s="31" t="str">
        <f ca="1">DATEDIF(W1022,TODAY(),"y")&amp;" Tahun "&amp;DATEDIF(W1022,TODAY(),"ym")&amp;" Bulan "&amp;DATEDIF(W1022,TODAY(),"md")&amp;" Hari"</f>
        <v>18 Tahun 9 Bulan 30 Hari</v>
      </c>
      <c r="AA1022" s="31" t="s">
        <v>76</v>
      </c>
      <c r="AB1022" s="32">
        <v>25333</v>
      </c>
      <c r="AC1022" s="32" t="s">
        <v>4564</v>
      </c>
      <c r="AD1022" s="22" t="str">
        <f ca="1">DATEDIF(AB1022,TODAY(),"y")&amp;" Tahun "&amp;DATEDIF(AB1022,TODAY(),"ym")&amp;" Bulan "</f>
        <v xml:space="preserve">56 Tahun 5 Bulan </v>
      </c>
      <c r="AE1022" s="33" t="s">
        <v>4557</v>
      </c>
      <c r="AF1022" s="34"/>
      <c r="AG1022" s="22" t="s">
        <v>4457</v>
      </c>
      <c r="AH1022" s="22"/>
      <c r="AI1022" s="22"/>
      <c r="AJ1022" s="22"/>
      <c r="AK1022" s="33" t="s">
        <v>4509</v>
      </c>
      <c r="AL1022" s="36"/>
    </row>
    <row r="1023" spans="1:39" ht="14.45" customHeight="1" x14ac:dyDescent="0.25">
      <c r="A1023" s="17">
        <v>7</v>
      </c>
      <c r="B1023" s="18"/>
      <c r="C1023" s="50" t="s">
        <v>4565</v>
      </c>
      <c r="D1023" s="20" t="s">
        <v>4566</v>
      </c>
      <c r="E1023" s="21" t="s">
        <v>56</v>
      </c>
      <c r="F1023" s="22" t="s">
        <v>41</v>
      </c>
      <c r="G1023" s="23" t="s">
        <v>193</v>
      </c>
      <c r="H1023" s="22" t="s">
        <v>194</v>
      </c>
      <c r="I1023" s="22" t="s">
        <v>155</v>
      </c>
      <c r="J1023" s="22" t="s">
        <v>3022</v>
      </c>
      <c r="K1023" s="24">
        <v>45017</v>
      </c>
      <c r="L1023" s="22"/>
      <c r="M1023" s="22"/>
      <c r="N1023" s="22"/>
      <c r="O1023" s="22"/>
      <c r="P1023" s="22"/>
      <c r="Q1023" s="22"/>
      <c r="R1023" s="22"/>
      <c r="S1023" s="23" t="s">
        <v>4567</v>
      </c>
      <c r="T1023" s="23"/>
      <c r="U1023" s="23"/>
      <c r="V1023" s="23"/>
      <c r="W1023" s="30">
        <v>39083</v>
      </c>
      <c r="X1023" s="30">
        <v>35674</v>
      </c>
      <c r="Y1023" s="30">
        <v>35674</v>
      </c>
      <c r="Z1023" s="31" t="str">
        <f ca="1">DATEDIF(W1023,TODAY(),"y")&amp;" Tahun "&amp;DATEDIF(W1023,TODAY(),"ym")&amp;" Bulan "&amp;DATEDIF(W1023,TODAY(),"md")&amp;" Hari"</f>
        <v>18 Tahun 9 Bulan 30 Hari</v>
      </c>
      <c r="AA1023" s="31" t="s">
        <v>164</v>
      </c>
      <c r="AB1023" s="32">
        <v>27044</v>
      </c>
      <c r="AC1023" s="31" t="s">
        <v>4568</v>
      </c>
      <c r="AD1023" s="22" t="str">
        <f ca="1">DATEDIF(AB1023,TODAY(),"y")&amp;" Tahun "&amp;DATEDIF(AB1023,TODAY(),"ym")&amp;" Bulan "</f>
        <v xml:space="preserve">51 Tahun 9 Bulan </v>
      </c>
      <c r="AE1023" s="33" t="s">
        <v>4557</v>
      </c>
      <c r="AF1023" s="34"/>
      <c r="AG1023" s="22" t="s">
        <v>4457</v>
      </c>
      <c r="AH1023" s="22"/>
      <c r="AI1023" s="22"/>
      <c r="AJ1023" s="22"/>
      <c r="AK1023" s="33"/>
      <c r="AL1023" s="36"/>
    </row>
    <row r="1024" spans="1:39" ht="14.45" customHeight="1" x14ac:dyDescent="0.25">
      <c r="A1024" s="17">
        <v>8</v>
      </c>
      <c r="B1024" s="78"/>
      <c r="C1024" s="50" t="s">
        <v>4570</v>
      </c>
      <c r="D1024" s="20" t="s">
        <v>6000</v>
      </c>
      <c r="E1024" s="21" t="s">
        <v>56</v>
      </c>
      <c r="F1024" s="22" t="s">
        <v>238</v>
      </c>
      <c r="G1024" s="33" t="s">
        <v>3872</v>
      </c>
      <c r="H1024" s="22" t="s">
        <v>1078</v>
      </c>
      <c r="I1024" s="22" t="s">
        <v>155</v>
      </c>
      <c r="J1024" s="22" t="s">
        <v>5693</v>
      </c>
      <c r="K1024" s="22"/>
      <c r="L1024" s="53"/>
      <c r="M1024" s="26"/>
      <c r="N1024" s="26"/>
      <c r="O1024" s="27"/>
      <c r="P1024" s="53"/>
      <c r="Q1024" s="26"/>
      <c r="R1024" s="26"/>
      <c r="S1024" s="33" t="s">
        <v>2575</v>
      </c>
      <c r="T1024" s="33"/>
      <c r="U1024" s="33"/>
      <c r="V1024" s="33"/>
      <c r="W1024" s="77">
        <v>45931</v>
      </c>
      <c r="X1024" s="30">
        <v>45261</v>
      </c>
      <c r="Y1024" s="30">
        <v>45261</v>
      </c>
      <c r="Z1024" s="31" t="str">
        <f ca="1">DATEDIF(X1024,TODAY(),"y")&amp;" Tahun "&amp;DATEDIF(X1024,TODAY(),"ym")&amp;" Bulan "&amp;DATEDIF(X1024,TODAY(),"md")&amp;" Hari"</f>
        <v>1 Tahun 10 Bulan 30 Hari</v>
      </c>
      <c r="AA1024" s="31" t="s">
        <v>76</v>
      </c>
      <c r="AB1024" s="32">
        <v>32752</v>
      </c>
      <c r="AC1024" s="31" t="s">
        <v>4571</v>
      </c>
      <c r="AD1024" s="22" t="str">
        <f ca="1">DATEDIF(AB1024,TODAY(),"y")&amp;" Tahun "&amp;DATEDIF(AB1024,TODAY(),"ym")&amp;" Bulan "</f>
        <v xml:space="preserve">36 Tahun 1 Bulan </v>
      </c>
      <c r="AE1024" s="33" t="s">
        <v>4557</v>
      </c>
      <c r="AF1024" s="34"/>
      <c r="AG1024" s="22" t="s">
        <v>4457</v>
      </c>
      <c r="AH1024" s="22"/>
      <c r="AI1024" s="22"/>
      <c r="AJ1024" s="22"/>
      <c r="AK1024" s="33"/>
      <c r="AL1024" s="36"/>
    </row>
    <row r="1025" spans="1:39" ht="14.45" customHeight="1" x14ac:dyDescent="0.25">
      <c r="A1025" s="17">
        <v>9</v>
      </c>
      <c r="B1025" s="18"/>
      <c r="C1025" s="50" t="s">
        <v>4572</v>
      </c>
      <c r="D1025" s="20" t="s">
        <v>4573</v>
      </c>
      <c r="E1025" s="21" t="s">
        <v>56</v>
      </c>
      <c r="F1025" s="22" t="s">
        <v>41</v>
      </c>
      <c r="G1025" s="23" t="s">
        <v>193</v>
      </c>
      <c r="H1025" s="22" t="s">
        <v>194</v>
      </c>
      <c r="I1025" s="22" t="s">
        <v>155</v>
      </c>
      <c r="J1025" s="22" t="s">
        <v>3022</v>
      </c>
      <c r="K1025" s="202">
        <v>44652</v>
      </c>
      <c r="L1025" s="22"/>
      <c r="M1025" s="22"/>
      <c r="N1025" s="22"/>
      <c r="O1025" s="22"/>
      <c r="P1025" s="22"/>
      <c r="Q1025" s="22"/>
      <c r="R1025" s="22"/>
      <c r="S1025" s="23" t="s">
        <v>1339</v>
      </c>
      <c r="T1025" s="23"/>
      <c r="U1025" s="23"/>
      <c r="V1025" s="23"/>
      <c r="W1025" s="30">
        <v>38808</v>
      </c>
      <c r="X1025" s="30">
        <v>35370</v>
      </c>
      <c r="Y1025" s="30">
        <v>35370</v>
      </c>
      <c r="Z1025" s="31" t="str">
        <f t="shared" ref="Z1025:Z1034" ca="1" si="72">DATEDIF(W1025,TODAY(),"y")&amp;" Tahun "&amp;DATEDIF(W1025,TODAY(),"ym")&amp;" Bulan "&amp;DATEDIF(W1025,TODAY(),"md")&amp;" Hari"</f>
        <v>19 Tahun 6 Bulan 30 Hari</v>
      </c>
      <c r="AA1025" s="31" t="s">
        <v>76</v>
      </c>
      <c r="AB1025" s="32">
        <v>27820</v>
      </c>
      <c r="AC1025" s="32" t="s">
        <v>4574</v>
      </c>
      <c r="AD1025" s="22" t="str">
        <f t="shared" ref="AD1025:AD1034" ca="1" si="73">DATEDIF(AB1025,TODAY(),"y")&amp;" Tahun "&amp;DATEDIF(AB1025,TODAY(),"ym")&amp;" Bulan "</f>
        <v xml:space="preserve">49 Tahun 7 Bulan </v>
      </c>
      <c r="AE1025" s="8" t="s">
        <v>4575</v>
      </c>
      <c r="AF1025" s="34"/>
      <c r="AG1025" s="6" t="s">
        <v>4457</v>
      </c>
      <c r="AH1025" s="22"/>
      <c r="AI1025" s="22"/>
      <c r="AJ1025" s="22"/>
      <c r="AK1025" s="33" t="s">
        <v>676</v>
      </c>
      <c r="AL1025" s="36"/>
    </row>
    <row r="1026" spans="1:39" ht="14.45" customHeight="1" x14ac:dyDescent="0.25">
      <c r="A1026" s="17">
        <v>10</v>
      </c>
      <c r="B1026" s="18"/>
      <c r="C1026" s="50" t="s">
        <v>4576</v>
      </c>
      <c r="D1026" s="20" t="s">
        <v>4577</v>
      </c>
      <c r="E1026" s="21" t="s">
        <v>56</v>
      </c>
      <c r="F1026" s="22" t="s">
        <v>41</v>
      </c>
      <c r="G1026" s="23" t="s">
        <v>2877</v>
      </c>
      <c r="H1026" s="22" t="s">
        <v>2878</v>
      </c>
      <c r="I1026" s="22" t="s">
        <v>155</v>
      </c>
      <c r="J1026" s="22" t="s">
        <v>3022</v>
      </c>
      <c r="K1026" s="24">
        <v>44287</v>
      </c>
      <c r="L1026" s="22"/>
      <c r="M1026" s="22"/>
      <c r="N1026" s="22"/>
      <c r="O1026" s="22"/>
      <c r="P1026" s="22"/>
      <c r="Q1026" s="22"/>
      <c r="R1026" s="22"/>
      <c r="S1026" s="23" t="s">
        <v>4578</v>
      </c>
      <c r="T1026" s="23"/>
      <c r="U1026" s="23"/>
      <c r="V1026" s="23"/>
      <c r="W1026" s="30">
        <v>39783</v>
      </c>
      <c r="X1026" s="30">
        <v>37865</v>
      </c>
      <c r="Y1026" s="30">
        <v>37865</v>
      </c>
      <c r="Z1026" s="31" t="str">
        <f t="shared" ca="1" si="72"/>
        <v>16 Tahun 10 Bulan 30 Hari</v>
      </c>
      <c r="AA1026" s="31" t="s">
        <v>76</v>
      </c>
      <c r="AB1026" s="32">
        <v>30427</v>
      </c>
      <c r="AC1026" s="31" t="s">
        <v>4579</v>
      </c>
      <c r="AD1026" s="22" t="str">
        <f t="shared" ca="1" si="73"/>
        <v xml:space="preserve">42 Tahun 6 Bulan </v>
      </c>
      <c r="AE1026" s="8" t="s">
        <v>4575</v>
      </c>
      <c r="AF1026" s="34"/>
      <c r="AG1026" s="6" t="s">
        <v>4457</v>
      </c>
      <c r="AH1026" s="58"/>
      <c r="AI1026" s="58"/>
      <c r="AJ1026" s="58"/>
      <c r="AK1026" s="33" t="s">
        <v>4529</v>
      </c>
      <c r="AL1026" s="36"/>
    </row>
    <row r="1027" spans="1:39" ht="14.45" customHeight="1" x14ac:dyDescent="0.25">
      <c r="A1027" s="17">
        <v>11</v>
      </c>
      <c r="B1027" s="18"/>
      <c r="C1027" s="50" t="s">
        <v>4580</v>
      </c>
      <c r="D1027" s="20" t="s">
        <v>4581</v>
      </c>
      <c r="E1027" s="21" t="s">
        <v>56</v>
      </c>
      <c r="F1027" s="22" t="s">
        <v>41</v>
      </c>
      <c r="G1027" s="23" t="s">
        <v>2877</v>
      </c>
      <c r="H1027" s="22" t="s">
        <v>2878</v>
      </c>
      <c r="I1027" s="22" t="s">
        <v>155</v>
      </c>
      <c r="J1027" s="22" t="s">
        <v>3022</v>
      </c>
      <c r="K1027" s="24">
        <v>45748</v>
      </c>
      <c r="L1027" s="22"/>
      <c r="M1027" s="22"/>
      <c r="N1027" s="22"/>
      <c r="O1027" s="22"/>
      <c r="P1027" s="22"/>
      <c r="Q1027" s="22"/>
      <c r="R1027" s="22"/>
      <c r="S1027" s="23" t="s">
        <v>4582</v>
      </c>
      <c r="T1027" s="23"/>
      <c r="U1027" s="23"/>
      <c r="V1027" s="23"/>
      <c r="W1027" s="30">
        <v>39783</v>
      </c>
      <c r="X1027" s="30">
        <v>36251</v>
      </c>
      <c r="Y1027" s="30">
        <v>36251</v>
      </c>
      <c r="Z1027" s="31" t="str">
        <f t="shared" ca="1" si="72"/>
        <v>16 Tahun 10 Bulan 30 Hari</v>
      </c>
      <c r="AA1027" s="31" t="s">
        <v>962</v>
      </c>
      <c r="AB1027" s="32">
        <v>24883</v>
      </c>
      <c r="AC1027" s="31" t="s">
        <v>4583</v>
      </c>
      <c r="AD1027" s="22" t="str">
        <f t="shared" ca="1" si="73"/>
        <v xml:space="preserve">57 Tahun 8 Bulan </v>
      </c>
      <c r="AE1027" s="33" t="s">
        <v>4575</v>
      </c>
      <c r="AF1027" s="34"/>
      <c r="AG1027" s="22" t="s">
        <v>4457</v>
      </c>
      <c r="AH1027" s="58"/>
      <c r="AI1027" s="58"/>
      <c r="AJ1027" s="58"/>
      <c r="AK1027" s="33"/>
      <c r="AL1027" s="36"/>
    </row>
    <row r="1028" spans="1:39" ht="14.45" customHeight="1" x14ac:dyDescent="0.25">
      <c r="A1028" s="17">
        <v>12</v>
      </c>
      <c r="B1028" s="18"/>
      <c r="C1028" s="50" t="s">
        <v>4584</v>
      </c>
      <c r="D1028" s="20" t="s">
        <v>4585</v>
      </c>
      <c r="E1028" s="21" t="s">
        <v>40</v>
      </c>
      <c r="F1028" s="22" t="s">
        <v>41</v>
      </c>
      <c r="G1028" s="23" t="s">
        <v>193</v>
      </c>
      <c r="H1028" s="22" t="s">
        <v>194</v>
      </c>
      <c r="I1028" s="22" t="s">
        <v>155</v>
      </c>
      <c r="J1028" s="22" t="s">
        <v>3022</v>
      </c>
      <c r="K1028" s="24">
        <v>45017</v>
      </c>
      <c r="L1028" s="22"/>
      <c r="M1028" s="22"/>
      <c r="N1028" s="22"/>
      <c r="O1028" s="22"/>
      <c r="P1028" s="22"/>
      <c r="Q1028" s="22"/>
      <c r="R1028" s="22"/>
      <c r="S1028" s="23" t="s">
        <v>1339</v>
      </c>
      <c r="T1028" s="23"/>
      <c r="U1028" s="23"/>
      <c r="V1028" s="23"/>
      <c r="W1028" s="30">
        <v>39083</v>
      </c>
      <c r="X1028" s="30">
        <v>35370</v>
      </c>
      <c r="Y1028" s="30">
        <v>35370</v>
      </c>
      <c r="Z1028" s="31" t="str">
        <f t="shared" ca="1" si="72"/>
        <v>18 Tahun 9 Bulan 30 Hari</v>
      </c>
      <c r="AA1028" s="31" t="s">
        <v>76</v>
      </c>
      <c r="AB1028" s="32">
        <v>25191</v>
      </c>
      <c r="AC1028" s="31" t="s">
        <v>4586</v>
      </c>
      <c r="AD1028" s="22" t="str">
        <f t="shared" ca="1" si="73"/>
        <v xml:space="preserve">56 Tahun 10 Bulan </v>
      </c>
      <c r="AE1028" s="33" t="s">
        <v>4575</v>
      </c>
      <c r="AF1028" s="34"/>
      <c r="AG1028" s="22" t="s">
        <v>4457</v>
      </c>
      <c r="AH1028" s="22"/>
      <c r="AI1028" s="22"/>
      <c r="AJ1028" s="22"/>
      <c r="AK1028" s="33" t="s">
        <v>314</v>
      </c>
      <c r="AL1028" s="36"/>
    </row>
    <row r="1029" spans="1:39" ht="14.45" customHeight="1" x14ac:dyDescent="0.25">
      <c r="A1029" s="17">
        <v>13</v>
      </c>
      <c r="B1029" s="18"/>
      <c r="C1029" s="50" t="s">
        <v>4587</v>
      </c>
      <c r="D1029" s="20" t="s">
        <v>4588</v>
      </c>
      <c r="E1029" s="21" t="s">
        <v>40</v>
      </c>
      <c r="F1029" s="22" t="s">
        <v>41</v>
      </c>
      <c r="G1029" s="23" t="s">
        <v>2877</v>
      </c>
      <c r="H1029" s="22" t="s">
        <v>2878</v>
      </c>
      <c r="I1029" s="22" t="s">
        <v>155</v>
      </c>
      <c r="J1029" s="22" t="s">
        <v>4101</v>
      </c>
      <c r="K1029" s="24">
        <v>44835</v>
      </c>
      <c r="L1029" s="22"/>
      <c r="M1029" s="22"/>
      <c r="N1029" s="22"/>
      <c r="O1029" s="22"/>
      <c r="P1029" s="22"/>
      <c r="Q1029" s="22"/>
      <c r="R1029" s="22"/>
      <c r="S1029" s="23" t="s">
        <v>1339</v>
      </c>
      <c r="T1029" s="23"/>
      <c r="U1029" s="23"/>
      <c r="V1029" s="23"/>
      <c r="W1029" s="30">
        <v>40148</v>
      </c>
      <c r="X1029" s="30">
        <v>38047</v>
      </c>
      <c r="Y1029" s="30">
        <v>42064</v>
      </c>
      <c r="Z1029" s="31" t="str">
        <f t="shared" ca="1" si="72"/>
        <v>15 Tahun 10 Bulan 30 Hari</v>
      </c>
      <c r="AA1029" s="31" t="s">
        <v>76</v>
      </c>
      <c r="AB1029" s="32">
        <v>25426</v>
      </c>
      <c r="AC1029" s="32" t="s">
        <v>4589</v>
      </c>
      <c r="AD1029" s="22" t="str">
        <f t="shared" ca="1" si="73"/>
        <v xml:space="preserve">56 Tahun 2 Bulan </v>
      </c>
      <c r="AE1029" s="33" t="s">
        <v>4575</v>
      </c>
      <c r="AF1029" s="34"/>
      <c r="AG1029" s="22" t="s">
        <v>4457</v>
      </c>
      <c r="AH1029" s="22"/>
      <c r="AI1029" s="22"/>
      <c r="AJ1029" s="22"/>
      <c r="AK1029" s="33" t="s">
        <v>314</v>
      </c>
      <c r="AL1029" s="36"/>
    </row>
    <row r="1030" spans="1:39" ht="14.45" customHeight="1" x14ac:dyDescent="0.25">
      <c r="A1030" s="17">
        <v>14</v>
      </c>
      <c r="B1030" s="18"/>
      <c r="C1030" s="50" t="s">
        <v>4590</v>
      </c>
      <c r="D1030" s="20" t="s">
        <v>4591</v>
      </c>
      <c r="E1030" s="21" t="s">
        <v>40</v>
      </c>
      <c r="F1030" s="22" t="s">
        <v>41</v>
      </c>
      <c r="G1030" s="23" t="s">
        <v>2877</v>
      </c>
      <c r="H1030" s="22" t="s">
        <v>2878</v>
      </c>
      <c r="I1030" s="22" t="s">
        <v>155</v>
      </c>
      <c r="J1030" s="22" t="s">
        <v>3022</v>
      </c>
      <c r="K1030" s="24">
        <v>45748</v>
      </c>
      <c r="L1030" s="22"/>
      <c r="M1030" s="22"/>
      <c r="N1030" s="22"/>
      <c r="O1030" s="22"/>
      <c r="P1030" s="22"/>
      <c r="Q1030" s="22"/>
      <c r="R1030" s="22"/>
      <c r="S1030" s="23" t="s">
        <v>4582</v>
      </c>
      <c r="T1030" s="23">
        <v>2005</v>
      </c>
      <c r="U1030" s="203"/>
      <c r="V1030" s="203"/>
      <c r="W1030" s="30">
        <v>39083</v>
      </c>
      <c r="X1030" s="30">
        <v>35674</v>
      </c>
      <c r="Y1030" s="30">
        <v>35674</v>
      </c>
      <c r="Z1030" s="31" t="str">
        <f t="shared" ca="1" si="72"/>
        <v>18 Tahun 9 Bulan 30 Hari</v>
      </c>
      <c r="AA1030" s="31" t="s">
        <v>1178</v>
      </c>
      <c r="AB1030" s="32">
        <v>26363</v>
      </c>
      <c r="AC1030" s="31" t="s">
        <v>4592</v>
      </c>
      <c r="AD1030" s="22" t="str">
        <f t="shared" ca="1" si="73"/>
        <v xml:space="preserve">53 Tahun 7 Bulan </v>
      </c>
      <c r="AE1030" s="33" t="s">
        <v>4575</v>
      </c>
      <c r="AF1030" s="34"/>
      <c r="AG1030" s="22" t="s">
        <v>4457</v>
      </c>
      <c r="AH1030" s="22"/>
      <c r="AI1030" s="22"/>
      <c r="AJ1030" s="22"/>
      <c r="AK1030" s="33" t="s">
        <v>314</v>
      </c>
      <c r="AL1030" s="36"/>
    </row>
    <row r="1031" spans="1:39" ht="14.45" customHeight="1" x14ac:dyDescent="0.25">
      <c r="A1031" s="17">
        <v>15</v>
      </c>
      <c r="B1031" s="18"/>
      <c r="C1031" s="50" t="s">
        <v>4593</v>
      </c>
      <c r="D1031" s="20" t="s">
        <v>4594</v>
      </c>
      <c r="E1031" s="21" t="s">
        <v>56</v>
      </c>
      <c r="F1031" s="22" t="s">
        <v>41</v>
      </c>
      <c r="G1031" s="23" t="s">
        <v>193</v>
      </c>
      <c r="H1031" s="22" t="s">
        <v>194</v>
      </c>
      <c r="I1031" s="22" t="s">
        <v>155</v>
      </c>
      <c r="J1031" s="22" t="s">
        <v>3022</v>
      </c>
      <c r="K1031" s="24">
        <v>45017</v>
      </c>
      <c r="L1031" s="22"/>
      <c r="M1031" s="22"/>
      <c r="N1031" s="22"/>
      <c r="O1031" s="22"/>
      <c r="P1031" s="22"/>
      <c r="Q1031" s="22"/>
      <c r="R1031" s="22"/>
      <c r="S1031" s="23" t="s">
        <v>1339</v>
      </c>
      <c r="T1031" s="23"/>
      <c r="U1031" s="23"/>
      <c r="V1031" s="23"/>
      <c r="W1031" s="30">
        <v>39083</v>
      </c>
      <c r="X1031" s="30">
        <v>35674</v>
      </c>
      <c r="Y1031" s="30">
        <v>35674</v>
      </c>
      <c r="Z1031" s="31" t="str">
        <f t="shared" ca="1" si="72"/>
        <v>18 Tahun 9 Bulan 30 Hari</v>
      </c>
      <c r="AA1031" s="31" t="s">
        <v>76</v>
      </c>
      <c r="AB1031" s="32">
        <v>25779</v>
      </c>
      <c r="AC1031" s="31" t="s">
        <v>4595</v>
      </c>
      <c r="AD1031" s="22" t="str">
        <f t="shared" ca="1" si="73"/>
        <v xml:space="preserve">55 Tahun 3 Bulan </v>
      </c>
      <c r="AE1031" s="33" t="s">
        <v>4575</v>
      </c>
      <c r="AF1031" s="34"/>
      <c r="AG1031" s="22" t="s">
        <v>4457</v>
      </c>
      <c r="AH1031" s="22"/>
      <c r="AI1031" s="22"/>
      <c r="AJ1031" s="22"/>
      <c r="AK1031" s="33" t="s">
        <v>308</v>
      </c>
      <c r="AL1031" s="36"/>
    </row>
    <row r="1032" spans="1:39" ht="14.45" customHeight="1" x14ac:dyDescent="0.25">
      <c r="A1032" s="17">
        <v>16</v>
      </c>
      <c r="B1032" s="18"/>
      <c r="C1032" s="50" t="s">
        <v>4596</v>
      </c>
      <c r="D1032" s="20" t="s">
        <v>4597</v>
      </c>
      <c r="E1032" s="21" t="s">
        <v>40</v>
      </c>
      <c r="F1032" s="22" t="s">
        <v>41</v>
      </c>
      <c r="G1032" s="23" t="s">
        <v>2877</v>
      </c>
      <c r="H1032" s="22" t="s">
        <v>2878</v>
      </c>
      <c r="I1032" s="22" t="s">
        <v>155</v>
      </c>
      <c r="J1032" s="22" t="s">
        <v>3022</v>
      </c>
      <c r="K1032" s="24">
        <v>45748</v>
      </c>
      <c r="L1032" s="22"/>
      <c r="M1032" s="22"/>
      <c r="N1032" s="22"/>
      <c r="O1032" s="22"/>
      <c r="P1032" s="22"/>
      <c r="Q1032" s="22"/>
      <c r="R1032" s="22"/>
      <c r="S1032" s="23" t="s">
        <v>4582</v>
      </c>
      <c r="T1032" s="23">
        <v>2006</v>
      </c>
      <c r="U1032" s="203"/>
      <c r="V1032" s="203"/>
      <c r="W1032" s="30">
        <v>39083</v>
      </c>
      <c r="X1032" s="30">
        <v>35674</v>
      </c>
      <c r="Y1032" s="30">
        <v>35674</v>
      </c>
      <c r="Z1032" s="31" t="str">
        <f t="shared" ca="1" si="72"/>
        <v>18 Tahun 9 Bulan 30 Hari</v>
      </c>
      <c r="AA1032" s="31" t="s">
        <v>1178</v>
      </c>
      <c r="AB1032" s="32">
        <v>26363</v>
      </c>
      <c r="AC1032" s="32" t="s">
        <v>4598</v>
      </c>
      <c r="AD1032" s="22" t="str">
        <f t="shared" ca="1" si="73"/>
        <v xml:space="preserve">53 Tahun 7 Bulan </v>
      </c>
      <c r="AE1032" s="33" t="s">
        <v>4575</v>
      </c>
      <c r="AF1032" s="34"/>
      <c r="AG1032" s="22" t="s">
        <v>4457</v>
      </c>
      <c r="AH1032" s="22"/>
      <c r="AI1032" s="22"/>
      <c r="AJ1032" s="22"/>
      <c r="AK1032" s="33" t="s">
        <v>485</v>
      </c>
      <c r="AL1032" s="36"/>
    </row>
    <row r="1033" spans="1:39" ht="14.45" customHeight="1" x14ac:dyDescent="0.25">
      <c r="A1033" s="17">
        <v>1</v>
      </c>
      <c r="B1033" s="18"/>
      <c r="C1033" s="50" t="s">
        <v>4599</v>
      </c>
      <c r="D1033" s="20" t="s">
        <v>4600</v>
      </c>
      <c r="E1033" s="21" t="s">
        <v>40</v>
      </c>
      <c r="F1033" s="22" t="s">
        <v>41</v>
      </c>
      <c r="G1033" s="23" t="s">
        <v>193</v>
      </c>
      <c r="H1033" s="22" t="s">
        <v>194</v>
      </c>
      <c r="I1033" s="22" t="s">
        <v>155</v>
      </c>
      <c r="J1033" s="22" t="s">
        <v>3022</v>
      </c>
      <c r="K1033" s="24">
        <v>44652</v>
      </c>
      <c r="L1033" s="22"/>
      <c r="M1033" s="22"/>
      <c r="N1033" s="22"/>
      <c r="O1033" s="22"/>
      <c r="P1033" s="22"/>
      <c r="Q1033" s="22"/>
      <c r="R1033" s="22"/>
      <c r="S1033" s="23" t="s">
        <v>1339</v>
      </c>
      <c r="T1033" s="23"/>
      <c r="U1033" s="23"/>
      <c r="V1033" s="23"/>
      <c r="W1033" s="30">
        <v>38808</v>
      </c>
      <c r="X1033" s="30">
        <v>35674</v>
      </c>
      <c r="Y1033" s="30">
        <v>35674</v>
      </c>
      <c r="Z1033" s="31" t="str">
        <f t="shared" ca="1" si="72"/>
        <v>19 Tahun 6 Bulan 30 Hari</v>
      </c>
      <c r="AA1033" s="31" t="s">
        <v>76</v>
      </c>
      <c r="AB1033" s="32">
        <v>27103</v>
      </c>
      <c r="AC1033" s="31" t="s">
        <v>4601</v>
      </c>
      <c r="AD1033" s="22" t="str">
        <f t="shared" ca="1" si="73"/>
        <v xml:space="preserve">51 Tahun 7 Bulan </v>
      </c>
      <c r="AE1033" s="33" t="s">
        <v>4575</v>
      </c>
      <c r="AF1033" s="34"/>
      <c r="AG1033" s="22" t="s">
        <v>4457</v>
      </c>
      <c r="AH1033" s="22"/>
      <c r="AI1033" s="22"/>
      <c r="AJ1033" s="22"/>
      <c r="AK1033" s="33"/>
      <c r="AL1033" s="36"/>
    </row>
    <row r="1034" spans="1:39" ht="14.45" customHeight="1" x14ac:dyDescent="0.25">
      <c r="A1034" s="17">
        <v>2</v>
      </c>
      <c r="B1034" s="18"/>
      <c r="C1034" s="50" t="s">
        <v>4602</v>
      </c>
      <c r="D1034" s="20" t="s">
        <v>4603</v>
      </c>
      <c r="E1034" s="21" t="s">
        <v>40</v>
      </c>
      <c r="F1034" s="22" t="s">
        <v>41</v>
      </c>
      <c r="G1034" s="23" t="s">
        <v>2877</v>
      </c>
      <c r="H1034" s="22" t="s">
        <v>2878</v>
      </c>
      <c r="I1034" s="22" t="s">
        <v>155</v>
      </c>
      <c r="J1034" s="22" t="s">
        <v>3022</v>
      </c>
      <c r="K1034" s="24">
        <v>44835</v>
      </c>
      <c r="L1034" s="22"/>
      <c r="M1034" s="22"/>
      <c r="N1034" s="22"/>
      <c r="O1034" s="22"/>
      <c r="P1034" s="22"/>
      <c r="Q1034" s="22"/>
      <c r="R1034" s="22"/>
      <c r="S1034" s="23" t="s">
        <v>1339</v>
      </c>
      <c r="T1034" s="23"/>
      <c r="U1034" s="23"/>
      <c r="V1034" s="23"/>
      <c r="W1034" s="30">
        <v>40148</v>
      </c>
      <c r="X1034" s="30">
        <v>38108</v>
      </c>
      <c r="Y1034" s="30">
        <v>38108</v>
      </c>
      <c r="Z1034" s="31" t="str">
        <f t="shared" ca="1" si="72"/>
        <v>15 Tahun 10 Bulan 30 Hari</v>
      </c>
      <c r="AA1034" s="31" t="s">
        <v>76</v>
      </c>
      <c r="AB1034" s="32">
        <v>27395</v>
      </c>
      <c r="AC1034" s="32" t="s">
        <v>3024</v>
      </c>
      <c r="AD1034" s="22" t="str">
        <f t="shared" ca="1" si="73"/>
        <v xml:space="preserve">50 Tahun 9 Bulan </v>
      </c>
      <c r="AE1034" s="33" t="s">
        <v>4575</v>
      </c>
      <c r="AF1034" s="34"/>
      <c r="AG1034" s="22" t="s">
        <v>4457</v>
      </c>
      <c r="AH1034" s="22"/>
      <c r="AI1034" s="22"/>
      <c r="AJ1034" s="22"/>
      <c r="AK1034" s="33"/>
      <c r="AL1034" s="36"/>
      <c r="AM1034" s="14"/>
    </row>
    <row r="1035" spans="1:39" s="148" customFormat="1" ht="15" customHeight="1" x14ac:dyDescent="0.25">
      <c r="A1035" s="17">
        <v>3</v>
      </c>
      <c r="B1035" s="123"/>
      <c r="C1035" s="50" t="s">
        <v>4604</v>
      </c>
      <c r="D1035" s="20">
        <v>2023120753</v>
      </c>
      <c r="E1035" s="21" t="s">
        <v>40</v>
      </c>
      <c r="F1035" s="22" t="s">
        <v>1063</v>
      </c>
      <c r="G1035" s="23" t="s">
        <v>3872</v>
      </c>
      <c r="H1035" s="22" t="s">
        <v>3872</v>
      </c>
      <c r="I1035" s="22"/>
      <c r="J1035" s="22"/>
      <c r="K1035" s="24"/>
      <c r="L1035" s="25"/>
      <c r="M1035" s="26"/>
      <c r="N1035" s="26"/>
      <c r="O1035" s="27"/>
      <c r="P1035" s="25"/>
      <c r="Q1035" s="29"/>
      <c r="R1035" s="26"/>
      <c r="S1035" s="23" t="s">
        <v>2575</v>
      </c>
      <c r="T1035" s="23"/>
      <c r="U1035" s="23"/>
      <c r="V1035" s="23"/>
      <c r="W1035" s="30"/>
      <c r="X1035" s="30">
        <v>45261</v>
      </c>
      <c r="Y1035" s="30">
        <v>45261</v>
      </c>
      <c r="Z1035" s="31" t="str">
        <f ca="1">DATEDIF(X1035,TODAY(),"y")&amp;" Tahun "&amp;DATEDIF(X1035,TODAY(),"ym")&amp;" Bulan "&amp;DATEDIF(X1035,TODAY(),"md")&amp;" Hari"</f>
        <v>1 Tahun 10 Bulan 30 Hari</v>
      </c>
      <c r="AA1035" s="31" t="s">
        <v>76</v>
      </c>
      <c r="AB1035" s="32">
        <v>31568</v>
      </c>
      <c r="AC1035" s="32" t="s">
        <v>4605</v>
      </c>
      <c r="AD1035" s="22" t="str">
        <f t="shared" ref="AD1035:AD1040" ca="1" si="74">DATEDIF(AB1035,TODAY(),"y")&amp;" Tahun "&amp;DATEDIF(AB1035,TODAY(),"ym")&amp;" Bulan "</f>
        <v xml:space="preserve">39 Tahun 4 Bulan </v>
      </c>
      <c r="AE1035" s="33" t="s">
        <v>4575</v>
      </c>
      <c r="AF1035" s="34"/>
      <c r="AG1035" s="22" t="s">
        <v>4457</v>
      </c>
      <c r="AH1035" s="22"/>
      <c r="AI1035" s="22"/>
      <c r="AJ1035" s="22"/>
      <c r="AK1035" s="33"/>
      <c r="AL1035" s="36"/>
      <c r="AM1035" s="14"/>
    </row>
    <row r="1036" spans="1:39" s="148" customFormat="1" ht="15" customHeight="1" x14ac:dyDescent="0.25">
      <c r="A1036" s="17">
        <v>4</v>
      </c>
      <c r="B1036" s="78"/>
      <c r="C1036" s="50" t="s">
        <v>4606</v>
      </c>
      <c r="D1036" s="62" t="s">
        <v>6001</v>
      </c>
      <c r="E1036" s="21" t="s">
        <v>56</v>
      </c>
      <c r="F1036" s="22" t="s">
        <v>5691</v>
      </c>
      <c r="G1036" s="23" t="s">
        <v>3872</v>
      </c>
      <c r="H1036" s="22" t="s">
        <v>5692</v>
      </c>
      <c r="I1036" s="22" t="s">
        <v>155</v>
      </c>
      <c r="J1036" s="22" t="s">
        <v>5693</v>
      </c>
      <c r="K1036" s="30"/>
      <c r="L1036" s="25"/>
      <c r="M1036" s="29"/>
      <c r="N1036" s="26"/>
      <c r="O1036" s="27"/>
      <c r="P1036" s="28"/>
      <c r="Q1036" s="29"/>
      <c r="R1036" s="26"/>
      <c r="S1036" s="23" t="s">
        <v>2575</v>
      </c>
      <c r="T1036" s="23"/>
      <c r="U1036" s="23"/>
      <c r="V1036" s="23"/>
      <c r="W1036" s="30">
        <v>45931</v>
      </c>
      <c r="X1036" s="30">
        <v>45261</v>
      </c>
      <c r="Y1036" s="30">
        <v>45261</v>
      </c>
      <c r="Z1036" s="31" t="str">
        <f ca="1">DATEDIF(X1036,TODAY(),"y")&amp;" Tahun "&amp;DATEDIF(X1036,TODAY(),"ym")&amp;" Bulan "&amp;DATEDIF(X1036,TODAY(),"md")&amp;" Hari"</f>
        <v>1 Tahun 10 Bulan 30 Hari</v>
      </c>
      <c r="AA1036" s="31" t="s">
        <v>76</v>
      </c>
      <c r="AB1036" s="32">
        <v>34185</v>
      </c>
      <c r="AC1036" s="31" t="s">
        <v>6002</v>
      </c>
      <c r="AD1036" s="22" t="str">
        <f t="shared" ca="1" si="74"/>
        <v xml:space="preserve">32 Tahun 2 Bulan </v>
      </c>
      <c r="AE1036" s="33" t="s">
        <v>4575</v>
      </c>
      <c r="AF1036" s="34"/>
      <c r="AG1036" s="22" t="s">
        <v>4457</v>
      </c>
      <c r="AH1036" s="22"/>
      <c r="AI1036" s="22"/>
      <c r="AJ1036" s="22"/>
      <c r="AK1036" s="33"/>
      <c r="AL1036" s="36"/>
      <c r="AM1036" s="14"/>
    </row>
    <row r="1037" spans="1:39" s="148" customFormat="1" ht="15" x14ac:dyDescent="0.25">
      <c r="A1037" s="17">
        <v>5</v>
      </c>
      <c r="B1037" s="18"/>
      <c r="C1037" s="50" t="s">
        <v>4607</v>
      </c>
      <c r="D1037" s="20" t="s">
        <v>6003</v>
      </c>
      <c r="E1037" s="58" t="s">
        <v>40</v>
      </c>
      <c r="F1037" s="60" t="s">
        <v>238</v>
      </c>
      <c r="G1037" s="33" t="s">
        <v>3872</v>
      </c>
      <c r="H1037" s="60" t="s">
        <v>1078</v>
      </c>
      <c r="I1037" s="60" t="s">
        <v>155</v>
      </c>
      <c r="J1037" s="60" t="s">
        <v>5693</v>
      </c>
      <c r="K1037" s="30"/>
      <c r="L1037" s="60"/>
      <c r="M1037" s="60"/>
      <c r="N1037" s="60"/>
      <c r="O1037" s="60"/>
      <c r="P1037" s="60"/>
      <c r="Q1037" s="60"/>
      <c r="R1037" s="60"/>
      <c r="S1037" s="33" t="s">
        <v>2575</v>
      </c>
      <c r="T1037" s="33"/>
      <c r="U1037" s="33"/>
      <c r="V1037" s="33"/>
      <c r="W1037" s="30">
        <v>45931</v>
      </c>
      <c r="X1037" s="30">
        <v>45261</v>
      </c>
      <c r="Y1037" s="30">
        <v>45261</v>
      </c>
      <c r="Z1037" s="55" t="str">
        <f ca="1">DATEDIF(X1037,TODAY(),"y")&amp;" Tahun "&amp;DATEDIF(X1037,TODAY(),"ym")&amp;" Bulan "&amp;DATEDIF(X1037,TODAY(),"md")&amp;" Hari"</f>
        <v>1 Tahun 10 Bulan 30 Hari</v>
      </c>
      <c r="AA1037" s="55" t="s">
        <v>76</v>
      </c>
      <c r="AB1037" s="56">
        <v>29985</v>
      </c>
      <c r="AC1037" s="31" t="s">
        <v>6004</v>
      </c>
      <c r="AD1037" s="57" t="str">
        <f t="shared" ca="1" si="74"/>
        <v xml:space="preserve">43 Tahun 8 Bulan </v>
      </c>
      <c r="AE1037" s="33" t="s">
        <v>4575</v>
      </c>
      <c r="AF1037" s="34"/>
      <c r="AG1037" s="22" t="s">
        <v>4457</v>
      </c>
      <c r="AH1037" s="22"/>
      <c r="AI1037" s="22"/>
      <c r="AJ1037" s="22"/>
      <c r="AK1037" s="33"/>
      <c r="AL1037" s="36"/>
      <c r="AM1037" s="13"/>
    </row>
    <row r="1038" spans="1:39" ht="14.45" customHeight="1" x14ac:dyDescent="0.25">
      <c r="A1038" s="17">
        <v>6</v>
      </c>
      <c r="B1038" s="18"/>
      <c r="C1038" s="50" t="s">
        <v>4608</v>
      </c>
      <c r="D1038" s="20" t="s">
        <v>4609</v>
      </c>
      <c r="E1038" s="52" t="s">
        <v>56</v>
      </c>
      <c r="F1038" s="58" t="s">
        <v>41</v>
      </c>
      <c r="G1038" s="23" t="s">
        <v>42</v>
      </c>
      <c r="H1038" s="22" t="s">
        <v>43</v>
      </c>
      <c r="I1038" s="22" t="s">
        <v>44</v>
      </c>
      <c r="J1038" s="22" t="s">
        <v>148</v>
      </c>
      <c r="K1038" s="24">
        <v>43009</v>
      </c>
      <c r="L1038" s="25" t="s">
        <v>4610</v>
      </c>
      <c r="M1038" s="26">
        <v>42717</v>
      </c>
      <c r="N1038" s="26">
        <v>44385</v>
      </c>
      <c r="O1038" s="27" t="s">
        <v>1162</v>
      </c>
      <c r="P1038" s="28" t="s">
        <v>4611</v>
      </c>
      <c r="Q1038" s="29">
        <v>42935</v>
      </c>
      <c r="R1038" s="26">
        <v>44385</v>
      </c>
      <c r="S1038" s="23" t="s">
        <v>1164</v>
      </c>
      <c r="T1038" s="23"/>
      <c r="U1038" s="23"/>
      <c r="V1038" s="23"/>
      <c r="W1038" s="30">
        <v>32203</v>
      </c>
      <c r="X1038" s="30">
        <v>32203</v>
      </c>
      <c r="Y1038" s="30">
        <v>37681</v>
      </c>
      <c r="Z1038" s="55" t="str">
        <f ca="1">DATEDIF(W1038,TODAY(),"y")&amp;" Tahun "&amp;DATEDIF(W1038,TODAY(),"ym")&amp;" Bulan "&amp;DATEDIF(W1038,TODAY(),"md")&amp;" Hari"</f>
        <v>37 Tahun 7 Bulan 30 Hari</v>
      </c>
      <c r="AA1038" s="66" t="s">
        <v>76</v>
      </c>
      <c r="AB1038" s="56">
        <v>24661</v>
      </c>
      <c r="AC1038" s="32" t="s">
        <v>4612</v>
      </c>
      <c r="AD1038" s="57" t="str">
        <f t="shared" ca="1" si="74"/>
        <v xml:space="preserve">58 Tahun 3 Bulan </v>
      </c>
      <c r="AE1038" s="33" t="s">
        <v>4613</v>
      </c>
      <c r="AF1038" s="71"/>
      <c r="AG1038" s="58" t="s">
        <v>4614</v>
      </c>
      <c r="AH1038" s="22"/>
      <c r="AI1038" s="22"/>
      <c r="AJ1038" s="22"/>
      <c r="AK1038" s="33"/>
      <c r="AL1038" s="36"/>
    </row>
    <row r="1039" spans="1:39" ht="14.45" customHeight="1" x14ac:dyDescent="0.25">
      <c r="A1039" s="17">
        <v>1</v>
      </c>
      <c r="B1039" s="18"/>
      <c r="C1039" s="50" t="s">
        <v>4615</v>
      </c>
      <c r="D1039" s="20" t="s">
        <v>4616</v>
      </c>
      <c r="E1039" s="52" t="s">
        <v>40</v>
      </c>
      <c r="F1039" s="22" t="s">
        <v>41</v>
      </c>
      <c r="G1039" s="23" t="s">
        <v>42</v>
      </c>
      <c r="H1039" s="22" t="s">
        <v>43</v>
      </c>
      <c r="I1039" s="22" t="s">
        <v>44</v>
      </c>
      <c r="J1039" s="22" t="s">
        <v>148</v>
      </c>
      <c r="K1039" s="24">
        <v>45200</v>
      </c>
      <c r="L1039" s="53" t="s">
        <v>4617</v>
      </c>
      <c r="M1039" s="26">
        <v>43117</v>
      </c>
      <c r="N1039" s="26">
        <v>45054</v>
      </c>
      <c r="O1039" s="27" t="s">
        <v>84</v>
      </c>
      <c r="P1039" s="53" t="s">
        <v>4618</v>
      </c>
      <c r="Q1039" s="26">
        <v>43192</v>
      </c>
      <c r="R1039" s="29">
        <v>45054</v>
      </c>
      <c r="S1039" s="23" t="s">
        <v>170</v>
      </c>
      <c r="T1039" s="23"/>
      <c r="U1039" s="23"/>
      <c r="V1039" s="23"/>
      <c r="W1039" s="30">
        <v>33664</v>
      </c>
      <c r="X1039" s="30">
        <v>33664</v>
      </c>
      <c r="Y1039" s="30">
        <v>41791</v>
      </c>
      <c r="Z1039" s="55" t="str">
        <f ca="1">DATEDIF(W1039,TODAY(),"y")&amp;" Tahun "&amp;DATEDIF(W1039,TODAY(),"ym")&amp;" Bulan "&amp;DATEDIF(W1039,TODAY(),"md")&amp;" Hari"</f>
        <v>33 Tahun 7 Bulan 30 Hari</v>
      </c>
      <c r="AA1039" s="55" t="s">
        <v>471</v>
      </c>
      <c r="AB1039" s="56">
        <v>26061</v>
      </c>
      <c r="AC1039" s="32" t="s">
        <v>4619</v>
      </c>
      <c r="AD1039" s="57" t="str">
        <f t="shared" ca="1" si="74"/>
        <v xml:space="preserve">54 Tahun 5 Bulan </v>
      </c>
      <c r="AE1039" s="33" t="s">
        <v>4613</v>
      </c>
      <c r="AF1039" s="79"/>
      <c r="AG1039" s="58" t="s">
        <v>4614</v>
      </c>
      <c r="AH1039" s="22"/>
      <c r="AI1039" s="22"/>
      <c r="AJ1039" s="22"/>
      <c r="AK1039" s="33"/>
      <c r="AL1039" s="36"/>
      <c r="AM1039" s="14"/>
    </row>
    <row r="1040" spans="1:39" s="148" customFormat="1" ht="15" x14ac:dyDescent="0.25">
      <c r="A1040" s="17">
        <v>2</v>
      </c>
      <c r="B1040" s="76"/>
      <c r="C1040" s="50" t="s">
        <v>4620</v>
      </c>
      <c r="D1040" s="20" t="s">
        <v>4621</v>
      </c>
      <c r="E1040" s="52" t="s">
        <v>56</v>
      </c>
      <c r="F1040" s="58" t="s">
        <v>41</v>
      </c>
      <c r="G1040" s="23" t="s">
        <v>42</v>
      </c>
      <c r="H1040" s="22" t="s">
        <v>43</v>
      </c>
      <c r="I1040" s="22" t="s">
        <v>44</v>
      </c>
      <c r="J1040" s="22" t="s">
        <v>148</v>
      </c>
      <c r="K1040" s="24">
        <v>45200</v>
      </c>
      <c r="L1040" s="53" t="s">
        <v>4622</v>
      </c>
      <c r="M1040" s="26">
        <v>43047</v>
      </c>
      <c r="N1040" s="26">
        <v>44773</v>
      </c>
      <c r="O1040" s="27" t="s">
        <v>84</v>
      </c>
      <c r="P1040" s="53" t="s">
        <v>4623</v>
      </c>
      <c r="Q1040" s="26">
        <v>43305</v>
      </c>
      <c r="R1040" s="29">
        <v>44773</v>
      </c>
      <c r="S1040" s="23" t="s">
        <v>84</v>
      </c>
      <c r="T1040" s="23"/>
      <c r="U1040" s="23"/>
      <c r="V1040" s="23"/>
      <c r="W1040" s="30">
        <v>35855</v>
      </c>
      <c r="X1040" s="30">
        <v>35855</v>
      </c>
      <c r="Y1040" s="30">
        <v>43887</v>
      </c>
      <c r="Z1040" s="55" t="str">
        <f ca="1">DATEDIF(W1040,TODAY(),"y")&amp;" Tahun "&amp;DATEDIF(W1040,TODAY(),"ym")&amp;" Bulan "&amp;DATEDIF(W1040,TODAY(),"md")&amp;" Hari"</f>
        <v>27 Tahun 7 Bulan 30 Hari</v>
      </c>
      <c r="AA1040" s="66" t="s">
        <v>76</v>
      </c>
      <c r="AB1040" s="56">
        <v>27329</v>
      </c>
      <c r="AC1040" s="31" t="s">
        <v>4624</v>
      </c>
      <c r="AD1040" s="57" t="str">
        <f t="shared" ca="1" si="74"/>
        <v xml:space="preserve">51 Tahun 0 Bulan </v>
      </c>
      <c r="AE1040" s="61" t="s">
        <v>4613</v>
      </c>
      <c r="AF1040" s="71"/>
      <c r="AG1040" s="22" t="s">
        <v>4614</v>
      </c>
      <c r="AH1040" s="22"/>
      <c r="AI1040" s="22"/>
      <c r="AJ1040" s="22"/>
      <c r="AK1040" s="33"/>
      <c r="AL1040" s="36"/>
      <c r="AM1040" s="14"/>
    </row>
    <row r="1041" spans="1:39" s="148" customFormat="1" ht="15" x14ac:dyDescent="0.25">
      <c r="A1041" s="17">
        <v>3</v>
      </c>
      <c r="B1041" s="18"/>
      <c r="C1041" s="50" t="s">
        <v>4625</v>
      </c>
      <c r="D1041" s="20" t="s">
        <v>4626</v>
      </c>
      <c r="E1041" s="22" t="s">
        <v>40</v>
      </c>
      <c r="F1041" s="22" t="s">
        <v>41</v>
      </c>
      <c r="G1041" s="23" t="s">
        <v>137</v>
      </c>
      <c r="H1041" s="22" t="s">
        <v>138</v>
      </c>
      <c r="I1041" s="22" t="s">
        <v>44</v>
      </c>
      <c r="J1041" s="22" t="s">
        <v>139</v>
      </c>
      <c r="K1041" s="24">
        <v>44287</v>
      </c>
      <c r="L1041" s="23"/>
      <c r="M1041" s="26"/>
      <c r="N1041" s="26"/>
      <c r="O1041" s="23"/>
      <c r="P1041" s="23"/>
      <c r="Q1041" s="22"/>
      <c r="R1041" s="43"/>
      <c r="S1041" s="23" t="s">
        <v>140</v>
      </c>
      <c r="T1041" s="23"/>
      <c r="U1041" s="23"/>
      <c r="V1041" s="23"/>
      <c r="W1041" s="30">
        <v>39845</v>
      </c>
      <c r="X1041" s="30">
        <v>41791</v>
      </c>
      <c r="Y1041" s="30">
        <v>43966</v>
      </c>
      <c r="Z1041" s="55" t="str">
        <f ca="1">DATEDIF(X1041,TODAY(),"y")&amp;" Tahun "&amp;DATEDIF(X1041,TODAY(),"ym")&amp;" Bulan "&amp;DATEDIF(X1041,TODAY(),"md")&amp;" Hari"</f>
        <v>11 Tahun 4 Bulan 30 Hari</v>
      </c>
      <c r="AA1041" s="55" t="s">
        <v>97</v>
      </c>
      <c r="AB1041" s="56">
        <v>28480</v>
      </c>
      <c r="AC1041" s="31" t="s">
        <v>4627</v>
      </c>
      <c r="AD1041" s="57" t="str">
        <f t="shared" ref="AD1041:AD1060" ca="1" si="75">DATEDIF(AB1041,TODAY(),"y")&amp;" Tahun "&amp;DATEDIF(AB1041,TODAY(),"ym")&amp;" Bulan "</f>
        <v xml:space="preserve">47 Tahun 10 Bulan </v>
      </c>
      <c r="AE1041" s="23" t="s">
        <v>4628</v>
      </c>
      <c r="AF1041" s="71"/>
      <c r="AG1041" s="22" t="s">
        <v>4629</v>
      </c>
      <c r="AH1041" s="22"/>
      <c r="AI1041" s="22"/>
      <c r="AJ1041" s="22"/>
      <c r="AK1041" s="33"/>
      <c r="AL1041" s="36"/>
      <c r="AM1041" s="13"/>
    </row>
    <row r="1042" spans="1:39" ht="14.45" customHeight="1" x14ac:dyDescent="0.25">
      <c r="A1042" s="17">
        <v>4</v>
      </c>
      <c r="B1042" s="18"/>
      <c r="C1042" s="19" t="s">
        <v>4631</v>
      </c>
      <c r="D1042" s="20" t="s">
        <v>4632</v>
      </c>
      <c r="E1042" s="21" t="s">
        <v>56</v>
      </c>
      <c r="F1042" s="22" t="s">
        <v>41</v>
      </c>
      <c r="G1042" s="33" t="s">
        <v>42</v>
      </c>
      <c r="H1042" s="22" t="s">
        <v>43</v>
      </c>
      <c r="I1042" s="22" t="s">
        <v>44</v>
      </c>
      <c r="J1042" s="22" t="s">
        <v>4633</v>
      </c>
      <c r="K1042" s="24">
        <v>44188</v>
      </c>
      <c r="L1042" s="23"/>
      <c r="M1042" s="23"/>
      <c r="N1042" s="29"/>
      <c r="O1042" s="23"/>
      <c r="P1042" s="23"/>
      <c r="Q1042" s="22"/>
      <c r="R1042" s="43"/>
      <c r="S1042" s="23" t="s">
        <v>140</v>
      </c>
      <c r="T1042" s="23"/>
      <c r="U1042" s="23"/>
      <c r="V1042" s="23"/>
      <c r="W1042" s="30">
        <v>35855</v>
      </c>
      <c r="X1042" s="30">
        <v>35521</v>
      </c>
      <c r="Y1042" s="30">
        <v>43966</v>
      </c>
      <c r="Z1042" s="31" t="str">
        <f ca="1">DATEDIF(W1042,TODAY(),"y")&amp;" Tahun "&amp;DATEDIF(W1042,TODAY(),"ym")&amp;" Bulan "&amp;DATEDIF(W1042,TODAY(),"md")&amp;" Hari"</f>
        <v>27 Tahun 7 Bulan 30 Hari</v>
      </c>
      <c r="AA1042" s="31" t="s">
        <v>76</v>
      </c>
      <c r="AB1042" s="32">
        <v>24894</v>
      </c>
      <c r="AC1042" s="31" t="s">
        <v>4634</v>
      </c>
      <c r="AD1042" s="22" t="str">
        <f t="shared" ca="1" si="75"/>
        <v xml:space="preserve">57 Tahun 8 Bulan </v>
      </c>
      <c r="AE1042" s="23" t="s">
        <v>242</v>
      </c>
      <c r="AF1042" s="34"/>
      <c r="AG1042" s="22" t="s">
        <v>4629</v>
      </c>
      <c r="AH1042" s="22"/>
      <c r="AI1042" s="22"/>
      <c r="AJ1042" s="22"/>
      <c r="AK1042" s="33"/>
      <c r="AL1042" s="36"/>
    </row>
    <row r="1043" spans="1:39" ht="14.45" customHeight="1" x14ac:dyDescent="0.25">
      <c r="A1043" s="17">
        <v>5</v>
      </c>
      <c r="B1043" s="18"/>
      <c r="C1043" s="50" t="s">
        <v>4635</v>
      </c>
      <c r="D1043" s="20" t="s">
        <v>4636</v>
      </c>
      <c r="E1043" s="58" t="s">
        <v>40</v>
      </c>
      <c r="F1043" s="22" t="s">
        <v>238</v>
      </c>
      <c r="G1043" s="33" t="s">
        <v>3872</v>
      </c>
      <c r="H1043" s="22" t="s">
        <v>239</v>
      </c>
      <c r="I1043" s="22" t="s">
        <v>44</v>
      </c>
      <c r="J1043" s="22" t="s">
        <v>240</v>
      </c>
      <c r="K1043" s="30"/>
      <c r="L1043" s="22"/>
      <c r="M1043" s="22"/>
      <c r="N1043" s="22"/>
      <c r="O1043" s="22"/>
      <c r="P1043" s="22"/>
      <c r="Q1043" s="22"/>
      <c r="R1043" s="22"/>
      <c r="S1043" s="23" t="s">
        <v>140</v>
      </c>
      <c r="T1043" s="23"/>
      <c r="U1043" s="23"/>
      <c r="V1043" s="23"/>
      <c r="W1043" s="77">
        <v>45261</v>
      </c>
      <c r="X1043" s="30">
        <v>42370</v>
      </c>
      <c r="Y1043" s="30">
        <v>44069</v>
      </c>
      <c r="Z1043" s="55" t="str">
        <f ca="1">DATEDIF(X1043,TODAY(),"y")&amp;" Tahun "&amp;DATEDIF(X1043,TODAY(),"ym")&amp;" Bulan "&amp;DATEDIF(X1043,TODAY(),"md")&amp;" Hari"</f>
        <v>9 Tahun 9 Bulan 30 Hari</v>
      </c>
      <c r="AA1043" s="55" t="s">
        <v>1540</v>
      </c>
      <c r="AB1043" s="56">
        <v>31781</v>
      </c>
      <c r="AC1043" s="31" t="s">
        <v>4637</v>
      </c>
      <c r="AD1043" s="57" t="str">
        <f t="shared" ca="1" si="75"/>
        <v xml:space="preserve">38 Tahun 9 Bulan </v>
      </c>
      <c r="AE1043" s="33" t="s">
        <v>242</v>
      </c>
      <c r="AF1043" s="34"/>
      <c r="AG1043" s="22" t="s">
        <v>4629</v>
      </c>
      <c r="AH1043" s="22"/>
      <c r="AI1043" s="22"/>
      <c r="AJ1043" s="22"/>
      <c r="AK1043" s="33"/>
      <c r="AL1043" s="36"/>
      <c r="AM1043" s="14"/>
    </row>
    <row r="1044" spans="1:39" ht="14.45" customHeight="1" x14ac:dyDescent="0.25">
      <c r="A1044" s="17">
        <v>6</v>
      </c>
      <c r="B1044" s="76"/>
      <c r="C1044" s="50" t="s">
        <v>4638</v>
      </c>
      <c r="D1044" s="20" t="s">
        <v>4639</v>
      </c>
      <c r="E1044" s="58" t="s">
        <v>56</v>
      </c>
      <c r="F1044" s="22" t="s">
        <v>238</v>
      </c>
      <c r="G1044" s="33" t="s">
        <v>3872</v>
      </c>
      <c r="H1044" s="22" t="s">
        <v>239</v>
      </c>
      <c r="I1044" s="22" t="s">
        <v>44</v>
      </c>
      <c r="J1044" s="22" t="s">
        <v>240</v>
      </c>
      <c r="K1044" s="30"/>
      <c r="L1044" s="22"/>
      <c r="M1044" s="22"/>
      <c r="N1044" s="22"/>
      <c r="O1044" s="22"/>
      <c r="P1044" s="22"/>
      <c r="Q1044" s="22"/>
      <c r="R1044" s="22"/>
      <c r="S1044" s="23" t="s">
        <v>202</v>
      </c>
      <c r="T1044" s="23"/>
      <c r="U1044" s="23"/>
      <c r="V1044" s="23"/>
      <c r="W1044" s="77">
        <v>45261</v>
      </c>
      <c r="X1044" s="30">
        <v>45261</v>
      </c>
      <c r="Y1044" s="30">
        <v>45261</v>
      </c>
      <c r="Z1044" s="55" t="str">
        <f ca="1">DATEDIF(X1044,TODAY(),"y")&amp;" Tahun "&amp;DATEDIF(X1044,TODAY(),"ym")&amp;" Bulan "&amp;DATEDIF(X1044,TODAY(),"md")&amp;" Hari"</f>
        <v>1 Tahun 10 Bulan 30 Hari</v>
      </c>
      <c r="AA1044" s="55" t="s">
        <v>1048</v>
      </c>
      <c r="AB1044" s="56">
        <v>33426</v>
      </c>
      <c r="AC1044" s="31" t="s">
        <v>4640</v>
      </c>
      <c r="AD1044" s="57" t="str">
        <f t="shared" ca="1" si="75"/>
        <v xml:space="preserve">34 Tahun 3 Bulan </v>
      </c>
      <c r="AE1044" s="33" t="s">
        <v>4641</v>
      </c>
      <c r="AF1044" s="34"/>
      <c r="AG1044" s="22" t="s">
        <v>4629</v>
      </c>
      <c r="AH1044" s="22"/>
      <c r="AI1044" s="22"/>
      <c r="AJ1044" s="22"/>
      <c r="AK1044" s="33"/>
      <c r="AL1044" s="36"/>
      <c r="AM1044" s="14"/>
    </row>
    <row r="1045" spans="1:39" ht="14.45" customHeight="1" x14ac:dyDescent="0.25">
      <c r="A1045" s="17">
        <v>7</v>
      </c>
      <c r="B1045" s="18"/>
      <c r="C1045" s="50" t="s">
        <v>4643</v>
      </c>
      <c r="D1045" s="20" t="s">
        <v>4644</v>
      </c>
      <c r="E1045" s="22" t="s">
        <v>56</v>
      </c>
      <c r="F1045" s="22" t="s">
        <v>238</v>
      </c>
      <c r="G1045" s="23" t="s">
        <v>3872</v>
      </c>
      <c r="H1045" s="22" t="s">
        <v>239</v>
      </c>
      <c r="I1045" s="22" t="s">
        <v>44</v>
      </c>
      <c r="J1045" s="22" t="s">
        <v>4645</v>
      </c>
      <c r="K1045" s="30"/>
      <c r="L1045" s="25"/>
      <c r="M1045" s="29"/>
      <c r="N1045" s="26"/>
      <c r="O1045" s="27"/>
      <c r="P1045" s="22"/>
      <c r="Q1045" s="22"/>
      <c r="R1045" s="22"/>
      <c r="S1045" s="23" t="s">
        <v>1391</v>
      </c>
      <c r="T1045" s="23"/>
      <c r="U1045" s="23"/>
      <c r="V1045" s="23"/>
      <c r="W1045" s="30">
        <v>45261</v>
      </c>
      <c r="X1045" s="30">
        <v>45261</v>
      </c>
      <c r="Y1045" s="30">
        <v>45261</v>
      </c>
      <c r="Z1045" s="31" t="str">
        <f ca="1">DATEDIF(X1045,TODAY(),"y")&amp;" Tahun "&amp;DATEDIF(X1045,TODAY(),"ym")&amp;" Bulan "&amp;DATEDIF(X1045,TODAY(),"md")&amp;" Hari"</f>
        <v>1 Tahun 10 Bulan 30 Hari</v>
      </c>
      <c r="AA1045" s="31" t="s">
        <v>76</v>
      </c>
      <c r="AB1045" s="32">
        <v>31211</v>
      </c>
      <c r="AC1045" s="31" t="s">
        <v>4646</v>
      </c>
      <c r="AD1045" s="22" t="str">
        <f t="shared" ca="1" si="75"/>
        <v xml:space="preserve">40 Tahun 4 Bulan </v>
      </c>
      <c r="AE1045" s="33" t="s">
        <v>4641</v>
      </c>
      <c r="AF1045" s="34"/>
      <c r="AG1045" s="22" t="s">
        <v>4629</v>
      </c>
      <c r="AH1045" s="22"/>
      <c r="AI1045" s="22"/>
      <c r="AJ1045" s="22"/>
      <c r="AK1045" s="33"/>
      <c r="AL1045" s="36"/>
    </row>
    <row r="1046" spans="1:39" ht="14.45" customHeight="1" x14ac:dyDescent="0.25">
      <c r="A1046" s="17">
        <v>8</v>
      </c>
      <c r="B1046" s="18"/>
      <c r="C1046" s="50" t="s">
        <v>4647</v>
      </c>
      <c r="D1046" s="20" t="s">
        <v>4648</v>
      </c>
      <c r="E1046" s="52" t="s">
        <v>56</v>
      </c>
      <c r="F1046" s="22" t="s">
        <v>41</v>
      </c>
      <c r="G1046" s="23" t="s">
        <v>137</v>
      </c>
      <c r="H1046" s="60" t="s">
        <v>138</v>
      </c>
      <c r="I1046" s="60" t="s">
        <v>44</v>
      </c>
      <c r="J1046" s="22" t="s">
        <v>139</v>
      </c>
      <c r="K1046" s="24">
        <v>45505</v>
      </c>
      <c r="L1046" s="22"/>
      <c r="M1046" s="22"/>
      <c r="N1046" s="22"/>
      <c r="O1046" s="22"/>
      <c r="P1046" s="22"/>
      <c r="Q1046" s="22"/>
      <c r="R1046" s="22"/>
      <c r="S1046" s="23" t="s">
        <v>140</v>
      </c>
      <c r="T1046" s="23"/>
      <c r="U1046" s="23"/>
      <c r="V1046" s="23"/>
      <c r="W1046" s="30">
        <v>38808</v>
      </c>
      <c r="X1046" s="30">
        <v>35765</v>
      </c>
      <c r="Y1046" s="30">
        <v>43966</v>
      </c>
      <c r="Z1046" s="55" t="str">
        <f ca="1">DATEDIF(W1046,TODAY(),"y")&amp;" Tahun "&amp;DATEDIF(W1046,TODAY(),"ym")&amp;" Bulan "&amp;DATEDIF(W1046,TODAY(),"md")&amp;" Hari"</f>
        <v>19 Tahun 6 Bulan 30 Hari</v>
      </c>
      <c r="AA1046" s="55" t="s">
        <v>97</v>
      </c>
      <c r="AB1046" s="56">
        <v>25841</v>
      </c>
      <c r="AC1046" s="31" t="s">
        <v>4649</v>
      </c>
      <c r="AD1046" s="57" t="str">
        <f t="shared" ca="1" si="75"/>
        <v xml:space="preserve">55 Tahun 1 Bulan </v>
      </c>
      <c r="AE1046" s="23" t="s">
        <v>4650</v>
      </c>
      <c r="AF1046" s="34"/>
      <c r="AG1046" s="22" t="s">
        <v>4629</v>
      </c>
      <c r="AH1046" s="22"/>
      <c r="AI1046" s="22"/>
      <c r="AJ1046" s="22"/>
      <c r="AK1046" s="33"/>
      <c r="AL1046" s="36"/>
    </row>
    <row r="1047" spans="1:39" ht="14.45" customHeight="1" x14ac:dyDescent="0.25">
      <c r="A1047" s="17">
        <v>9</v>
      </c>
      <c r="B1047" s="18"/>
      <c r="C1047" s="50" t="s">
        <v>6005</v>
      </c>
      <c r="D1047" s="20" t="s">
        <v>6006</v>
      </c>
      <c r="E1047" s="22" t="s">
        <v>56</v>
      </c>
      <c r="F1047" s="22" t="s">
        <v>238</v>
      </c>
      <c r="G1047" s="33" t="s">
        <v>3872</v>
      </c>
      <c r="H1047" s="22" t="s">
        <v>239</v>
      </c>
      <c r="I1047" s="22" t="s">
        <v>44</v>
      </c>
      <c r="J1047" s="22" t="s">
        <v>4645</v>
      </c>
      <c r="K1047" s="30"/>
      <c r="L1047" s="22"/>
      <c r="M1047" s="22"/>
      <c r="N1047" s="22"/>
      <c r="O1047" s="22"/>
      <c r="P1047" s="22"/>
      <c r="Q1047" s="22"/>
      <c r="R1047" s="22"/>
      <c r="S1047" s="33" t="s">
        <v>202</v>
      </c>
      <c r="T1047" s="33"/>
      <c r="U1047" s="33"/>
      <c r="V1047" s="33"/>
      <c r="W1047" s="30">
        <v>45931</v>
      </c>
      <c r="X1047" s="30">
        <v>42095</v>
      </c>
      <c r="Y1047" s="30">
        <v>42114</v>
      </c>
      <c r="Z1047" s="31" t="str">
        <f ca="1">DATEDIF(X1047,TODAY(),"y")&amp;" Tahun "&amp;DATEDIF(X1047,TODAY(),"ym")&amp;" Bulan "&amp;DATEDIF(X1047,TODAY(),"md")&amp;" Hari"</f>
        <v>10 Tahun 6 Bulan 30 Hari</v>
      </c>
      <c r="AA1047" s="31" t="s">
        <v>297</v>
      </c>
      <c r="AB1047" s="32">
        <v>30929</v>
      </c>
      <c r="AC1047" s="31" t="s">
        <v>6007</v>
      </c>
      <c r="AD1047" s="22" t="str">
        <f t="shared" ca="1" si="75"/>
        <v xml:space="preserve">41 Tahun 1 Bulan </v>
      </c>
      <c r="AE1047" s="33" t="s">
        <v>242</v>
      </c>
      <c r="AF1047" s="34"/>
      <c r="AG1047" s="22" t="s">
        <v>4629</v>
      </c>
      <c r="AH1047" s="22"/>
      <c r="AI1047" s="22"/>
      <c r="AJ1047" s="22"/>
      <c r="AK1047" s="33"/>
      <c r="AL1047" s="36"/>
    </row>
    <row r="1048" spans="1:39" ht="14.45" customHeight="1" x14ac:dyDescent="0.25">
      <c r="A1048" s="17">
        <v>10</v>
      </c>
      <c r="B1048" s="18"/>
      <c r="C1048" s="50" t="s">
        <v>4652</v>
      </c>
      <c r="D1048" s="20" t="s">
        <v>6008</v>
      </c>
      <c r="E1048" s="52" t="s">
        <v>40</v>
      </c>
      <c r="F1048" s="58" t="s">
        <v>5691</v>
      </c>
      <c r="G1048" s="23" t="s">
        <v>3872</v>
      </c>
      <c r="H1048" s="22" t="s">
        <v>5692</v>
      </c>
      <c r="I1048" s="22" t="s">
        <v>155</v>
      </c>
      <c r="J1048" s="22" t="s">
        <v>5693</v>
      </c>
      <c r="K1048" s="22"/>
      <c r="L1048" s="22"/>
      <c r="M1048" s="22"/>
      <c r="N1048" s="22"/>
      <c r="O1048" s="22"/>
      <c r="P1048" s="22"/>
      <c r="Q1048" s="22"/>
      <c r="R1048" s="22"/>
      <c r="S1048" s="23" t="s">
        <v>202</v>
      </c>
      <c r="T1048" s="23"/>
      <c r="U1048" s="23"/>
      <c r="V1048" s="23"/>
      <c r="W1048" s="77">
        <v>45931</v>
      </c>
      <c r="X1048" s="30">
        <v>45261</v>
      </c>
      <c r="Y1048" s="30">
        <v>45261</v>
      </c>
      <c r="Z1048" s="55" t="str">
        <f ca="1">DATEDIF(X1048,TODAY(),"y")&amp;" Tahun "&amp;DATEDIF(X1048,TODAY(),"ym")&amp;" Bulan "&amp;DATEDIF(X1048,TODAY(),"md")&amp;" Hari"</f>
        <v>1 Tahun 10 Bulan 30 Hari</v>
      </c>
      <c r="AA1048" s="66" t="s">
        <v>76</v>
      </c>
      <c r="AB1048" s="56">
        <v>31659</v>
      </c>
      <c r="AC1048" s="31" t="s">
        <v>6009</v>
      </c>
      <c r="AD1048" s="57" t="str">
        <f t="shared" ca="1" si="75"/>
        <v xml:space="preserve">39 Tahun 1 Bulan </v>
      </c>
      <c r="AE1048" s="33" t="s">
        <v>4641</v>
      </c>
      <c r="AF1048" s="71"/>
      <c r="AG1048" s="22" t="s">
        <v>4629</v>
      </c>
      <c r="AH1048" s="22"/>
      <c r="AI1048" s="22"/>
      <c r="AJ1048" s="22"/>
      <c r="AK1048" s="33"/>
      <c r="AL1048" s="36"/>
    </row>
    <row r="1049" spans="1:39" ht="14.45" customHeight="1" x14ac:dyDescent="0.25">
      <c r="A1049" s="115">
        <v>1</v>
      </c>
      <c r="B1049" s="18"/>
      <c r="C1049" s="50" t="s">
        <v>6010</v>
      </c>
      <c r="D1049" s="20" t="s">
        <v>6011</v>
      </c>
      <c r="E1049" s="52" t="s">
        <v>40</v>
      </c>
      <c r="F1049" s="22" t="s">
        <v>238</v>
      </c>
      <c r="G1049" s="33" t="s">
        <v>3872</v>
      </c>
      <c r="H1049" s="22" t="s">
        <v>239</v>
      </c>
      <c r="I1049" s="60" t="s">
        <v>44</v>
      </c>
      <c r="J1049" s="60" t="s">
        <v>5074</v>
      </c>
      <c r="K1049" s="22"/>
      <c r="L1049" s="22"/>
      <c r="M1049" s="22"/>
      <c r="N1049" s="22"/>
      <c r="O1049" s="22"/>
      <c r="P1049" s="22"/>
      <c r="Q1049" s="22"/>
      <c r="R1049" s="22"/>
      <c r="S1049" s="23" t="s">
        <v>299</v>
      </c>
      <c r="T1049" s="23"/>
      <c r="U1049" s="23"/>
      <c r="V1049" s="23"/>
      <c r="W1049" s="77">
        <v>45931</v>
      </c>
      <c r="X1049" s="30">
        <v>39965</v>
      </c>
      <c r="Y1049" s="30">
        <v>39965</v>
      </c>
      <c r="Z1049" s="55" t="str">
        <f ca="1">DATEDIF(X1049,TODAY(),"y")&amp;" Tahun "&amp;DATEDIF(X1049,TODAY(),"ym")&amp;" Bulan "&amp;DATEDIF(X1049,TODAY(),"md")&amp;" Hari"</f>
        <v>16 Tahun 4 Bulan 30 Hari</v>
      </c>
      <c r="AA1049" s="31" t="s">
        <v>76</v>
      </c>
      <c r="AB1049" s="32">
        <v>30745</v>
      </c>
      <c r="AC1049" s="31" t="s">
        <v>6012</v>
      </c>
      <c r="AD1049" s="57" t="str">
        <f t="shared" ca="1" si="75"/>
        <v xml:space="preserve">41 Tahun 7 Bulan </v>
      </c>
      <c r="AE1049" s="33" t="s">
        <v>1069</v>
      </c>
      <c r="AF1049" s="71"/>
      <c r="AG1049" s="22" t="s">
        <v>4629</v>
      </c>
      <c r="AH1049" s="22"/>
      <c r="AI1049" s="22"/>
      <c r="AJ1049" s="22"/>
      <c r="AK1049" s="33"/>
      <c r="AL1049" s="36"/>
    </row>
    <row r="1050" spans="1:39" ht="14.45" customHeight="1" x14ac:dyDescent="0.25">
      <c r="A1050" s="18">
        <v>2</v>
      </c>
      <c r="B1050" s="18"/>
      <c r="C1050" s="50" t="s">
        <v>4654</v>
      </c>
      <c r="D1050" s="20" t="s">
        <v>4655</v>
      </c>
      <c r="E1050" s="52" t="s">
        <v>56</v>
      </c>
      <c r="F1050" s="22" t="s">
        <v>41</v>
      </c>
      <c r="G1050" s="23" t="s">
        <v>2877</v>
      </c>
      <c r="H1050" s="22" t="s">
        <v>2878</v>
      </c>
      <c r="I1050" s="22" t="s">
        <v>44</v>
      </c>
      <c r="J1050" s="22" t="s">
        <v>4656</v>
      </c>
      <c r="K1050" s="24">
        <v>44292</v>
      </c>
      <c r="L1050" s="22"/>
      <c r="M1050" s="22"/>
      <c r="N1050" s="22"/>
      <c r="O1050" s="22"/>
      <c r="P1050" s="22"/>
      <c r="Q1050" s="22"/>
      <c r="R1050" s="22"/>
      <c r="S1050" s="23" t="s">
        <v>202</v>
      </c>
      <c r="T1050" s="23"/>
      <c r="U1050" s="23"/>
      <c r="V1050" s="23"/>
      <c r="W1050" s="30">
        <v>39083</v>
      </c>
      <c r="X1050" s="30">
        <v>34183</v>
      </c>
      <c r="Y1050" s="30">
        <v>41730</v>
      </c>
      <c r="Z1050" s="55" t="str">
        <f ca="1">DATEDIF(W1050,TODAY(),"y")&amp;" Tahun "&amp;DATEDIF(W1050,TODAY(),"ym")&amp;" Bulan "&amp;DATEDIF(W1050,TODAY(),"md")&amp;" Hari"</f>
        <v>18 Tahun 9 Bulan 30 Hari</v>
      </c>
      <c r="AA1050" s="55" t="s">
        <v>76</v>
      </c>
      <c r="AB1050" s="56">
        <v>25815</v>
      </c>
      <c r="AC1050" s="32" t="s">
        <v>4657</v>
      </c>
      <c r="AD1050" s="57" t="str">
        <f t="shared" ca="1" si="75"/>
        <v xml:space="preserve">55 Tahun 1 Bulan </v>
      </c>
      <c r="AE1050" s="33" t="s">
        <v>4658</v>
      </c>
      <c r="AF1050" s="34"/>
      <c r="AG1050" s="23" t="s">
        <v>4659</v>
      </c>
      <c r="AH1050" s="22"/>
      <c r="AI1050" s="22"/>
      <c r="AJ1050" s="22"/>
      <c r="AK1050" s="33"/>
      <c r="AL1050" s="36"/>
    </row>
    <row r="1051" spans="1:39" ht="14.45" customHeight="1" x14ac:dyDescent="0.25">
      <c r="A1051" s="115">
        <v>3</v>
      </c>
      <c r="B1051" s="18"/>
      <c r="C1051" s="50" t="s">
        <v>4660</v>
      </c>
      <c r="D1051" s="20" t="s">
        <v>4661</v>
      </c>
      <c r="E1051" s="21" t="s">
        <v>40</v>
      </c>
      <c r="F1051" s="22" t="s">
        <v>41</v>
      </c>
      <c r="G1051" s="23" t="s">
        <v>102</v>
      </c>
      <c r="H1051" s="22" t="s">
        <v>103</v>
      </c>
      <c r="I1051" s="22" t="s">
        <v>44</v>
      </c>
      <c r="J1051" s="22" t="s">
        <v>4662</v>
      </c>
      <c r="K1051" s="24">
        <v>45505</v>
      </c>
      <c r="L1051" s="22"/>
      <c r="M1051" s="22"/>
      <c r="N1051" s="22"/>
      <c r="O1051" s="22"/>
      <c r="P1051" s="22"/>
      <c r="Q1051" s="22"/>
      <c r="R1051" s="22"/>
      <c r="S1051" s="23" t="s">
        <v>296</v>
      </c>
      <c r="T1051" s="23"/>
      <c r="U1051" s="23"/>
      <c r="V1051" s="23"/>
      <c r="W1051" s="30">
        <v>38353</v>
      </c>
      <c r="X1051" s="30">
        <v>38412</v>
      </c>
      <c r="Y1051" s="30"/>
      <c r="Z1051" s="31" t="str">
        <f ca="1">DATEDIF(W1051,TODAY(),"y")&amp;" Tahun "&amp;DATEDIF(W1051,TODAY(),"ym")&amp;" Bulan "&amp;DATEDIF(W1051,TODAY(),"md")&amp;" Hari"</f>
        <v>20 Tahun 9 Bulan 30 Hari</v>
      </c>
      <c r="AA1051" s="31" t="s">
        <v>312</v>
      </c>
      <c r="AB1051" s="32">
        <v>27506</v>
      </c>
      <c r="AC1051" s="31" t="s">
        <v>4663</v>
      </c>
      <c r="AD1051" s="22" t="str">
        <f t="shared" ca="1" si="75"/>
        <v xml:space="preserve">50 Tahun 6 Bulan </v>
      </c>
      <c r="AE1051" s="33" t="s">
        <v>4664</v>
      </c>
      <c r="AF1051" s="34"/>
      <c r="AG1051" s="23" t="s">
        <v>4659</v>
      </c>
      <c r="AH1051" s="22"/>
      <c r="AI1051" s="22"/>
      <c r="AJ1051" s="22"/>
      <c r="AK1051" s="33"/>
      <c r="AL1051" s="36"/>
    </row>
    <row r="1052" spans="1:39" ht="14.45" customHeight="1" x14ac:dyDescent="0.25">
      <c r="A1052" s="17">
        <v>1</v>
      </c>
      <c r="B1052" s="18"/>
      <c r="C1052" s="50" t="s">
        <v>4665</v>
      </c>
      <c r="D1052" s="20" t="s">
        <v>4666</v>
      </c>
      <c r="E1052" s="52" t="s">
        <v>56</v>
      </c>
      <c r="F1052" s="58" t="s">
        <v>41</v>
      </c>
      <c r="G1052" s="23" t="s">
        <v>227</v>
      </c>
      <c r="H1052" s="22" t="s">
        <v>228</v>
      </c>
      <c r="I1052" s="22" t="s">
        <v>44</v>
      </c>
      <c r="J1052" s="22" t="s">
        <v>4667</v>
      </c>
      <c r="K1052" s="24">
        <v>45017</v>
      </c>
      <c r="L1052" s="22"/>
      <c r="M1052" s="22"/>
      <c r="N1052" s="22"/>
      <c r="O1052" s="22"/>
      <c r="P1052" s="22"/>
      <c r="Q1052" s="22"/>
      <c r="R1052" s="22"/>
      <c r="S1052" s="23" t="s">
        <v>202</v>
      </c>
      <c r="T1052" s="23"/>
      <c r="U1052" s="23"/>
      <c r="V1052" s="23"/>
      <c r="W1052" s="30">
        <v>40148</v>
      </c>
      <c r="X1052" s="30">
        <v>37865</v>
      </c>
      <c r="Y1052" s="22"/>
      <c r="Z1052" s="55" t="str">
        <f ca="1">DATEDIF(W1052,TODAY(),"y")&amp;" Tahun "&amp;DATEDIF(W1052,TODAY(),"ym")&amp;" Bulan "&amp;DATEDIF(W1052,TODAY(),"md")&amp;" Hari"</f>
        <v>15 Tahun 10 Bulan 30 Hari</v>
      </c>
      <c r="AA1052" s="55" t="s">
        <v>76</v>
      </c>
      <c r="AB1052" s="56">
        <v>31335</v>
      </c>
      <c r="AC1052" s="31" t="s">
        <v>4668</v>
      </c>
      <c r="AD1052" s="57" t="str">
        <f t="shared" ca="1" si="75"/>
        <v xml:space="preserve">40 Tahun 0 Bulan </v>
      </c>
      <c r="AE1052" s="33" t="s">
        <v>4669</v>
      </c>
      <c r="AF1052" s="71"/>
      <c r="AG1052" s="23" t="s">
        <v>4659</v>
      </c>
      <c r="AH1052" s="58"/>
      <c r="AI1052" s="58"/>
      <c r="AJ1052" s="87"/>
      <c r="AK1052" s="61"/>
      <c r="AL1052" s="36"/>
    </row>
    <row r="1053" spans="1:39" ht="14.45" customHeight="1" x14ac:dyDescent="0.25">
      <c r="A1053" s="17">
        <v>2</v>
      </c>
      <c r="B1053" s="18"/>
      <c r="C1053" s="50" t="s">
        <v>6013</v>
      </c>
      <c r="D1053" s="20" t="s">
        <v>6014</v>
      </c>
      <c r="E1053" s="52" t="s">
        <v>40</v>
      </c>
      <c r="F1053" s="22" t="s">
        <v>5691</v>
      </c>
      <c r="G1053" s="33" t="s">
        <v>3872</v>
      </c>
      <c r="H1053" s="22" t="s">
        <v>5692</v>
      </c>
      <c r="I1053" s="22" t="s">
        <v>155</v>
      </c>
      <c r="J1053" s="22" t="s">
        <v>5693</v>
      </c>
      <c r="K1053" s="22"/>
      <c r="L1053" s="22"/>
      <c r="M1053" s="22"/>
      <c r="N1053" s="22"/>
      <c r="O1053" s="22"/>
      <c r="P1053" s="22"/>
      <c r="Q1053" s="22"/>
      <c r="R1053" s="22"/>
      <c r="S1053" s="23" t="s">
        <v>296</v>
      </c>
      <c r="T1053" s="23"/>
      <c r="U1053" s="23"/>
      <c r="V1053" s="23"/>
      <c r="W1053" s="77">
        <v>45931</v>
      </c>
      <c r="X1053" s="30">
        <v>39083</v>
      </c>
      <c r="Y1053" s="30">
        <v>42005</v>
      </c>
      <c r="Z1053" s="31" t="str">
        <f t="shared" ref="Z1053:Z1060" ca="1" si="76">DATEDIF(X1053,TODAY(),"y")&amp;" Tahun "&amp;DATEDIF(X1053,TODAY(),"ym")&amp;" Bulan "&amp;DATEDIF(X1053,TODAY(),"md")&amp;" Hari"</f>
        <v>18 Tahun 9 Bulan 30 Hari</v>
      </c>
      <c r="AA1053" s="31" t="s">
        <v>76</v>
      </c>
      <c r="AB1053" s="32">
        <v>31314</v>
      </c>
      <c r="AC1053" s="31" t="s">
        <v>6015</v>
      </c>
      <c r="AD1053" s="57" t="str">
        <f t="shared" ca="1" si="75"/>
        <v xml:space="preserve">40 Tahun 1 Bulan </v>
      </c>
      <c r="AE1053" s="33" t="s">
        <v>242</v>
      </c>
      <c r="AF1053" s="34"/>
      <c r="AG1053" s="23" t="s">
        <v>4659</v>
      </c>
      <c r="AH1053" s="22"/>
      <c r="AI1053" s="22"/>
      <c r="AJ1053" s="60"/>
      <c r="AK1053" s="61"/>
      <c r="AL1053" s="36"/>
    </row>
    <row r="1054" spans="1:39" ht="14.45" customHeight="1" x14ac:dyDescent="0.25">
      <c r="A1054" s="17">
        <v>4</v>
      </c>
      <c r="B1054" s="76"/>
      <c r="C1054" s="50" t="s">
        <v>6016</v>
      </c>
      <c r="D1054" s="20" t="s">
        <v>6017</v>
      </c>
      <c r="E1054" s="58" t="s">
        <v>56</v>
      </c>
      <c r="F1054" s="58" t="s">
        <v>238</v>
      </c>
      <c r="G1054" s="85" t="s">
        <v>3872</v>
      </c>
      <c r="H1054" s="58" t="s">
        <v>1078</v>
      </c>
      <c r="I1054" s="60" t="s">
        <v>155</v>
      </c>
      <c r="J1054" s="60" t="s">
        <v>5693</v>
      </c>
      <c r="K1054" s="30"/>
      <c r="L1054" s="22"/>
      <c r="M1054" s="22"/>
      <c r="N1054" s="22"/>
      <c r="O1054" s="22"/>
      <c r="P1054" s="22"/>
      <c r="Q1054" s="22"/>
      <c r="R1054" s="22"/>
      <c r="S1054" s="33" t="s">
        <v>4670</v>
      </c>
      <c r="T1054" s="33"/>
      <c r="U1054" s="33"/>
      <c r="V1054" s="33"/>
      <c r="W1054" s="30">
        <v>45931</v>
      </c>
      <c r="X1054" s="30">
        <v>42095</v>
      </c>
      <c r="Y1054" s="30">
        <v>42114</v>
      </c>
      <c r="Z1054" s="55" t="str">
        <f t="shared" ca="1" si="76"/>
        <v>10 Tahun 6 Bulan 30 Hari</v>
      </c>
      <c r="AA1054" s="55" t="s">
        <v>76</v>
      </c>
      <c r="AB1054" s="56">
        <v>34366</v>
      </c>
      <c r="AC1054" s="31" t="s">
        <v>6018</v>
      </c>
      <c r="AD1054" s="57" t="str">
        <f t="shared" ca="1" si="75"/>
        <v xml:space="preserve">31 Tahun 8 Bulan </v>
      </c>
      <c r="AE1054" s="33" t="s">
        <v>242</v>
      </c>
      <c r="AF1054" s="71"/>
      <c r="AG1054" s="23" t="s">
        <v>4659</v>
      </c>
      <c r="AH1054" s="58"/>
      <c r="AI1054" s="58"/>
      <c r="AJ1054" s="58"/>
      <c r="AK1054" s="33"/>
      <c r="AL1054" s="36"/>
    </row>
    <row r="1055" spans="1:39" ht="14.45" customHeight="1" x14ac:dyDescent="0.25">
      <c r="A1055" s="17">
        <v>1</v>
      </c>
      <c r="B1055" s="18"/>
      <c r="C1055" s="50" t="s">
        <v>4671</v>
      </c>
      <c r="D1055" s="20" t="s">
        <v>4672</v>
      </c>
      <c r="E1055" s="58" t="s">
        <v>56</v>
      </c>
      <c r="F1055" s="22" t="s">
        <v>41</v>
      </c>
      <c r="G1055" s="23" t="s">
        <v>1547</v>
      </c>
      <c r="H1055" s="22" t="s">
        <v>1548</v>
      </c>
      <c r="I1055" s="22" t="s">
        <v>155</v>
      </c>
      <c r="J1055" s="22" t="s">
        <v>246</v>
      </c>
      <c r="K1055" s="30">
        <v>44593</v>
      </c>
      <c r="L1055" s="22"/>
      <c r="M1055" s="22"/>
      <c r="N1055" s="22"/>
      <c r="O1055" s="22"/>
      <c r="P1055" s="22"/>
      <c r="Q1055" s="22"/>
      <c r="R1055" s="22"/>
      <c r="S1055" s="33" t="s">
        <v>296</v>
      </c>
      <c r="T1055" s="33"/>
      <c r="U1055" s="33"/>
      <c r="V1055" s="33"/>
      <c r="W1055" s="30">
        <v>44593</v>
      </c>
      <c r="X1055" s="30">
        <v>44621</v>
      </c>
      <c r="Y1055" s="30">
        <v>44621</v>
      </c>
      <c r="Z1055" s="55" t="str">
        <f t="shared" ca="1" si="76"/>
        <v>3 Tahun 7 Bulan 30 Hari</v>
      </c>
      <c r="AA1055" s="66" t="s">
        <v>437</v>
      </c>
      <c r="AB1055" s="56">
        <v>36340</v>
      </c>
      <c r="AC1055" s="31" t="s">
        <v>4673</v>
      </c>
      <c r="AD1055" s="57" t="str">
        <f t="shared" ca="1" si="75"/>
        <v xml:space="preserve">26 Tahun 4 Bulan </v>
      </c>
      <c r="AE1055" s="33" t="s">
        <v>4674</v>
      </c>
      <c r="AF1055" s="71"/>
      <c r="AG1055" s="23" t="s">
        <v>4659</v>
      </c>
      <c r="AH1055" s="59" t="s">
        <v>4630</v>
      </c>
      <c r="AI1055" s="58"/>
      <c r="AJ1055" s="58"/>
      <c r="AK1055" s="33" t="s">
        <v>224</v>
      </c>
      <c r="AL1055" s="36"/>
    </row>
    <row r="1056" spans="1:39" ht="14.45" customHeight="1" x14ac:dyDescent="0.25">
      <c r="A1056" s="17">
        <v>2</v>
      </c>
      <c r="B1056" s="18"/>
      <c r="C1056" s="50" t="s">
        <v>4676</v>
      </c>
      <c r="D1056" s="20" t="s">
        <v>4677</v>
      </c>
      <c r="E1056" s="58" t="s">
        <v>56</v>
      </c>
      <c r="F1056" s="22" t="s">
        <v>41</v>
      </c>
      <c r="G1056" s="23" t="s">
        <v>1547</v>
      </c>
      <c r="H1056" s="22" t="s">
        <v>1548</v>
      </c>
      <c r="I1056" s="22" t="s">
        <v>155</v>
      </c>
      <c r="J1056" s="22" t="s">
        <v>246</v>
      </c>
      <c r="K1056" s="30">
        <v>44593</v>
      </c>
      <c r="L1056" s="22"/>
      <c r="M1056" s="22"/>
      <c r="N1056" s="22"/>
      <c r="O1056" s="22"/>
      <c r="P1056" s="22"/>
      <c r="Q1056" s="22"/>
      <c r="R1056" s="22"/>
      <c r="S1056" s="33" t="s">
        <v>296</v>
      </c>
      <c r="T1056" s="33"/>
      <c r="U1056" s="33"/>
      <c r="V1056" s="33"/>
      <c r="W1056" s="30">
        <v>44593</v>
      </c>
      <c r="X1056" s="30">
        <v>44621</v>
      </c>
      <c r="Y1056" s="30">
        <v>44621</v>
      </c>
      <c r="Z1056" s="55" t="str">
        <f t="shared" ca="1" si="76"/>
        <v>3 Tahun 7 Bulan 30 Hari</v>
      </c>
      <c r="AA1056" s="66" t="s">
        <v>4678</v>
      </c>
      <c r="AB1056" s="56">
        <v>43958</v>
      </c>
      <c r="AC1056" s="31" t="s">
        <v>4679</v>
      </c>
      <c r="AD1056" s="57" t="str">
        <f t="shared" ca="1" si="75"/>
        <v xml:space="preserve">5 Tahun 5 Bulan </v>
      </c>
      <c r="AE1056" s="33" t="s">
        <v>4680</v>
      </c>
      <c r="AF1056" s="71"/>
      <c r="AG1056" s="23" t="s">
        <v>4659</v>
      </c>
      <c r="AH1056" s="59" t="s">
        <v>4630</v>
      </c>
      <c r="AI1056" s="22"/>
      <c r="AJ1056" s="22"/>
      <c r="AK1056" s="33"/>
      <c r="AL1056" s="36"/>
    </row>
    <row r="1057" spans="1:38" ht="14.45" customHeight="1" x14ac:dyDescent="0.25">
      <c r="A1057" s="17">
        <v>3</v>
      </c>
      <c r="B1057" s="18"/>
      <c r="C1057" s="50" t="s">
        <v>4681</v>
      </c>
      <c r="D1057" s="20" t="s">
        <v>4682</v>
      </c>
      <c r="E1057" s="58" t="s">
        <v>56</v>
      </c>
      <c r="F1057" s="22" t="s">
        <v>41</v>
      </c>
      <c r="G1057" s="23" t="s">
        <v>1547</v>
      </c>
      <c r="H1057" s="22" t="s">
        <v>1548</v>
      </c>
      <c r="I1057" s="22" t="s">
        <v>155</v>
      </c>
      <c r="J1057" s="22" t="s">
        <v>246</v>
      </c>
      <c r="K1057" s="30">
        <v>44593</v>
      </c>
      <c r="L1057" s="22"/>
      <c r="M1057" s="22"/>
      <c r="N1057" s="22"/>
      <c r="O1057" s="22"/>
      <c r="P1057" s="22"/>
      <c r="Q1057" s="22"/>
      <c r="R1057" s="22"/>
      <c r="S1057" s="33" t="s">
        <v>296</v>
      </c>
      <c r="T1057" s="33"/>
      <c r="U1057" s="33"/>
      <c r="V1057" s="33"/>
      <c r="W1057" s="30">
        <v>44593</v>
      </c>
      <c r="X1057" s="30">
        <v>44621</v>
      </c>
      <c r="Y1057" s="30">
        <v>44621</v>
      </c>
      <c r="Z1057" s="55" t="str">
        <f t="shared" ca="1" si="76"/>
        <v>3 Tahun 7 Bulan 30 Hari</v>
      </c>
      <c r="AA1057" s="66" t="s">
        <v>1640</v>
      </c>
      <c r="AB1057" s="56">
        <v>43922</v>
      </c>
      <c r="AC1057" s="31" t="s">
        <v>4683</v>
      </c>
      <c r="AD1057" s="57" t="str">
        <f t="shared" ca="1" si="75"/>
        <v xml:space="preserve">5 Tahun 6 Bulan </v>
      </c>
      <c r="AE1057" s="33" t="s">
        <v>246</v>
      </c>
      <c r="AF1057" s="71"/>
      <c r="AG1057" s="23" t="s">
        <v>4659</v>
      </c>
      <c r="AH1057" s="59" t="s">
        <v>4630</v>
      </c>
      <c r="AI1057" s="22"/>
      <c r="AJ1057" s="22"/>
      <c r="AK1057" s="33" t="s">
        <v>243</v>
      </c>
      <c r="AL1057" s="36"/>
    </row>
    <row r="1058" spans="1:38" ht="14.45" customHeight="1" x14ac:dyDescent="0.25">
      <c r="A1058" s="17">
        <v>4</v>
      </c>
      <c r="B1058" s="18"/>
      <c r="C1058" s="50" t="s">
        <v>4684</v>
      </c>
      <c r="D1058" s="20" t="s">
        <v>4685</v>
      </c>
      <c r="E1058" s="58" t="s">
        <v>56</v>
      </c>
      <c r="F1058" s="22" t="s">
        <v>41</v>
      </c>
      <c r="G1058" s="23" t="s">
        <v>1547</v>
      </c>
      <c r="H1058" s="22" t="s">
        <v>1548</v>
      </c>
      <c r="I1058" s="22" t="s">
        <v>155</v>
      </c>
      <c r="J1058" s="22" t="s">
        <v>246</v>
      </c>
      <c r="K1058" s="30">
        <v>44593</v>
      </c>
      <c r="L1058" s="22"/>
      <c r="M1058" s="22"/>
      <c r="N1058" s="22"/>
      <c r="O1058" s="22"/>
      <c r="P1058" s="22"/>
      <c r="Q1058" s="22"/>
      <c r="R1058" s="22"/>
      <c r="S1058" s="33" t="s">
        <v>296</v>
      </c>
      <c r="T1058" s="33"/>
      <c r="U1058" s="33"/>
      <c r="V1058" s="33"/>
      <c r="W1058" s="30">
        <v>44593</v>
      </c>
      <c r="X1058" s="30">
        <v>44621</v>
      </c>
      <c r="Y1058" s="30">
        <v>44621</v>
      </c>
      <c r="Z1058" s="55" t="str">
        <f t="shared" ca="1" si="76"/>
        <v>3 Tahun 7 Bulan 30 Hari</v>
      </c>
      <c r="AA1058" s="66" t="s">
        <v>2159</v>
      </c>
      <c r="AB1058" s="56">
        <v>36481</v>
      </c>
      <c r="AC1058" s="31" t="s">
        <v>4686</v>
      </c>
      <c r="AD1058" s="57" t="str">
        <f t="shared" ca="1" si="75"/>
        <v xml:space="preserve">25 Tahun 11 Bulan </v>
      </c>
      <c r="AE1058" s="33" t="s">
        <v>246</v>
      </c>
      <c r="AF1058" s="71"/>
      <c r="AG1058" s="23" t="s">
        <v>4659</v>
      </c>
      <c r="AH1058" s="59" t="s">
        <v>4630</v>
      </c>
      <c r="AI1058" s="22"/>
      <c r="AJ1058" s="60"/>
      <c r="AK1058" s="61" t="s">
        <v>4642</v>
      </c>
      <c r="AL1058" s="36"/>
    </row>
    <row r="1059" spans="1:38" ht="14.45" customHeight="1" x14ac:dyDescent="0.25">
      <c r="A1059" s="17">
        <v>5</v>
      </c>
      <c r="B1059" s="18"/>
      <c r="C1059" s="50" t="s">
        <v>6019</v>
      </c>
      <c r="D1059" s="20" t="s">
        <v>6020</v>
      </c>
      <c r="E1059" s="52" t="s">
        <v>40</v>
      </c>
      <c r="F1059" s="58" t="s">
        <v>5691</v>
      </c>
      <c r="G1059" s="23" t="s">
        <v>3872</v>
      </c>
      <c r="H1059" s="22" t="s">
        <v>5692</v>
      </c>
      <c r="I1059" s="22" t="s">
        <v>155</v>
      </c>
      <c r="J1059" s="22" t="s">
        <v>5687</v>
      </c>
      <c r="K1059" s="22"/>
      <c r="L1059" s="22"/>
      <c r="M1059" s="22"/>
      <c r="N1059" s="22"/>
      <c r="O1059" s="22"/>
      <c r="P1059" s="22"/>
      <c r="Q1059" s="22"/>
      <c r="R1059" s="22"/>
      <c r="S1059" s="23" t="s">
        <v>202</v>
      </c>
      <c r="T1059" s="23"/>
      <c r="U1059" s="23"/>
      <c r="V1059" s="23"/>
      <c r="W1059" s="77">
        <v>45931</v>
      </c>
      <c r="X1059" s="30">
        <v>39085</v>
      </c>
      <c r="Y1059" s="30">
        <v>39085</v>
      </c>
      <c r="Z1059" s="55" t="str">
        <f t="shared" ca="1" si="76"/>
        <v>18 Tahun 9 Bulan 28 Hari</v>
      </c>
      <c r="AA1059" s="66" t="s">
        <v>76</v>
      </c>
      <c r="AB1059" s="56">
        <v>30900</v>
      </c>
      <c r="AC1059" s="31" t="s">
        <v>6021</v>
      </c>
      <c r="AD1059" s="57" t="str">
        <f t="shared" ca="1" si="75"/>
        <v xml:space="preserve">41 Tahun 2 Bulan </v>
      </c>
      <c r="AE1059" s="33" t="s">
        <v>1069</v>
      </c>
      <c r="AF1059" s="71"/>
      <c r="AG1059" s="23" t="s">
        <v>4659</v>
      </c>
      <c r="AH1059" s="59" t="s">
        <v>4630</v>
      </c>
      <c r="AI1059" s="22"/>
      <c r="AJ1059" s="22"/>
      <c r="AK1059" s="33" t="s">
        <v>4642</v>
      </c>
      <c r="AL1059" s="36"/>
    </row>
    <row r="1060" spans="1:38" ht="14.45" customHeight="1" x14ac:dyDescent="0.25">
      <c r="A1060" s="17">
        <v>6</v>
      </c>
      <c r="B1060" s="18"/>
      <c r="C1060" s="50" t="s">
        <v>6022</v>
      </c>
      <c r="D1060" s="20" t="s">
        <v>4687</v>
      </c>
      <c r="E1060" s="21" t="s">
        <v>56</v>
      </c>
      <c r="F1060" s="22" t="s">
        <v>192</v>
      </c>
      <c r="G1060" s="23" t="s">
        <v>1547</v>
      </c>
      <c r="H1060" s="22" t="s">
        <v>1548</v>
      </c>
      <c r="I1060" s="22" t="s">
        <v>155</v>
      </c>
      <c r="J1060" s="22" t="s">
        <v>4656</v>
      </c>
      <c r="K1060" s="24" t="s">
        <v>195</v>
      </c>
      <c r="L1060" s="22"/>
      <c r="M1060" s="22"/>
      <c r="N1060" s="22"/>
      <c r="O1060" s="22"/>
      <c r="P1060" s="22"/>
      <c r="Q1060" s="22"/>
      <c r="R1060" s="22"/>
      <c r="S1060" s="23" t="s">
        <v>296</v>
      </c>
      <c r="T1060" s="23"/>
      <c r="U1060" s="23"/>
      <c r="V1060" s="23"/>
      <c r="W1060" s="69">
        <v>45809</v>
      </c>
      <c r="X1060" s="69">
        <v>45810</v>
      </c>
      <c r="Y1060" s="69">
        <v>45810</v>
      </c>
      <c r="Z1060" s="31" t="str">
        <f t="shared" ca="1" si="76"/>
        <v>0 Tahun 4 Bulan 29 Hari</v>
      </c>
      <c r="AA1060" s="23" t="s">
        <v>4443</v>
      </c>
      <c r="AB1060" s="32">
        <v>36535</v>
      </c>
      <c r="AC1060" s="32" t="s">
        <v>4688</v>
      </c>
      <c r="AD1060" s="22" t="str">
        <f t="shared" ca="1" si="75"/>
        <v xml:space="preserve">25 Tahun 9 Bulan </v>
      </c>
      <c r="AE1060" s="23" t="s">
        <v>4689</v>
      </c>
      <c r="AF1060" s="34"/>
      <c r="AG1060" s="23" t="s">
        <v>4659</v>
      </c>
      <c r="AH1060" s="23" t="s">
        <v>4651</v>
      </c>
      <c r="AI1060" s="22"/>
      <c r="AJ1060" s="22"/>
      <c r="AK1060" s="33"/>
      <c r="AL1060" s="36"/>
    </row>
    <row r="1061" spans="1:38" ht="14.45" customHeight="1" x14ac:dyDescent="0.25">
      <c r="A1061" s="17">
        <v>7</v>
      </c>
      <c r="B1061" s="18"/>
      <c r="C1061" s="50" t="s">
        <v>4690</v>
      </c>
      <c r="D1061" s="20" t="s">
        <v>4691</v>
      </c>
      <c r="E1061" s="52" t="s">
        <v>40</v>
      </c>
      <c r="F1061" s="58" t="s">
        <v>41</v>
      </c>
      <c r="G1061" s="23" t="s">
        <v>227</v>
      </c>
      <c r="H1061" s="22" t="s">
        <v>228</v>
      </c>
      <c r="I1061" s="22" t="s">
        <v>155</v>
      </c>
      <c r="J1061" s="22" t="s">
        <v>280</v>
      </c>
      <c r="K1061" s="24">
        <v>44292</v>
      </c>
      <c r="L1061" s="22"/>
      <c r="M1061" s="22"/>
      <c r="N1061" s="22"/>
      <c r="O1061" s="22"/>
      <c r="P1061" s="22"/>
      <c r="Q1061" s="22"/>
      <c r="R1061" s="22"/>
      <c r="S1061" s="23" t="s">
        <v>1391</v>
      </c>
      <c r="T1061" s="23"/>
      <c r="U1061" s="23"/>
      <c r="V1061" s="23"/>
      <c r="W1061" s="30">
        <v>38808</v>
      </c>
      <c r="X1061" s="30">
        <v>35371</v>
      </c>
      <c r="Y1061" s="22"/>
      <c r="Z1061" s="55" t="str">
        <f ca="1">DATEDIF(W1061,TODAY(),"y")&amp;" Tahun "&amp;DATEDIF(W1061,TODAY(),"ym")&amp;" Bulan "&amp;DATEDIF(W1061,TODAY(),"md")&amp;" Hari"</f>
        <v>19 Tahun 6 Bulan 30 Hari</v>
      </c>
      <c r="AA1061" s="66" t="s">
        <v>76</v>
      </c>
      <c r="AB1061" s="56">
        <v>25092</v>
      </c>
      <c r="AC1061" s="32" t="s">
        <v>4692</v>
      </c>
      <c r="AD1061" s="57" t="str">
        <f t="shared" ref="AD1061:AD1069" ca="1" si="77">DATEDIF(AB1061,TODAY(),"y")&amp;" Tahun "&amp;DATEDIF(AB1061,TODAY(),"ym")&amp;" Bulan "</f>
        <v xml:space="preserve">57 Tahun 1 Bulan </v>
      </c>
      <c r="AE1061" s="33" t="s">
        <v>242</v>
      </c>
      <c r="AF1061" s="71"/>
      <c r="AG1061" s="23" t="s">
        <v>4659</v>
      </c>
      <c r="AH1061" s="23" t="s">
        <v>4651</v>
      </c>
      <c r="AI1061" s="22"/>
      <c r="AJ1061" s="22"/>
      <c r="AK1061" s="33"/>
      <c r="AL1061" s="36"/>
    </row>
    <row r="1062" spans="1:38" ht="14.45" customHeight="1" x14ac:dyDescent="0.25">
      <c r="A1062" s="17">
        <v>8</v>
      </c>
      <c r="B1062" s="76"/>
      <c r="C1062" s="50" t="s">
        <v>4693</v>
      </c>
      <c r="D1062" s="20" t="s">
        <v>4694</v>
      </c>
      <c r="E1062" s="52" t="s">
        <v>40</v>
      </c>
      <c r="F1062" s="22" t="s">
        <v>41</v>
      </c>
      <c r="G1062" s="23" t="s">
        <v>227</v>
      </c>
      <c r="H1062" s="22" t="s">
        <v>228</v>
      </c>
      <c r="I1062" s="22" t="s">
        <v>155</v>
      </c>
      <c r="J1062" s="22" t="s">
        <v>280</v>
      </c>
      <c r="K1062" s="24">
        <v>43466</v>
      </c>
      <c r="L1062" s="22"/>
      <c r="M1062" s="22"/>
      <c r="N1062" s="22"/>
      <c r="O1062" s="22"/>
      <c r="P1062" s="22"/>
      <c r="Q1062" s="22"/>
      <c r="R1062" s="22"/>
      <c r="S1062" s="23" t="s">
        <v>1339</v>
      </c>
      <c r="T1062" s="23"/>
      <c r="U1062" s="23"/>
      <c r="V1062" s="23"/>
      <c r="W1062" s="30">
        <v>34029</v>
      </c>
      <c r="X1062" s="30">
        <v>36039</v>
      </c>
      <c r="Y1062" s="30"/>
      <c r="Z1062" s="55" t="str">
        <f ca="1">DATEDIF(W1062,TODAY(),"y")&amp;" Tahun "&amp;DATEDIF(W1062,TODAY(),"ym")&amp;" Bulan "&amp;DATEDIF(W1062,TODAY(),"md")&amp;" Hari"</f>
        <v>32 Tahun 7 Bulan 30 Hari</v>
      </c>
      <c r="AA1062" s="55" t="s">
        <v>76</v>
      </c>
      <c r="AB1062" s="56">
        <v>25393</v>
      </c>
      <c r="AC1062" s="32" t="s">
        <v>3867</v>
      </c>
      <c r="AD1062" s="57" t="str">
        <f t="shared" ca="1" si="77"/>
        <v xml:space="preserve">56 Tahun 3 Bulan </v>
      </c>
      <c r="AE1062" s="33" t="s">
        <v>4653</v>
      </c>
      <c r="AF1062" s="79"/>
      <c r="AG1062" s="23" t="s">
        <v>4659</v>
      </c>
      <c r="AH1062" s="23" t="s">
        <v>4651</v>
      </c>
      <c r="AI1062" s="58"/>
      <c r="AJ1062" s="58"/>
      <c r="AK1062" s="33"/>
      <c r="AL1062" s="36"/>
    </row>
    <row r="1063" spans="1:38" ht="14.45" customHeight="1" x14ac:dyDescent="0.25">
      <c r="A1063" s="17">
        <v>9</v>
      </c>
      <c r="B1063" s="18"/>
      <c r="C1063" s="50" t="s">
        <v>4695</v>
      </c>
      <c r="D1063" s="20" t="s">
        <v>4696</v>
      </c>
      <c r="E1063" s="52" t="s">
        <v>40</v>
      </c>
      <c r="F1063" s="22" t="s">
        <v>41</v>
      </c>
      <c r="G1063" s="23" t="s">
        <v>137</v>
      </c>
      <c r="H1063" s="22" t="s">
        <v>138</v>
      </c>
      <c r="I1063" s="22" t="s">
        <v>155</v>
      </c>
      <c r="J1063" s="22" t="s">
        <v>4697</v>
      </c>
      <c r="K1063" s="24">
        <v>43466</v>
      </c>
      <c r="L1063" s="22"/>
      <c r="M1063" s="22"/>
      <c r="N1063" s="22"/>
      <c r="O1063" s="22"/>
      <c r="P1063" s="22"/>
      <c r="Q1063" s="22"/>
      <c r="R1063" s="22"/>
      <c r="S1063" s="23" t="s">
        <v>1391</v>
      </c>
      <c r="T1063" s="23"/>
      <c r="U1063" s="23"/>
      <c r="V1063" s="23"/>
      <c r="W1063" s="30">
        <v>38353</v>
      </c>
      <c r="X1063" s="30">
        <v>34182</v>
      </c>
      <c r="Y1063" s="22"/>
      <c r="Z1063" s="55" t="str">
        <f ca="1">DATEDIF(W1063,TODAY(),"y")&amp;" Tahun "&amp;DATEDIF(W1063,TODAY(),"ym")&amp;" Bulan "&amp;DATEDIF(W1063,TODAY(),"md")&amp;" Hari"</f>
        <v>20 Tahun 9 Bulan 30 Hari</v>
      </c>
      <c r="AA1063" s="55" t="s">
        <v>76</v>
      </c>
      <c r="AB1063" s="56">
        <v>25941</v>
      </c>
      <c r="AC1063" s="32" t="s">
        <v>4698</v>
      </c>
      <c r="AD1063" s="57" t="str">
        <f t="shared" ca="1" si="77"/>
        <v xml:space="preserve">54 Tahun 9 Bulan </v>
      </c>
      <c r="AE1063" s="33" t="s">
        <v>4653</v>
      </c>
      <c r="AF1063" s="34"/>
      <c r="AG1063" s="23" t="s">
        <v>4659</v>
      </c>
      <c r="AH1063" s="23" t="s">
        <v>4651</v>
      </c>
      <c r="AI1063" s="58"/>
      <c r="AJ1063" s="58"/>
      <c r="AK1063" s="33"/>
      <c r="AL1063" s="36"/>
    </row>
    <row r="1064" spans="1:38" ht="14.45" customHeight="1" x14ac:dyDescent="0.25">
      <c r="A1064" s="17">
        <v>1</v>
      </c>
      <c r="B1064" s="18"/>
      <c r="C1064" s="50" t="s">
        <v>4699</v>
      </c>
      <c r="D1064" s="20" t="s">
        <v>4700</v>
      </c>
      <c r="E1064" s="21" t="s">
        <v>56</v>
      </c>
      <c r="F1064" s="22" t="s">
        <v>41</v>
      </c>
      <c r="G1064" s="33" t="s">
        <v>193</v>
      </c>
      <c r="H1064" s="22" t="s">
        <v>194</v>
      </c>
      <c r="I1064" s="22" t="s">
        <v>155</v>
      </c>
      <c r="J1064" s="22" t="s">
        <v>246</v>
      </c>
      <c r="K1064" s="24">
        <v>44835</v>
      </c>
      <c r="L1064" s="22"/>
      <c r="M1064" s="22"/>
      <c r="N1064" s="22"/>
      <c r="O1064" s="22"/>
      <c r="P1064" s="22"/>
      <c r="Q1064" s="22"/>
      <c r="R1064" s="22"/>
      <c r="S1064" s="23" t="s">
        <v>202</v>
      </c>
      <c r="T1064" s="23"/>
      <c r="U1064" s="23"/>
      <c r="V1064" s="23"/>
      <c r="W1064" s="30">
        <v>41244</v>
      </c>
      <c r="X1064" s="30">
        <v>38355</v>
      </c>
      <c r="Y1064" s="22"/>
      <c r="Z1064" s="31" t="str">
        <f t="shared" ref="Z1064:Z1070" ca="1" si="78">DATEDIF(X1064,TODAY(),"y")&amp;" Tahun "&amp;DATEDIF(X1064,TODAY(),"ym")&amp;" Bulan "&amp;DATEDIF(X1064,TODAY(),"md")&amp;" Hari"</f>
        <v>20 Tahun 9 Bulan 28 Hari</v>
      </c>
      <c r="AA1064" s="31" t="s">
        <v>76</v>
      </c>
      <c r="AB1064" s="32">
        <v>29851</v>
      </c>
      <c r="AC1064" s="31" t="s">
        <v>4701</v>
      </c>
      <c r="AD1064" s="22" t="str">
        <f t="shared" ca="1" si="77"/>
        <v xml:space="preserve">44 Tahun 1 Bulan </v>
      </c>
      <c r="AE1064" s="33" t="s">
        <v>4653</v>
      </c>
      <c r="AF1064" s="34"/>
      <c r="AG1064" s="23" t="s">
        <v>4659</v>
      </c>
      <c r="AH1064" s="22"/>
      <c r="AI1064" s="22"/>
      <c r="AJ1064" s="22"/>
      <c r="AK1064" s="33"/>
      <c r="AL1064" s="36"/>
    </row>
    <row r="1065" spans="1:38" ht="14.45" customHeight="1" x14ac:dyDescent="0.25">
      <c r="A1065" s="17">
        <v>2</v>
      </c>
      <c r="B1065" s="18"/>
      <c r="C1065" s="50" t="s">
        <v>6023</v>
      </c>
      <c r="D1065" s="20" t="s">
        <v>6024</v>
      </c>
      <c r="E1065" s="52" t="s">
        <v>56</v>
      </c>
      <c r="F1065" s="58" t="s">
        <v>5691</v>
      </c>
      <c r="G1065" s="33" t="s">
        <v>3872</v>
      </c>
      <c r="H1065" s="22" t="s">
        <v>5692</v>
      </c>
      <c r="I1065" s="22" t="s">
        <v>155</v>
      </c>
      <c r="J1065" s="22" t="s">
        <v>5693</v>
      </c>
      <c r="K1065" s="22"/>
      <c r="L1065" s="22"/>
      <c r="M1065" s="22"/>
      <c r="N1065" s="22"/>
      <c r="O1065" s="22"/>
      <c r="P1065" s="22"/>
      <c r="Q1065" s="22"/>
      <c r="R1065" s="22"/>
      <c r="S1065" s="33" t="s">
        <v>296</v>
      </c>
      <c r="T1065" s="33"/>
      <c r="U1065" s="33"/>
      <c r="V1065" s="33"/>
      <c r="W1065" s="77">
        <v>45931</v>
      </c>
      <c r="X1065" s="30">
        <v>40330</v>
      </c>
      <c r="Y1065" s="30">
        <v>40334</v>
      </c>
      <c r="Z1065" s="55" t="str">
        <f t="shared" ca="1" si="78"/>
        <v>15 Tahun 4 Bulan 30 Hari</v>
      </c>
      <c r="AA1065" s="55" t="s">
        <v>76</v>
      </c>
      <c r="AB1065" s="56">
        <v>31433</v>
      </c>
      <c r="AC1065" s="31" t="s">
        <v>4702</v>
      </c>
      <c r="AD1065" s="57" t="str">
        <f t="shared" ca="1" si="77"/>
        <v xml:space="preserve">39 Tahun 9 Bulan </v>
      </c>
      <c r="AE1065" s="33" t="s">
        <v>4653</v>
      </c>
      <c r="AF1065" s="71"/>
      <c r="AG1065" s="23" t="s">
        <v>4659</v>
      </c>
      <c r="AH1065" s="22"/>
      <c r="AI1065" s="22"/>
      <c r="AJ1065" s="22"/>
      <c r="AK1065" s="33"/>
      <c r="AL1065" s="36"/>
    </row>
    <row r="1066" spans="1:38" ht="14.45" customHeight="1" x14ac:dyDescent="0.25">
      <c r="A1066" s="17">
        <v>3</v>
      </c>
      <c r="B1066" s="18"/>
      <c r="C1066" s="50" t="s">
        <v>4703</v>
      </c>
      <c r="D1066" s="42" t="s">
        <v>4704</v>
      </c>
      <c r="E1066" s="52" t="s">
        <v>56</v>
      </c>
      <c r="F1066" s="58" t="s">
        <v>66</v>
      </c>
      <c r="G1066" s="33" t="s">
        <v>3872</v>
      </c>
      <c r="H1066" s="22" t="s">
        <v>3872</v>
      </c>
      <c r="I1066" s="60"/>
      <c r="J1066" s="60"/>
      <c r="K1066" s="22"/>
      <c r="L1066" s="22"/>
      <c r="M1066" s="22"/>
      <c r="N1066" s="22"/>
      <c r="O1066" s="22"/>
      <c r="P1066" s="22"/>
      <c r="Q1066" s="22"/>
      <c r="R1066" s="22"/>
      <c r="S1066" s="33" t="s">
        <v>296</v>
      </c>
      <c r="T1066" s="33"/>
      <c r="U1066" s="33"/>
      <c r="V1066" s="33"/>
      <c r="W1066" s="22"/>
      <c r="X1066" s="30">
        <v>39722</v>
      </c>
      <c r="Y1066" s="30">
        <v>39722</v>
      </c>
      <c r="Z1066" s="55" t="str">
        <f t="shared" ca="1" si="78"/>
        <v>17 Tahun 0 Bulan 30 Hari</v>
      </c>
      <c r="AA1066" s="31" t="s">
        <v>128</v>
      </c>
      <c r="AB1066" s="32">
        <v>31028</v>
      </c>
      <c r="AC1066" s="31" t="s">
        <v>4705</v>
      </c>
      <c r="AD1066" s="57" t="str">
        <f t="shared" ca="1" si="77"/>
        <v xml:space="preserve">40 Tahun 10 Bulan </v>
      </c>
      <c r="AE1066" s="33" t="s">
        <v>4653</v>
      </c>
      <c r="AF1066" s="71"/>
      <c r="AG1066" s="23" t="s">
        <v>4659</v>
      </c>
      <c r="AH1066" s="58"/>
      <c r="AI1066" s="58"/>
      <c r="AJ1066" s="58"/>
      <c r="AK1066" s="33"/>
      <c r="AL1066" s="36"/>
    </row>
    <row r="1067" spans="1:38" ht="14.45" customHeight="1" x14ac:dyDescent="0.25">
      <c r="A1067" s="17">
        <v>4</v>
      </c>
      <c r="B1067" s="76"/>
      <c r="C1067" s="50" t="s">
        <v>6025</v>
      </c>
      <c r="D1067" s="20" t="s">
        <v>6026</v>
      </c>
      <c r="E1067" s="52" t="s">
        <v>56</v>
      </c>
      <c r="F1067" s="22" t="s">
        <v>5691</v>
      </c>
      <c r="G1067" s="33" t="s">
        <v>3872</v>
      </c>
      <c r="H1067" s="22" t="s">
        <v>5692</v>
      </c>
      <c r="I1067" s="22" t="s">
        <v>155</v>
      </c>
      <c r="J1067" s="22" t="s">
        <v>5687</v>
      </c>
      <c r="K1067" s="30"/>
      <c r="L1067" s="22"/>
      <c r="M1067" s="22"/>
      <c r="N1067" s="22"/>
      <c r="O1067" s="22"/>
      <c r="P1067" s="22"/>
      <c r="Q1067" s="22"/>
      <c r="R1067" s="22"/>
      <c r="S1067" s="23" t="s">
        <v>202</v>
      </c>
      <c r="T1067" s="23"/>
      <c r="U1067" s="23"/>
      <c r="V1067" s="23"/>
      <c r="W1067" s="77">
        <v>45931</v>
      </c>
      <c r="X1067" s="30">
        <v>39449</v>
      </c>
      <c r="Y1067" s="30">
        <v>42064</v>
      </c>
      <c r="Z1067" s="55" t="str">
        <f t="shared" ca="1" si="78"/>
        <v>17 Tahun 9 Bulan 29 Hari</v>
      </c>
      <c r="AA1067" s="66" t="s">
        <v>76</v>
      </c>
      <c r="AB1067" s="56">
        <v>30223</v>
      </c>
      <c r="AC1067" s="31" t="s">
        <v>6027</v>
      </c>
      <c r="AD1067" s="57" t="str">
        <f t="shared" ca="1" si="77"/>
        <v xml:space="preserve">43 Tahun 1 Bulan </v>
      </c>
      <c r="AE1067" s="33" t="s">
        <v>4653</v>
      </c>
      <c r="AF1067" s="71"/>
      <c r="AG1067" s="23" t="s">
        <v>4659</v>
      </c>
      <c r="AH1067" s="22"/>
      <c r="AI1067" s="22"/>
      <c r="AJ1067" s="22"/>
      <c r="AK1067" s="33"/>
      <c r="AL1067" s="36"/>
    </row>
    <row r="1068" spans="1:38" ht="14.45" customHeight="1" x14ac:dyDescent="0.25">
      <c r="A1068" s="17">
        <v>5</v>
      </c>
      <c r="B1068" s="76"/>
      <c r="C1068" s="50" t="s">
        <v>6028</v>
      </c>
      <c r="D1068" s="20" t="s">
        <v>6029</v>
      </c>
      <c r="E1068" s="52" t="s">
        <v>56</v>
      </c>
      <c r="F1068" s="22" t="s">
        <v>5691</v>
      </c>
      <c r="G1068" s="22" t="s">
        <v>3872</v>
      </c>
      <c r="H1068" s="22" t="s">
        <v>5692</v>
      </c>
      <c r="I1068" s="22" t="s">
        <v>155</v>
      </c>
      <c r="J1068" s="22" t="s">
        <v>5693</v>
      </c>
      <c r="K1068" s="22"/>
      <c r="L1068" s="22"/>
      <c r="M1068" s="22"/>
      <c r="N1068" s="22"/>
      <c r="O1068" s="22"/>
      <c r="P1068" s="22"/>
      <c r="Q1068" s="22"/>
      <c r="R1068" s="22"/>
      <c r="S1068" s="23" t="s">
        <v>296</v>
      </c>
      <c r="T1068" s="23"/>
      <c r="U1068" s="23"/>
      <c r="V1068" s="23"/>
      <c r="W1068" s="77">
        <v>45931</v>
      </c>
      <c r="X1068" s="30">
        <v>39965</v>
      </c>
      <c r="Y1068" s="30">
        <v>39965</v>
      </c>
      <c r="Z1068" s="55" t="str">
        <f t="shared" ca="1" si="78"/>
        <v>16 Tahun 4 Bulan 30 Hari</v>
      </c>
      <c r="AA1068" s="66" t="s">
        <v>76</v>
      </c>
      <c r="AB1068" s="56">
        <v>31050</v>
      </c>
      <c r="AC1068" s="31" t="s">
        <v>6030</v>
      </c>
      <c r="AD1068" s="57" t="str">
        <f t="shared" ca="1" si="77"/>
        <v xml:space="preserve">40 Tahun 9 Bulan </v>
      </c>
      <c r="AE1068" s="33" t="s">
        <v>4653</v>
      </c>
      <c r="AF1068" s="71"/>
      <c r="AG1068" s="23" t="s">
        <v>4659</v>
      </c>
      <c r="AH1068" s="58"/>
      <c r="AI1068" s="58"/>
      <c r="AJ1068" s="58"/>
      <c r="AK1068" s="33"/>
      <c r="AL1068" s="36"/>
    </row>
    <row r="1069" spans="1:38" ht="14.45" customHeight="1" x14ac:dyDescent="0.25">
      <c r="A1069" s="17">
        <v>6</v>
      </c>
      <c r="B1069" s="76"/>
      <c r="C1069" s="50" t="s">
        <v>4706</v>
      </c>
      <c r="D1069" s="20" t="s">
        <v>4707</v>
      </c>
      <c r="E1069" s="52" t="s">
        <v>40</v>
      </c>
      <c r="F1069" s="22" t="s">
        <v>238</v>
      </c>
      <c r="G1069" s="22" t="s">
        <v>3872</v>
      </c>
      <c r="H1069" s="22" t="s">
        <v>1078</v>
      </c>
      <c r="I1069" s="22" t="s">
        <v>44</v>
      </c>
      <c r="J1069" s="22" t="s">
        <v>1079</v>
      </c>
      <c r="K1069" s="22"/>
      <c r="L1069" s="22"/>
      <c r="M1069" s="22"/>
      <c r="N1069" s="22"/>
      <c r="O1069" s="22"/>
      <c r="P1069" s="22"/>
      <c r="Q1069" s="22"/>
      <c r="R1069" s="22"/>
      <c r="S1069" s="23" t="s">
        <v>1080</v>
      </c>
      <c r="T1069" s="23"/>
      <c r="U1069" s="23"/>
      <c r="V1069" s="23"/>
      <c r="W1069" s="77">
        <v>45261</v>
      </c>
      <c r="X1069" s="30">
        <v>45261</v>
      </c>
      <c r="Y1069" s="30">
        <v>45261</v>
      </c>
      <c r="Z1069" s="55" t="str">
        <f t="shared" ca="1" si="78"/>
        <v>1 Tahun 10 Bulan 30 Hari</v>
      </c>
      <c r="AA1069" s="66" t="s">
        <v>76</v>
      </c>
      <c r="AB1069" s="56">
        <v>30471</v>
      </c>
      <c r="AC1069" s="31" t="s">
        <v>4708</v>
      </c>
      <c r="AD1069" s="57" t="str">
        <f t="shared" ca="1" si="77"/>
        <v xml:space="preserve">42 Tahun 4 Bulan </v>
      </c>
      <c r="AE1069" s="33" t="s">
        <v>4384</v>
      </c>
      <c r="AF1069" s="71"/>
      <c r="AG1069" s="23" t="s">
        <v>4659</v>
      </c>
      <c r="AH1069" s="22"/>
      <c r="AI1069" s="22"/>
      <c r="AJ1069" s="22"/>
      <c r="AK1069" s="33" t="s">
        <v>4675</v>
      </c>
      <c r="AL1069" s="36"/>
    </row>
    <row r="1070" spans="1:38" ht="14.45" customHeight="1" x14ac:dyDescent="0.25">
      <c r="A1070" s="17">
        <v>7</v>
      </c>
      <c r="B1070" s="76"/>
      <c r="C1070" s="138" t="s">
        <v>4709</v>
      </c>
      <c r="D1070" s="103" t="s">
        <v>4710</v>
      </c>
      <c r="E1070" s="92" t="s">
        <v>40</v>
      </c>
      <c r="F1070" s="92" t="s">
        <v>41</v>
      </c>
      <c r="G1070" s="15" t="s">
        <v>227</v>
      </c>
      <c r="H1070" s="58" t="s">
        <v>228</v>
      </c>
      <c r="I1070" s="58" t="s">
        <v>155</v>
      </c>
      <c r="J1070" s="58" t="s">
        <v>156</v>
      </c>
      <c r="K1070" s="81">
        <v>45627</v>
      </c>
      <c r="L1070" s="25"/>
      <c r="M1070" s="26"/>
      <c r="N1070" s="26"/>
      <c r="O1070" s="27"/>
      <c r="P1070" s="28"/>
      <c r="Q1070" s="29"/>
      <c r="R1070" s="26"/>
      <c r="S1070" s="65" t="s">
        <v>140</v>
      </c>
      <c r="T1070" s="65"/>
      <c r="U1070" s="65"/>
      <c r="V1070" s="65"/>
      <c r="W1070" s="82">
        <v>44166</v>
      </c>
      <c r="X1070" s="82">
        <v>42370</v>
      </c>
      <c r="Y1070" s="82">
        <v>42401</v>
      </c>
      <c r="Z1070" s="55" t="str">
        <f t="shared" ca="1" si="78"/>
        <v>9 Tahun 9 Bulan 30 Hari</v>
      </c>
      <c r="AA1070" s="204" t="s">
        <v>882</v>
      </c>
      <c r="AB1070" s="205">
        <v>31222</v>
      </c>
      <c r="AC1070" s="102" t="s">
        <v>4711</v>
      </c>
      <c r="AD1070" s="57" t="str">
        <f t="shared" ref="AD1070:AD1113" ca="1" si="79">DATEDIF(AB1070,TODAY(),"y")&amp;" Tahun "&amp;DATEDIF(AB1070,TODAY(),"ym")&amp;" Bulan "</f>
        <v xml:space="preserve">40 Tahun 4 Bulan </v>
      </c>
      <c r="AE1070" s="38" t="s">
        <v>4712</v>
      </c>
      <c r="AF1070" s="64"/>
      <c r="AG1070" s="58" t="s">
        <v>4713</v>
      </c>
      <c r="AH1070" s="22"/>
      <c r="AI1070" s="22"/>
      <c r="AJ1070" s="22"/>
      <c r="AK1070" s="33" t="s">
        <v>4675</v>
      </c>
      <c r="AL1070" s="36"/>
    </row>
    <row r="1071" spans="1:38" ht="14.45" customHeight="1" x14ac:dyDescent="0.25">
      <c r="A1071" s="17">
        <v>8</v>
      </c>
      <c r="B1071" s="18"/>
      <c r="C1071" s="50" t="s">
        <v>4715</v>
      </c>
      <c r="D1071" s="20" t="s">
        <v>4716</v>
      </c>
      <c r="E1071" s="52" t="s">
        <v>56</v>
      </c>
      <c r="F1071" s="22" t="s">
        <v>41</v>
      </c>
      <c r="G1071" s="23" t="s">
        <v>193</v>
      </c>
      <c r="H1071" s="22" t="s">
        <v>194</v>
      </c>
      <c r="I1071" s="22" t="s">
        <v>155</v>
      </c>
      <c r="J1071" s="22" t="s">
        <v>1069</v>
      </c>
      <c r="K1071" s="24">
        <v>44470</v>
      </c>
      <c r="L1071" s="22"/>
      <c r="M1071" s="22"/>
      <c r="N1071" s="22"/>
      <c r="O1071" s="22"/>
      <c r="P1071" s="22"/>
      <c r="Q1071" s="22"/>
      <c r="R1071" s="22"/>
      <c r="S1071" s="23" t="s">
        <v>202</v>
      </c>
      <c r="T1071" s="23"/>
      <c r="U1071" s="23"/>
      <c r="V1071" s="23"/>
      <c r="W1071" s="30">
        <v>39083</v>
      </c>
      <c r="X1071" s="30">
        <v>34183</v>
      </c>
      <c r="Y1071" s="30">
        <v>34183</v>
      </c>
      <c r="Z1071" s="55" t="str">
        <f ca="1">DATEDIF(W1071,TODAY(),"y")&amp;" Tahun "&amp;DATEDIF(W1071,TODAY(),"ym")&amp;" Bulan "&amp;DATEDIF(W1071,TODAY(),"md")&amp;" Hari"</f>
        <v>18 Tahun 9 Bulan 30 Hari</v>
      </c>
      <c r="AA1071" s="55" t="s">
        <v>76</v>
      </c>
      <c r="AB1071" s="56">
        <v>24851</v>
      </c>
      <c r="AC1071" s="31" t="s">
        <v>4717</v>
      </c>
      <c r="AD1071" s="57" t="str">
        <f t="shared" ca="1" si="79"/>
        <v xml:space="preserve">57 Tahun 9 Bulan </v>
      </c>
      <c r="AE1071" s="33" t="s">
        <v>1069</v>
      </c>
      <c r="AF1071" s="34"/>
      <c r="AG1071" s="58" t="s">
        <v>4713</v>
      </c>
      <c r="AH1071" s="22"/>
      <c r="AI1071" s="22"/>
      <c r="AJ1071" s="22"/>
      <c r="AK1071" s="33" t="s">
        <v>4675</v>
      </c>
      <c r="AL1071" s="36"/>
    </row>
    <row r="1072" spans="1:38" ht="14.45" customHeight="1" x14ac:dyDescent="0.25">
      <c r="A1072" s="17">
        <v>9</v>
      </c>
      <c r="B1072" s="18"/>
      <c r="C1072" s="50" t="s">
        <v>6031</v>
      </c>
      <c r="D1072" s="20" t="s">
        <v>4718</v>
      </c>
      <c r="E1072" s="52" t="s">
        <v>56</v>
      </c>
      <c r="F1072" s="58" t="s">
        <v>41</v>
      </c>
      <c r="G1072" s="23" t="s">
        <v>137</v>
      </c>
      <c r="H1072" s="22" t="s">
        <v>138</v>
      </c>
      <c r="I1072" s="22" t="s">
        <v>44</v>
      </c>
      <c r="J1072" s="22" t="s">
        <v>4662</v>
      </c>
      <c r="K1072" s="24">
        <v>45017</v>
      </c>
      <c r="L1072" s="22"/>
      <c r="M1072" s="22"/>
      <c r="N1072" s="22"/>
      <c r="O1072" s="22"/>
      <c r="P1072" s="22"/>
      <c r="Q1072" s="22"/>
      <c r="R1072" s="22"/>
      <c r="S1072" s="23" t="s">
        <v>1391</v>
      </c>
      <c r="T1072" s="23"/>
      <c r="U1072" s="23"/>
      <c r="V1072" s="23"/>
      <c r="W1072" s="30">
        <v>36586</v>
      </c>
      <c r="X1072" s="30">
        <v>36708</v>
      </c>
      <c r="Y1072" s="22"/>
      <c r="Z1072" s="55" t="str">
        <f ca="1">DATEDIF(W1072,TODAY(),"y")&amp;" Tahun "&amp;DATEDIF(W1072,TODAY(),"ym")&amp;" Bulan "&amp;DATEDIF(W1072,TODAY(),"md")&amp;" Hari"</f>
        <v>25 Tahun 7 Bulan 30 Hari</v>
      </c>
      <c r="AA1072" s="55" t="s">
        <v>76</v>
      </c>
      <c r="AB1072" s="56">
        <v>27135</v>
      </c>
      <c r="AC1072" s="31" t="s">
        <v>4719</v>
      </c>
      <c r="AD1072" s="57" t="str">
        <f t="shared" ca="1" si="79"/>
        <v xml:space="preserve">51 Tahun 6 Bulan </v>
      </c>
      <c r="AE1072" s="33" t="s">
        <v>242</v>
      </c>
      <c r="AF1072" s="71"/>
      <c r="AG1072" s="58" t="s">
        <v>4713</v>
      </c>
      <c r="AH1072" s="22"/>
      <c r="AI1072" s="22"/>
      <c r="AJ1072" s="22"/>
      <c r="AK1072" s="33" t="s">
        <v>4675</v>
      </c>
      <c r="AL1072" s="36"/>
    </row>
    <row r="1073" spans="1:39" ht="14.45" customHeight="1" x14ac:dyDescent="0.25">
      <c r="A1073" s="17">
        <v>10</v>
      </c>
      <c r="B1073" s="18"/>
      <c r="C1073" s="50" t="s">
        <v>6032</v>
      </c>
      <c r="D1073" s="20" t="s">
        <v>4720</v>
      </c>
      <c r="E1073" s="52" t="s">
        <v>56</v>
      </c>
      <c r="F1073" s="22" t="s">
        <v>41</v>
      </c>
      <c r="G1073" s="23" t="s">
        <v>227</v>
      </c>
      <c r="H1073" s="22" t="s">
        <v>228</v>
      </c>
      <c r="I1073" s="22" t="s">
        <v>44</v>
      </c>
      <c r="J1073" s="22" t="s">
        <v>250</v>
      </c>
      <c r="K1073" s="24">
        <v>45017</v>
      </c>
      <c r="L1073" s="22"/>
      <c r="M1073" s="22"/>
      <c r="N1073" s="22"/>
      <c r="O1073" s="22"/>
      <c r="P1073" s="22"/>
      <c r="Q1073" s="22"/>
      <c r="R1073" s="22"/>
      <c r="S1073" s="23" t="s">
        <v>1391</v>
      </c>
      <c r="T1073" s="23"/>
      <c r="U1073" s="23"/>
      <c r="V1073" s="23"/>
      <c r="W1073" s="30">
        <v>39783</v>
      </c>
      <c r="X1073" s="30">
        <v>37865</v>
      </c>
      <c r="Y1073" s="30">
        <v>37865</v>
      </c>
      <c r="Z1073" s="55" t="str">
        <f ca="1">DATEDIF(W1073,TODAY(),"y")&amp;" Tahun "&amp;DATEDIF(W1073,TODAY(),"ym")&amp;" Bulan "&amp;DATEDIF(W1073,TODAY(),"md")&amp;" Hari"</f>
        <v>16 Tahun 10 Bulan 30 Hari</v>
      </c>
      <c r="AA1073" s="55" t="s">
        <v>76</v>
      </c>
      <c r="AB1073" s="56">
        <v>28244</v>
      </c>
      <c r="AC1073" s="31" t="s">
        <v>4721</v>
      </c>
      <c r="AD1073" s="57" t="str">
        <f t="shared" ca="1" si="79"/>
        <v xml:space="preserve">48 Tahun 6 Bulan </v>
      </c>
      <c r="AE1073" s="33" t="s">
        <v>4722</v>
      </c>
      <c r="AF1073" s="71"/>
      <c r="AG1073" s="58" t="s">
        <v>4713</v>
      </c>
      <c r="AH1073" s="58"/>
      <c r="AI1073" s="58"/>
      <c r="AJ1073" s="58"/>
      <c r="AK1073" s="33" t="s">
        <v>1532</v>
      </c>
      <c r="AL1073" s="36"/>
    </row>
    <row r="1074" spans="1:39" ht="14.45" customHeight="1" x14ac:dyDescent="0.25">
      <c r="A1074" s="17">
        <v>11</v>
      </c>
      <c r="B1074" s="18"/>
      <c r="C1074" s="50" t="s">
        <v>4723</v>
      </c>
      <c r="D1074" s="20" t="s">
        <v>4724</v>
      </c>
      <c r="E1074" s="52" t="s">
        <v>56</v>
      </c>
      <c r="F1074" s="22" t="s">
        <v>41</v>
      </c>
      <c r="G1074" s="33" t="s">
        <v>193</v>
      </c>
      <c r="H1074" s="22" t="s">
        <v>194</v>
      </c>
      <c r="I1074" s="22" t="s">
        <v>44</v>
      </c>
      <c r="J1074" s="22" t="s">
        <v>4667</v>
      </c>
      <c r="K1074" s="24">
        <v>45200</v>
      </c>
      <c r="L1074" s="22"/>
      <c r="M1074" s="22"/>
      <c r="N1074" s="22"/>
      <c r="O1074" s="22"/>
      <c r="P1074" s="22"/>
      <c r="Q1074" s="22"/>
      <c r="R1074" s="22"/>
      <c r="S1074" s="23" t="s">
        <v>202</v>
      </c>
      <c r="T1074" s="23"/>
      <c r="U1074" s="23"/>
      <c r="V1074" s="23"/>
      <c r="W1074" s="30">
        <v>41245</v>
      </c>
      <c r="X1074" s="30">
        <v>38355</v>
      </c>
      <c r="Y1074" s="30">
        <v>41671</v>
      </c>
      <c r="Z1074" s="55" t="str">
        <f ca="1">DATEDIF(X1074,TODAY(),"y")&amp;" Tahun "&amp;DATEDIF(X1074,TODAY(),"ym")&amp;" Bulan "&amp;DATEDIF(X1074,TODAY(),"md")&amp;" Hari"</f>
        <v>20 Tahun 9 Bulan 28 Hari</v>
      </c>
      <c r="AA1074" s="55" t="s">
        <v>76</v>
      </c>
      <c r="AB1074" s="56">
        <v>30253</v>
      </c>
      <c r="AC1074" s="31" t="s">
        <v>4725</v>
      </c>
      <c r="AD1074" s="57" t="str">
        <f t="shared" ca="1" si="79"/>
        <v xml:space="preserve">43 Tahun 0 Bulan </v>
      </c>
      <c r="AE1074" s="33" t="s">
        <v>242</v>
      </c>
      <c r="AF1074" s="79"/>
      <c r="AG1074" s="58" t="s">
        <v>4713</v>
      </c>
      <c r="AH1074" s="58"/>
      <c r="AI1074" s="58"/>
      <c r="AJ1074" s="58"/>
      <c r="AK1074" s="33"/>
      <c r="AL1074" s="36"/>
    </row>
    <row r="1075" spans="1:39" ht="14.45" customHeight="1" x14ac:dyDescent="0.25">
      <c r="A1075" s="17">
        <v>12</v>
      </c>
      <c r="B1075" s="18"/>
      <c r="C1075" s="50" t="s">
        <v>4726</v>
      </c>
      <c r="D1075" s="20" t="s">
        <v>4727</v>
      </c>
      <c r="E1075" s="58" t="s">
        <v>56</v>
      </c>
      <c r="F1075" s="92" t="s">
        <v>41</v>
      </c>
      <c r="G1075" s="23" t="s">
        <v>193</v>
      </c>
      <c r="H1075" s="22" t="s">
        <v>194</v>
      </c>
      <c r="I1075" s="22" t="s">
        <v>44</v>
      </c>
      <c r="J1075" s="22" t="s">
        <v>250</v>
      </c>
      <c r="K1075" s="30"/>
      <c r="L1075" s="22"/>
      <c r="M1075" s="22"/>
      <c r="N1075" s="22"/>
      <c r="O1075" s="22"/>
      <c r="P1075" s="22"/>
      <c r="Q1075" s="22"/>
      <c r="R1075" s="22"/>
      <c r="S1075" s="33" t="s">
        <v>202</v>
      </c>
      <c r="T1075" s="33">
        <v>2018</v>
      </c>
      <c r="U1075" s="33"/>
      <c r="V1075" s="33"/>
      <c r="W1075" s="30">
        <v>44621</v>
      </c>
      <c r="X1075" s="30">
        <v>44621</v>
      </c>
      <c r="Y1075" s="30">
        <v>44621</v>
      </c>
      <c r="Z1075" s="55" t="str">
        <f ca="1">DATEDIF(X1075,TODAY(),"y")&amp;" Tahun "&amp;DATEDIF(X1075,TODAY(),"ym")&amp;" Bulan "&amp;DATEDIF(X1075,TODAY(),"md")&amp;" Hari"</f>
        <v>3 Tahun 7 Bulan 30 Hari</v>
      </c>
      <c r="AA1075" s="66" t="s">
        <v>76</v>
      </c>
      <c r="AB1075" s="56">
        <v>34804</v>
      </c>
      <c r="AC1075" s="31" t="s">
        <v>4728</v>
      </c>
      <c r="AD1075" s="57" t="str">
        <f t="shared" ca="1" si="79"/>
        <v xml:space="preserve">30 Tahun 6 Bulan </v>
      </c>
      <c r="AE1075" s="33" t="s">
        <v>254</v>
      </c>
      <c r="AF1075" s="71"/>
      <c r="AG1075" s="58" t="s">
        <v>4713</v>
      </c>
      <c r="AH1075" s="22"/>
      <c r="AI1075" s="22"/>
      <c r="AJ1075" s="22"/>
      <c r="AK1075" s="33" t="s">
        <v>200</v>
      </c>
      <c r="AL1075" s="36"/>
    </row>
    <row r="1076" spans="1:39" ht="14.45" customHeight="1" x14ac:dyDescent="0.25">
      <c r="A1076" s="17">
        <v>1</v>
      </c>
      <c r="B1076" s="18"/>
      <c r="C1076" s="50" t="s">
        <v>6033</v>
      </c>
      <c r="D1076" s="20" t="s">
        <v>4729</v>
      </c>
      <c r="E1076" s="21" t="s">
        <v>56</v>
      </c>
      <c r="F1076" s="22" t="s">
        <v>41</v>
      </c>
      <c r="G1076" s="23" t="s">
        <v>4730</v>
      </c>
      <c r="H1076" s="22" t="s">
        <v>228</v>
      </c>
      <c r="I1076" s="22" t="s">
        <v>155</v>
      </c>
      <c r="J1076" s="22" t="s">
        <v>156</v>
      </c>
      <c r="K1076" s="24">
        <v>44652</v>
      </c>
      <c r="L1076" s="22"/>
      <c r="M1076" s="22"/>
      <c r="N1076" s="22"/>
      <c r="O1076" s="22"/>
      <c r="P1076" s="22"/>
      <c r="Q1076" s="22"/>
      <c r="R1076" s="22"/>
      <c r="S1076" s="23" t="s">
        <v>202</v>
      </c>
      <c r="T1076" s="23"/>
      <c r="U1076" s="23"/>
      <c r="V1076" s="23"/>
      <c r="W1076" s="30">
        <v>39873</v>
      </c>
      <c r="X1076" s="30">
        <v>41277</v>
      </c>
      <c r="Y1076" s="30">
        <v>43525</v>
      </c>
      <c r="Z1076" s="31" t="str">
        <f ca="1">DATEDIF(W1076,TODAY(),"y")&amp;" Tahun "&amp;DATEDIF(W1076,TODAY(),"ym")&amp;" Bulan "&amp;DATEDIF(W1076,TODAY(),"md")&amp;" Hari"</f>
        <v>16 Tahun 7 Bulan 30 Hari</v>
      </c>
      <c r="AA1076" s="31" t="s">
        <v>76</v>
      </c>
      <c r="AB1076" s="32">
        <v>28862</v>
      </c>
      <c r="AC1076" s="32" t="s">
        <v>4731</v>
      </c>
      <c r="AD1076" s="22" t="str">
        <f t="shared" ca="1" si="79"/>
        <v xml:space="preserve">46 Tahun 9 Bulan </v>
      </c>
      <c r="AE1076" s="34" t="s">
        <v>254</v>
      </c>
      <c r="AF1076" s="34"/>
      <c r="AG1076" s="58" t="s">
        <v>4713</v>
      </c>
      <c r="AH1076" s="58"/>
      <c r="AI1076" s="58"/>
      <c r="AJ1076" s="87"/>
      <c r="AK1076" s="61"/>
      <c r="AL1076" s="36"/>
    </row>
    <row r="1077" spans="1:39" ht="14.45" customHeight="1" x14ac:dyDescent="0.25">
      <c r="A1077" s="17">
        <v>2</v>
      </c>
      <c r="B1077" s="76"/>
      <c r="C1077" s="50" t="s">
        <v>4733</v>
      </c>
      <c r="D1077" s="51" t="s">
        <v>6034</v>
      </c>
      <c r="E1077" s="52" t="s">
        <v>56</v>
      </c>
      <c r="F1077" s="58" t="s">
        <v>5691</v>
      </c>
      <c r="G1077" s="85" t="s">
        <v>3872</v>
      </c>
      <c r="H1077" s="58" t="s">
        <v>5692</v>
      </c>
      <c r="I1077" s="58" t="s">
        <v>155</v>
      </c>
      <c r="J1077" s="58" t="s">
        <v>5693</v>
      </c>
      <c r="K1077" s="58"/>
      <c r="L1077" s="22"/>
      <c r="M1077" s="22"/>
      <c r="N1077" s="22"/>
      <c r="O1077" s="22"/>
      <c r="P1077" s="22"/>
      <c r="Q1077" s="22"/>
      <c r="R1077" s="22"/>
      <c r="S1077" s="59" t="s">
        <v>296</v>
      </c>
      <c r="T1077" s="59"/>
      <c r="U1077" s="59"/>
      <c r="V1077" s="59"/>
      <c r="W1077" s="177">
        <v>45931</v>
      </c>
      <c r="X1077" s="82">
        <v>39085</v>
      </c>
      <c r="Y1077" s="82">
        <v>43550</v>
      </c>
      <c r="Z1077" s="55" t="str">
        <f ca="1">DATEDIF(X1077,TODAY(),"y")&amp;" Tahun "&amp;DATEDIF(X1077,TODAY(),"ym")&amp;" Bulan "&amp;DATEDIF(X1077,TODAY(),"md")&amp;" Hari"</f>
        <v>18 Tahun 9 Bulan 28 Hari</v>
      </c>
      <c r="AA1077" s="66" t="s">
        <v>76</v>
      </c>
      <c r="AB1077" s="83">
        <v>31060</v>
      </c>
      <c r="AC1077" s="102" t="s">
        <v>6035</v>
      </c>
      <c r="AD1077" s="57" t="str">
        <f t="shared" ca="1" si="79"/>
        <v xml:space="preserve">40 Tahun 9 Bulan </v>
      </c>
      <c r="AE1077" s="85" t="s">
        <v>1069</v>
      </c>
      <c r="AF1077" s="71"/>
      <c r="AG1077" s="58" t="s">
        <v>4713</v>
      </c>
      <c r="AH1077" s="22"/>
      <c r="AI1077" s="22"/>
      <c r="AJ1077" s="22"/>
      <c r="AK1077" s="33"/>
      <c r="AL1077" s="36"/>
    </row>
    <row r="1078" spans="1:39" ht="14.45" customHeight="1" x14ac:dyDescent="0.25">
      <c r="A1078" s="17">
        <v>3</v>
      </c>
      <c r="B1078" s="76"/>
      <c r="C1078" s="50" t="s">
        <v>6036</v>
      </c>
      <c r="D1078" s="20" t="s">
        <v>6037</v>
      </c>
      <c r="E1078" s="52" t="s">
        <v>56</v>
      </c>
      <c r="F1078" s="22" t="s">
        <v>5691</v>
      </c>
      <c r="G1078" s="85" t="s">
        <v>3872</v>
      </c>
      <c r="H1078" s="58" t="s">
        <v>5692</v>
      </c>
      <c r="I1078" s="60" t="s">
        <v>155</v>
      </c>
      <c r="J1078" s="60" t="s">
        <v>5687</v>
      </c>
      <c r="K1078" s="22"/>
      <c r="L1078" s="22"/>
      <c r="M1078" s="22"/>
      <c r="N1078" s="22"/>
      <c r="O1078" s="22"/>
      <c r="P1078" s="22"/>
      <c r="Q1078" s="22"/>
      <c r="R1078" s="22"/>
      <c r="S1078" s="23" t="s">
        <v>202</v>
      </c>
      <c r="T1078" s="23"/>
      <c r="U1078" s="23"/>
      <c r="V1078" s="23"/>
      <c r="W1078" s="77">
        <v>45931</v>
      </c>
      <c r="X1078" s="30">
        <v>39449</v>
      </c>
      <c r="Y1078" s="30">
        <v>39449</v>
      </c>
      <c r="Z1078" s="55" t="str">
        <f ca="1">DATEDIF(X1078,TODAY(),"y")&amp;" Tahun "&amp;DATEDIF(X1078,TODAY(),"ym")&amp;" Bulan "&amp;DATEDIF(X1078,TODAY(),"md")&amp;" Hari"</f>
        <v>17 Tahun 9 Bulan 29 Hari</v>
      </c>
      <c r="AA1078" s="55" t="s">
        <v>76</v>
      </c>
      <c r="AB1078" s="56">
        <v>30703</v>
      </c>
      <c r="AC1078" s="31" t="s">
        <v>6038</v>
      </c>
      <c r="AD1078" s="57" t="str">
        <f t="shared" ca="1" si="79"/>
        <v xml:space="preserve">41 Tahun 9 Bulan </v>
      </c>
      <c r="AE1078" s="33" t="s">
        <v>4722</v>
      </c>
      <c r="AF1078" s="34"/>
      <c r="AG1078" s="58" t="s">
        <v>4713</v>
      </c>
      <c r="AH1078" s="22"/>
      <c r="AI1078" s="22"/>
      <c r="AJ1078" s="22"/>
      <c r="AK1078" s="33"/>
      <c r="AL1078" s="36"/>
    </row>
    <row r="1079" spans="1:39" ht="14.45" customHeight="1" x14ac:dyDescent="0.25">
      <c r="A1079" s="17">
        <v>4</v>
      </c>
      <c r="B1079" s="18"/>
      <c r="C1079" s="50" t="s">
        <v>6039</v>
      </c>
      <c r="D1079" s="20" t="s">
        <v>6040</v>
      </c>
      <c r="E1079" s="22" t="s">
        <v>56</v>
      </c>
      <c r="F1079" s="22" t="s">
        <v>5691</v>
      </c>
      <c r="G1079" s="33" t="s">
        <v>3872</v>
      </c>
      <c r="H1079" s="22" t="s">
        <v>5692</v>
      </c>
      <c r="I1079" s="22" t="s">
        <v>155</v>
      </c>
      <c r="J1079" s="22" t="s">
        <v>5687</v>
      </c>
      <c r="K1079" s="30"/>
      <c r="L1079" s="22"/>
      <c r="M1079" s="22"/>
      <c r="N1079" s="22"/>
      <c r="O1079" s="22"/>
      <c r="P1079" s="22"/>
      <c r="Q1079" s="22"/>
      <c r="R1079" s="22"/>
      <c r="S1079" s="33" t="s">
        <v>202</v>
      </c>
      <c r="T1079" s="33"/>
      <c r="U1079" s="33"/>
      <c r="V1079" s="33"/>
      <c r="W1079" s="30">
        <v>45931</v>
      </c>
      <c r="X1079" s="30">
        <v>42095</v>
      </c>
      <c r="Y1079" s="30">
        <v>42114</v>
      </c>
      <c r="Z1079" s="31" t="str">
        <f ca="1">DATEDIF(X1079,TODAY(),"y")&amp;" Tahun "&amp;DATEDIF(X1079,TODAY(),"ym")&amp;" Bulan "&amp;DATEDIF(X1079,TODAY(),"md")&amp;" Hari"</f>
        <v>10 Tahun 6 Bulan 30 Hari</v>
      </c>
      <c r="AA1079" s="31" t="s">
        <v>846</v>
      </c>
      <c r="AB1079" s="32">
        <v>30905</v>
      </c>
      <c r="AC1079" s="31" t="s">
        <v>6041</v>
      </c>
      <c r="AD1079" s="22" t="str">
        <f t="shared" ca="1" si="79"/>
        <v xml:space="preserve">41 Tahun 2 Bulan </v>
      </c>
      <c r="AE1079" s="33" t="s">
        <v>4722</v>
      </c>
      <c r="AF1079" s="34"/>
      <c r="AG1079" s="58" t="s">
        <v>4713</v>
      </c>
      <c r="AH1079" s="22"/>
      <c r="AI1079" s="22"/>
      <c r="AJ1079" s="22"/>
      <c r="AK1079" s="33"/>
      <c r="AL1079" s="36"/>
    </row>
    <row r="1080" spans="1:39" ht="14.45" customHeight="1" x14ac:dyDescent="0.25">
      <c r="A1080" s="17">
        <v>6</v>
      </c>
      <c r="B1080" s="18"/>
      <c r="C1080" s="50" t="s">
        <v>6042</v>
      </c>
      <c r="D1080" s="20" t="s">
        <v>6043</v>
      </c>
      <c r="E1080" s="22" t="s">
        <v>56</v>
      </c>
      <c r="F1080" s="22" t="s">
        <v>238</v>
      </c>
      <c r="G1080" s="23" t="s">
        <v>3872</v>
      </c>
      <c r="H1080" s="22" t="s">
        <v>239</v>
      </c>
      <c r="I1080" s="22" t="s">
        <v>155</v>
      </c>
      <c r="J1080" s="22" t="s">
        <v>5687</v>
      </c>
      <c r="K1080" s="30"/>
      <c r="L1080" s="22"/>
      <c r="M1080" s="22"/>
      <c r="N1080" s="22"/>
      <c r="O1080" s="22"/>
      <c r="P1080" s="22"/>
      <c r="Q1080" s="22"/>
      <c r="R1080" s="22"/>
      <c r="S1080" s="23" t="s">
        <v>202</v>
      </c>
      <c r="T1080" s="23"/>
      <c r="U1080" s="23"/>
      <c r="V1080" s="23"/>
      <c r="W1080" s="30">
        <v>45931</v>
      </c>
      <c r="X1080" s="30">
        <v>42370</v>
      </c>
      <c r="Y1080" s="30">
        <v>42401</v>
      </c>
      <c r="Z1080" s="31" t="str">
        <f ca="1">DATEDIF(X1080,TODAY(),"y")&amp;" Tahun "&amp;DATEDIF(X1080,TODAY(),"ym")&amp;" Bulan "&amp;DATEDIF(X1080,TODAY(),"md")&amp;" Hari"</f>
        <v>9 Tahun 9 Bulan 30 Hari</v>
      </c>
      <c r="AA1080" s="31" t="s">
        <v>76</v>
      </c>
      <c r="AB1080" s="32">
        <v>29623</v>
      </c>
      <c r="AC1080" s="31" t="s">
        <v>6044</v>
      </c>
      <c r="AD1080" s="22" t="str">
        <f t="shared" ca="1" si="79"/>
        <v xml:space="preserve">44 Tahun 8 Bulan </v>
      </c>
      <c r="AE1080" s="33" t="s">
        <v>4722</v>
      </c>
      <c r="AF1080" s="34"/>
      <c r="AG1080" s="58" t="s">
        <v>4713</v>
      </c>
      <c r="AH1080" s="58"/>
      <c r="AI1080" s="58"/>
      <c r="AJ1080" s="58"/>
      <c r="AK1080" s="33"/>
      <c r="AL1080" s="36"/>
    </row>
    <row r="1081" spans="1:39" ht="14.45" customHeight="1" x14ac:dyDescent="0.25">
      <c r="A1081" s="17">
        <v>1</v>
      </c>
      <c r="B1081" s="18"/>
      <c r="C1081" s="101" t="s">
        <v>4735</v>
      </c>
      <c r="D1081" s="20" t="s">
        <v>6045</v>
      </c>
      <c r="E1081" s="58" t="s">
        <v>56</v>
      </c>
      <c r="F1081" s="58" t="s">
        <v>5691</v>
      </c>
      <c r="G1081" s="33" t="s">
        <v>3872</v>
      </c>
      <c r="H1081" s="22" t="s">
        <v>5692</v>
      </c>
      <c r="I1081" s="22" t="s">
        <v>155</v>
      </c>
      <c r="J1081" s="22" t="s">
        <v>5687</v>
      </c>
      <c r="K1081" s="30"/>
      <c r="L1081" s="22"/>
      <c r="M1081" s="22"/>
      <c r="N1081" s="22"/>
      <c r="O1081" s="22"/>
      <c r="P1081" s="22"/>
      <c r="Q1081" s="22"/>
      <c r="R1081" s="22"/>
      <c r="S1081" s="33" t="s">
        <v>202</v>
      </c>
      <c r="T1081" s="33"/>
      <c r="U1081" s="33"/>
      <c r="V1081" s="33"/>
      <c r="W1081" s="30">
        <v>45931</v>
      </c>
      <c r="X1081" s="30">
        <v>42370</v>
      </c>
      <c r="Y1081" s="30">
        <v>42401</v>
      </c>
      <c r="Z1081" s="55" t="str">
        <f ca="1">DATEDIF(X1081,TODAY(),"y")&amp;" Tahun "&amp;DATEDIF(X1081,TODAY(),"ym")&amp;" Bulan "&amp;DATEDIF(X1081,TODAY(),"md")&amp;" Hari"</f>
        <v>9 Tahun 9 Bulan 30 Hari</v>
      </c>
      <c r="AA1081" s="55" t="s">
        <v>76</v>
      </c>
      <c r="AB1081" s="56">
        <v>31249</v>
      </c>
      <c r="AC1081" s="31" t="s">
        <v>6046</v>
      </c>
      <c r="AD1081" s="57" t="str">
        <f t="shared" ca="1" si="79"/>
        <v xml:space="preserve">40 Tahun 3 Bulan </v>
      </c>
      <c r="AE1081" s="61" t="s">
        <v>4722</v>
      </c>
      <c r="AF1081" s="71"/>
      <c r="AG1081" s="58" t="s">
        <v>4713</v>
      </c>
      <c r="AH1081" s="58"/>
      <c r="AI1081" s="58"/>
      <c r="AJ1081" s="58"/>
      <c r="AK1081" s="33"/>
      <c r="AL1081" s="36"/>
    </row>
    <row r="1082" spans="1:39" ht="14.45" customHeight="1" x14ac:dyDescent="0.25">
      <c r="A1082" s="17">
        <v>2</v>
      </c>
      <c r="B1082" s="18"/>
      <c r="C1082" s="50" t="s">
        <v>4736</v>
      </c>
      <c r="D1082" s="20" t="s">
        <v>4737</v>
      </c>
      <c r="E1082" s="52" t="s">
        <v>56</v>
      </c>
      <c r="F1082" s="22" t="s">
        <v>41</v>
      </c>
      <c r="G1082" s="23" t="s">
        <v>137</v>
      </c>
      <c r="H1082" s="60" t="s">
        <v>138</v>
      </c>
      <c r="I1082" s="60" t="s">
        <v>44</v>
      </c>
      <c r="J1082" s="22" t="s">
        <v>4738</v>
      </c>
      <c r="K1082" s="24">
        <v>44188</v>
      </c>
      <c r="L1082" s="23"/>
      <c r="M1082" s="26"/>
      <c r="N1082" s="26"/>
      <c r="O1082" s="23"/>
      <c r="P1082" s="23"/>
      <c r="Q1082" s="22"/>
      <c r="R1082" s="43"/>
      <c r="S1082" s="23" t="s">
        <v>140</v>
      </c>
      <c r="T1082" s="23"/>
      <c r="U1082" s="23"/>
      <c r="V1082" s="23"/>
      <c r="W1082" s="30">
        <v>34394</v>
      </c>
      <c r="X1082" s="30">
        <v>35674</v>
      </c>
      <c r="Y1082" s="30">
        <v>43966</v>
      </c>
      <c r="Z1082" s="55" t="str">
        <f ca="1">DATEDIF(W1082,TODAY(),"y")&amp;" Tahun "&amp;DATEDIF(W1082,TODAY(),"ym")&amp;" Bulan "&amp;DATEDIF(W1082,TODAY(),"md")&amp;" Hari"</f>
        <v>31 Tahun 7 Bulan 30 Hari</v>
      </c>
      <c r="AA1082" s="55" t="s">
        <v>1279</v>
      </c>
      <c r="AB1082" s="56">
        <v>26301</v>
      </c>
      <c r="AC1082" s="32" t="s">
        <v>4739</v>
      </c>
      <c r="AD1082" s="57" t="str">
        <f t="shared" ca="1" si="79"/>
        <v xml:space="preserve">53 Tahun 9 Bulan </v>
      </c>
      <c r="AE1082" s="23" t="s">
        <v>4740</v>
      </c>
      <c r="AF1082" s="34"/>
      <c r="AG1082" s="58" t="s">
        <v>4713</v>
      </c>
      <c r="AH1082" s="58"/>
      <c r="AI1082" s="58"/>
      <c r="AJ1082" s="58"/>
      <c r="AK1082" s="33"/>
      <c r="AL1082" s="36"/>
    </row>
    <row r="1083" spans="1:39" ht="14.45" customHeight="1" x14ac:dyDescent="0.25">
      <c r="A1083" s="17">
        <v>3</v>
      </c>
      <c r="B1083" s="18"/>
      <c r="C1083" s="50" t="s">
        <v>4742</v>
      </c>
      <c r="D1083" s="20" t="s">
        <v>4743</v>
      </c>
      <c r="E1083" s="52" t="s">
        <v>40</v>
      </c>
      <c r="F1083" s="58" t="s">
        <v>41</v>
      </c>
      <c r="G1083" s="23" t="s">
        <v>227</v>
      </c>
      <c r="H1083" s="22" t="s">
        <v>228</v>
      </c>
      <c r="I1083" s="22" t="s">
        <v>155</v>
      </c>
      <c r="J1083" s="22" t="s">
        <v>4744</v>
      </c>
      <c r="K1083" s="24">
        <v>45017</v>
      </c>
      <c r="L1083" s="22"/>
      <c r="M1083" s="22"/>
      <c r="N1083" s="22"/>
      <c r="O1083" s="22"/>
      <c r="P1083" s="22"/>
      <c r="Q1083" s="22"/>
      <c r="R1083" s="22"/>
      <c r="S1083" s="23" t="s">
        <v>4745</v>
      </c>
      <c r="T1083" s="23"/>
      <c r="U1083" s="23"/>
      <c r="V1083" s="23"/>
      <c r="W1083" s="30">
        <v>40513</v>
      </c>
      <c r="X1083" s="30">
        <v>40638</v>
      </c>
      <c r="Y1083" s="30">
        <v>40638</v>
      </c>
      <c r="Z1083" s="55" t="str">
        <f ca="1">DATEDIF(W1083,TODAY(),"y")&amp;" Tahun "&amp;DATEDIF(W1083,TODAY(),"ym")&amp;" Bulan "&amp;DATEDIF(W1083,TODAY(),"md")&amp;" Hari"</f>
        <v>14 Tahun 10 Bulan 30 Hari</v>
      </c>
      <c r="AA1083" s="55" t="s">
        <v>76</v>
      </c>
      <c r="AB1083" s="56">
        <v>31422</v>
      </c>
      <c r="AC1083" s="31" t="s">
        <v>4746</v>
      </c>
      <c r="AD1083" s="57" t="str">
        <f t="shared" ca="1" si="79"/>
        <v xml:space="preserve">39 Tahun 9 Bulan </v>
      </c>
      <c r="AE1083" s="33" t="s">
        <v>242</v>
      </c>
      <c r="AF1083" s="71"/>
      <c r="AG1083" s="58" t="s">
        <v>4713</v>
      </c>
      <c r="AH1083" s="58"/>
      <c r="AI1083" s="58"/>
      <c r="AJ1083" s="58"/>
      <c r="AK1083" s="33"/>
      <c r="AL1083" s="36"/>
    </row>
    <row r="1084" spans="1:39" ht="14.45" customHeight="1" x14ac:dyDescent="0.25">
      <c r="A1084" s="17">
        <v>4</v>
      </c>
      <c r="B1084" s="18"/>
      <c r="C1084" s="50" t="s">
        <v>4747</v>
      </c>
      <c r="D1084" s="20" t="s">
        <v>4748</v>
      </c>
      <c r="E1084" s="58" t="s">
        <v>56</v>
      </c>
      <c r="F1084" s="58" t="s">
        <v>41</v>
      </c>
      <c r="G1084" s="23" t="s">
        <v>193</v>
      </c>
      <c r="H1084" s="22" t="s">
        <v>194</v>
      </c>
      <c r="I1084" s="22" t="s">
        <v>44</v>
      </c>
      <c r="J1084" s="22" t="s">
        <v>250</v>
      </c>
      <c r="K1084" s="30"/>
      <c r="L1084" s="22"/>
      <c r="M1084" s="22"/>
      <c r="N1084" s="22"/>
      <c r="O1084" s="22"/>
      <c r="P1084" s="22"/>
      <c r="Q1084" s="22"/>
      <c r="R1084" s="22"/>
      <c r="S1084" s="33" t="s">
        <v>202</v>
      </c>
      <c r="T1084" s="33">
        <v>2012</v>
      </c>
      <c r="U1084" s="33"/>
      <c r="V1084" s="33"/>
      <c r="W1084" s="30">
        <v>44621</v>
      </c>
      <c r="X1084" s="30">
        <v>44621</v>
      </c>
      <c r="Y1084" s="30">
        <v>44621</v>
      </c>
      <c r="Z1084" s="55" t="str">
        <f ca="1">DATEDIF(X1084,TODAY(),"y")&amp;" Tahun "&amp;DATEDIF(X1084,TODAY(),"ym")&amp;" Bulan "&amp;DATEDIF(X1084,TODAY(),"md")&amp;" Hari"</f>
        <v>3 Tahun 7 Bulan 30 Hari</v>
      </c>
      <c r="AA1084" s="66" t="s">
        <v>1540</v>
      </c>
      <c r="AB1084" s="56">
        <v>32921</v>
      </c>
      <c r="AC1084" s="31" t="s">
        <v>4749</v>
      </c>
      <c r="AD1084" s="57" t="str">
        <f t="shared" ca="1" si="79"/>
        <v xml:space="preserve">35 Tahun 8 Bulan </v>
      </c>
      <c r="AE1084" s="33" t="s">
        <v>254</v>
      </c>
      <c r="AF1084" s="71"/>
      <c r="AG1084" s="58" t="s">
        <v>4713</v>
      </c>
      <c r="AH1084" s="58"/>
      <c r="AI1084" s="58"/>
      <c r="AJ1084" s="58"/>
      <c r="AK1084" s="33" t="s">
        <v>4642</v>
      </c>
      <c r="AL1084" s="36"/>
    </row>
    <row r="1085" spans="1:39" ht="14.45" customHeight="1" x14ac:dyDescent="0.25">
      <c r="A1085" s="17">
        <v>1</v>
      </c>
      <c r="B1085" s="18"/>
      <c r="C1085" s="50" t="s">
        <v>6047</v>
      </c>
      <c r="D1085" s="20" t="s">
        <v>6048</v>
      </c>
      <c r="E1085" s="52" t="s">
        <v>40</v>
      </c>
      <c r="F1085" s="22" t="s">
        <v>238</v>
      </c>
      <c r="G1085" s="33" t="s">
        <v>3872</v>
      </c>
      <c r="H1085" s="22" t="s">
        <v>1078</v>
      </c>
      <c r="I1085" s="58" t="s">
        <v>155</v>
      </c>
      <c r="J1085" s="58" t="s">
        <v>5693</v>
      </c>
      <c r="K1085" s="58"/>
      <c r="L1085" s="22"/>
      <c r="M1085" s="22"/>
      <c r="N1085" s="22"/>
      <c r="O1085" s="22"/>
      <c r="P1085" s="22"/>
      <c r="Q1085" s="22"/>
      <c r="R1085" s="22"/>
      <c r="S1085" s="59" t="s">
        <v>296</v>
      </c>
      <c r="T1085" s="59"/>
      <c r="U1085" s="59"/>
      <c r="V1085" s="59"/>
      <c r="W1085" s="177">
        <v>45931</v>
      </c>
      <c r="X1085" s="30">
        <v>39085</v>
      </c>
      <c r="Y1085" s="30">
        <v>39085</v>
      </c>
      <c r="Z1085" s="55" t="str">
        <f ca="1">DATEDIF(X1085,TODAY(),"y")&amp;" Tahun "&amp;DATEDIF(X1085,TODAY(),"ym")&amp;" Bulan "&amp;DATEDIF(X1085,TODAY(),"md")&amp;" Hari"</f>
        <v>18 Tahun 9 Bulan 28 Hari</v>
      </c>
      <c r="AA1085" s="55" t="s">
        <v>76</v>
      </c>
      <c r="AB1085" s="56">
        <v>31185</v>
      </c>
      <c r="AC1085" s="31" t="s">
        <v>6049</v>
      </c>
      <c r="AD1085" s="57" t="str">
        <f t="shared" ca="1" si="79"/>
        <v xml:space="preserve">40 Tahun 5 Bulan </v>
      </c>
      <c r="AE1085" s="33" t="s">
        <v>4722</v>
      </c>
      <c r="AF1085" s="34"/>
      <c r="AG1085" s="58" t="s">
        <v>4713</v>
      </c>
      <c r="AH1085" s="65" t="s">
        <v>4714</v>
      </c>
      <c r="AI1085" s="65"/>
      <c r="AJ1085" s="65"/>
      <c r="AK1085" s="65" t="s">
        <v>112</v>
      </c>
      <c r="AL1085" s="38"/>
      <c r="AM1085" s="47"/>
    </row>
    <row r="1086" spans="1:39" ht="14.45" customHeight="1" x14ac:dyDescent="0.25">
      <c r="A1086" s="17">
        <v>2</v>
      </c>
      <c r="B1086" s="78"/>
      <c r="C1086" s="50" t="s">
        <v>4750</v>
      </c>
      <c r="D1086" s="20" t="s">
        <v>6050</v>
      </c>
      <c r="E1086" s="21" t="s">
        <v>56</v>
      </c>
      <c r="F1086" s="22" t="s">
        <v>5691</v>
      </c>
      <c r="G1086" s="23" t="s">
        <v>3872</v>
      </c>
      <c r="H1086" s="22" t="s">
        <v>5692</v>
      </c>
      <c r="I1086" s="22" t="s">
        <v>155</v>
      </c>
      <c r="J1086" s="22" t="s">
        <v>5693</v>
      </c>
      <c r="K1086" s="30"/>
      <c r="L1086" s="53"/>
      <c r="M1086" s="26"/>
      <c r="N1086" s="26"/>
      <c r="O1086" s="27"/>
      <c r="P1086" s="53"/>
      <c r="Q1086" s="26"/>
      <c r="R1086" s="29"/>
      <c r="S1086" s="23" t="s">
        <v>4751</v>
      </c>
      <c r="T1086" s="23"/>
      <c r="U1086" s="23"/>
      <c r="V1086" s="23"/>
      <c r="W1086" s="30">
        <v>45931</v>
      </c>
      <c r="X1086" s="30">
        <v>45261</v>
      </c>
      <c r="Y1086" s="30">
        <v>45261</v>
      </c>
      <c r="Z1086" s="31" t="str">
        <f ca="1">DATEDIF(X1086,TODAY(),"y")&amp;" Tahun "&amp;DATEDIF(X1086,TODAY(),"ym")&amp;" Bulan "&amp;DATEDIF(X1086,TODAY(),"md")&amp;" Hari"</f>
        <v>1 Tahun 10 Bulan 30 Hari</v>
      </c>
      <c r="AA1086" s="31" t="s">
        <v>76</v>
      </c>
      <c r="AB1086" s="32">
        <v>33176</v>
      </c>
      <c r="AC1086" s="31" t="s">
        <v>6051</v>
      </c>
      <c r="AD1086" s="22" t="str">
        <f t="shared" ca="1" si="79"/>
        <v xml:space="preserve">35 Tahun 0 Bulan </v>
      </c>
      <c r="AE1086" s="33" t="s">
        <v>4752</v>
      </c>
      <c r="AF1086" s="34"/>
      <c r="AG1086" s="58" t="s">
        <v>4713</v>
      </c>
      <c r="AH1086" s="65" t="s">
        <v>4714</v>
      </c>
      <c r="AI1086" s="22"/>
      <c r="AJ1086" s="22"/>
      <c r="AK1086" s="33"/>
      <c r="AL1086" s="36"/>
    </row>
    <row r="1087" spans="1:39" ht="14.45" customHeight="1" x14ac:dyDescent="0.25">
      <c r="A1087" s="17">
        <v>3</v>
      </c>
      <c r="B1087" s="18"/>
      <c r="C1087" s="50" t="s">
        <v>6052</v>
      </c>
      <c r="D1087" s="20" t="s">
        <v>4754</v>
      </c>
      <c r="E1087" s="21" t="s">
        <v>56</v>
      </c>
      <c r="F1087" s="22" t="s">
        <v>192</v>
      </c>
      <c r="G1087" s="23" t="s">
        <v>1547</v>
      </c>
      <c r="H1087" s="22" t="s">
        <v>1548</v>
      </c>
      <c r="I1087" s="22" t="s">
        <v>155</v>
      </c>
      <c r="J1087" s="22" t="s">
        <v>4656</v>
      </c>
      <c r="K1087" s="24" t="s">
        <v>195</v>
      </c>
      <c r="L1087" s="22"/>
      <c r="M1087" s="22"/>
      <c r="N1087" s="22"/>
      <c r="O1087" s="22"/>
      <c r="P1087" s="22"/>
      <c r="Q1087" s="22"/>
      <c r="R1087" s="22"/>
      <c r="S1087" s="23" t="s">
        <v>296</v>
      </c>
      <c r="T1087" s="23"/>
      <c r="U1087" s="23"/>
      <c r="V1087" s="23"/>
      <c r="W1087" s="69">
        <v>45809</v>
      </c>
      <c r="X1087" s="69">
        <v>45810</v>
      </c>
      <c r="Y1087" s="69">
        <v>45810</v>
      </c>
      <c r="Z1087" s="31" t="str">
        <f ca="1">DATEDIF(X1087,TODAY(),"y")&amp;" Tahun "&amp;DATEDIF(X1087,TODAY(),"ym")&amp;" Bulan "&amp;DATEDIF(X1087,TODAY(),"md")&amp;" Hari"</f>
        <v>0 Tahun 4 Bulan 29 Hari</v>
      </c>
      <c r="AA1087" s="23" t="s">
        <v>3150</v>
      </c>
      <c r="AB1087" s="32">
        <v>38014</v>
      </c>
      <c r="AC1087" s="32" t="s">
        <v>4755</v>
      </c>
      <c r="AD1087" s="22" t="str">
        <f t="shared" ca="1" si="79"/>
        <v xml:space="preserve">21 Tahun 9 Bulan </v>
      </c>
      <c r="AE1087" s="23" t="s">
        <v>4689</v>
      </c>
      <c r="AF1087" s="34"/>
      <c r="AG1087" s="58" t="s">
        <v>4713</v>
      </c>
      <c r="AH1087" s="65" t="s">
        <v>4714</v>
      </c>
      <c r="AI1087" s="58"/>
      <c r="AJ1087" s="58"/>
      <c r="AK1087" s="33"/>
      <c r="AL1087" s="36"/>
    </row>
    <row r="1088" spans="1:39" ht="14.45" customHeight="1" x14ac:dyDescent="0.25">
      <c r="A1088" s="17">
        <v>4</v>
      </c>
      <c r="B1088" s="78"/>
      <c r="C1088" s="50" t="s">
        <v>4756</v>
      </c>
      <c r="D1088" s="62" t="s">
        <v>4757</v>
      </c>
      <c r="E1088" s="52" t="s">
        <v>40</v>
      </c>
      <c r="F1088" s="22" t="s">
        <v>41</v>
      </c>
      <c r="G1088" s="23" t="s">
        <v>227</v>
      </c>
      <c r="H1088" s="22" t="s">
        <v>228</v>
      </c>
      <c r="I1088" s="22" t="s">
        <v>44</v>
      </c>
      <c r="J1088" s="22" t="s">
        <v>1104</v>
      </c>
      <c r="K1088" s="30">
        <v>44621</v>
      </c>
      <c r="L1088" s="25" t="s">
        <v>4758</v>
      </c>
      <c r="M1088" s="29">
        <v>42993</v>
      </c>
      <c r="N1088" s="26">
        <v>44717</v>
      </c>
      <c r="O1088" s="27" t="s">
        <v>84</v>
      </c>
      <c r="P1088" s="28" t="s">
        <v>4759</v>
      </c>
      <c r="Q1088" s="29">
        <v>43131</v>
      </c>
      <c r="R1088" s="26">
        <v>44717</v>
      </c>
      <c r="S1088" s="23" t="s">
        <v>84</v>
      </c>
      <c r="T1088" s="23">
        <v>2017</v>
      </c>
      <c r="U1088" s="23"/>
      <c r="V1088" s="23"/>
      <c r="W1088" s="30">
        <v>44621</v>
      </c>
      <c r="X1088" s="30">
        <v>43070</v>
      </c>
      <c r="Y1088" s="30">
        <v>43887</v>
      </c>
      <c r="Z1088" s="55" t="str">
        <f t="shared" ref="Z1088:Z1093" ca="1" si="80">DATEDIF(X1088,TODAY(),"y")&amp;" Tahun "&amp;DATEDIF(X1088,TODAY(),"ym")&amp;" Bulan "&amp;DATEDIF(X1088,TODAY(),"md")&amp;" Hari"</f>
        <v>7 Tahun 10 Bulan 30 Hari</v>
      </c>
      <c r="AA1088" s="55" t="s">
        <v>76</v>
      </c>
      <c r="AB1088" s="56">
        <v>34125</v>
      </c>
      <c r="AC1088" s="32" t="s">
        <v>4760</v>
      </c>
      <c r="AD1088" s="57" t="str">
        <f t="shared" ca="1" si="79"/>
        <v xml:space="preserve">32 Tahun 4 Bulan </v>
      </c>
      <c r="AE1088" s="33" t="s">
        <v>4761</v>
      </c>
      <c r="AF1088" s="71"/>
      <c r="AG1088" s="22" t="s">
        <v>4762</v>
      </c>
      <c r="AH1088" s="65" t="s">
        <v>4714</v>
      </c>
      <c r="AI1088" s="58"/>
      <c r="AJ1088" s="58"/>
      <c r="AK1088" s="33"/>
      <c r="AL1088" s="36"/>
    </row>
    <row r="1089" spans="1:39" ht="14.45" customHeight="1" x14ac:dyDescent="0.25">
      <c r="A1089" s="17">
        <v>5</v>
      </c>
      <c r="B1089" s="18"/>
      <c r="C1089" s="50" t="s">
        <v>6053</v>
      </c>
      <c r="D1089" s="20" t="s">
        <v>6054</v>
      </c>
      <c r="E1089" s="21" t="s">
        <v>40</v>
      </c>
      <c r="F1089" s="22" t="s">
        <v>238</v>
      </c>
      <c r="G1089" s="33" t="s">
        <v>3872</v>
      </c>
      <c r="H1089" s="22" t="s">
        <v>239</v>
      </c>
      <c r="I1089" s="22" t="s">
        <v>44</v>
      </c>
      <c r="J1089" s="22" t="s">
        <v>6055</v>
      </c>
      <c r="K1089" s="22"/>
      <c r="L1089" s="22"/>
      <c r="M1089" s="23"/>
      <c r="N1089" s="26"/>
      <c r="O1089" s="22"/>
      <c r="P1089" s="22"/>
      <c r="Q1089" s="22"/>
      <c r="R1089" s="22"/>
      <c r="S1089" s="23" t="s">
        <v>4764</v>
      </c>
      <c r="T1089" s="23"/>
      <c r="U1089" s="23"/>
      <c r="V1089" s="23"/>
      <c r="W1089" s="77">
        <v>45931</v>
      </c>
      <c r="X1089" s="30">
        <v>39965</v>
      </c>
      <c r="Y1089" s="30">
        <v>42067</v>
      </c>
      <c r="Z1089" s="31" t="str">
        <f t="shared" ca="1" si="80"/>
        <v>16 Tahun 4 Bulan 30 Hari</v>
      </c>
      <c r="AA1089" s="31" t="s">
        <v>76</v>
      </c>
      <c r="AB1089" s="32">
        <v>30572</v>
      </c>
      <c r="AC1089" s="31" t="s">
        <v>6056</v>
      </c>
      <c r="AD1089" s="22" t="str">
        <f t="shared" ca="1" si="79"/>
        <v xml:space="preserve">42 Tahun 1 Bulan </v>
      </c>
      <c r="AE1089" s="33" t="s">
        <v>4765</v>
      </c>
      <c r="AF1089" s="34"/>
      <c r="AG1089" s="22" t="s">
        <v>4762</v>
      </c>
      <c r="AH1089" s="65" t="s">
        <v>4714</v>
      </c>
      <c r="AI1089" s="22"/>
      <c r="AJ1089" s="60"/>
      <c r="AK1089" s="61"/>
      <c r="AL1089" s="36"/>
    </row>
    <row r="1090" spans="1:39" ht="14.45" customHeight="1" x14ac:dyDescent="0.25">
      <c r="A1090" s="17">
        <v>6</v>
      </c>
      <c r="B1090" s="78"/>
      <c r="C1090" s="50" t="s">
        <v>4767</v>
      </c>
      <c r="D1090" s="20" t="s">
        <v>6057</v>
      </c>
      <c r="E1090" s="21" t="s">
        <v>56</v>
      </c>
      <c r="F1090" s="22" t="s">
        <v>5691</v>
      </c>
      <c r="G1090" s="23" t="s">
        <v>3872</v>
      </c>
      <c r="H1090" s="22" t="s">
        <v>5692</v>
      </c>
      <c r="I1090" s="22" t="s">
        <v>155</v>
      </c>
      <c r="J1090" s="22" t="s">
        <v>5693</v>
      </c>
      <c r="K1090" s="30"/>
      <c r="L1090" s="53"/>
      <c r="M1090" s="26"/>
      <c r="N1090" s="26"/>
      <c r="O1090" s="27"/>
      <c r="P1090" s="53"/>
      <c r="Q1090" s="26"/>
      <c r="R1090" s="29"/>
      <c r="S1090" s="23" t="s">
        <v>4768</v>
      </c>
      <c r="T1090" s="23"/>
      <c r="U1090" s="23"/>
      <c r="V1090" s="23"/>
      <c r="W1090" s="30">
        <v>45931</v>
      </c>
      <c r="X1090" s="30">
        <v>40695</v>
      </c>
      <c r="Y1090" s="30">
        <v>43369</v>
      </c>
      <c r="Z1090" s="31" t="str">
        <f t="shared" ca="1" si="80"/>
        <v>14 Tahun 4 Bulan 30 Hari</v>
      </c>
      <c r="AA1090" s="31" t="s">
        <v>1279</v>
      </c>
      <c r="AB1090" s="32">
        <v>32849</v>
      </c>
      <c r="AC1090" s="31" t="s">
        <v>6058</v>
      </c>
      <c r="AD1090" s="22" t="str">
        <f t="shared" ca="1" si="79"/>
        <v xml:space="preserve">35 Tahun 10 Bulan </v>
      </c>
      <c r="AE1090" s="33" t="s">
        <v>1069</v>
      </c>
      <c r="AF1090" s="34"/>
      <c r="AG1090" s="22" t="s">
        <v>4762</v>
      </c>
      <c r="AH1090" s="65" t="s">
        <v>4714</v>
      </c>
      <c r="AI1090" s="22"/>
      <c r="AJ1090" s="22"/>
      <c r="AK1090" s="33"/>
      <c r="AL1090" s="36"/>
    </row>
    <row r="1091" spans="1:39" s="47" customFormat="1" ht="14.25" customHeight="1" x14ac:dyDescent="0.25">
      <c r="A1091" s="17">
        <v>7</v>
      </c>
      <c r="B1091" s="18">
        <v>115</v>
      </c>
      <c r="C1091" s="50" t="s">
        <v>4769</v>
      </c>
      <c r="D1091" s="62" t="s">
        <v>4770</v>
      </c>
      <c r="E1091" s="92" t="s">
        <v>40</v>
      </c>
      <c r="F1091" s="92" t="s">
        <v>41</v>
      </c>
      <c r="G1091" s="38" t="s">
        <v>2877</v>
      </c>
      <c r="H1091" s="35" t="s">
        <v>2878</v>
      </c>
      <c r="I1091" s="35" t="s">
        <v>44</v>
      </c>
      <c r="J1091" s="35" t="s">
        <v>4656</v>
      </c>
      <c r="K1091" s="24">
        <v>45017</v>
      </c>
      <c r="L1091" s="38"/>
      <c r="M1091" s="38"/>
      <c r="N1091" s="38"/>
      <c r="O1091" s="38"/>
      <c r="P1091" s="38"/>
      <c r="Q1091" s="38"/>
      <c r="R1091" s="38"/>
      <c r="S1091" s="38" t="s">
        <v>202</v>
      </c>
      <c r="T1091" s="38">
        <v>2018</v>
      </c>
      <c r="U1091" s="38"/>
      <c r="V1091" s="38"/>
      <c r="W1091" s="37">
        <v>43435</v>
      </c>
      <c r="X1091" s="37">
        <v>43435</v>
      </c>
      <c r="Y1091" s="30">
        <v>43466</v>
      </c>
      <c r="Z1091" s="55" t="str">
        <f t="shared" ca="1" si="80"/>
        <v>6 Tahun 10 Bulan 30 Hari</v>
      </c>
      <c r="AA1091" s="55" t="s">
        <v>1178</v>
      </c>
      <c r="AB1091" s="94">
        <v>35193</v>
      </c>
      <c r="AC1091" s="31" t="s">
        <v>4771</v>
      </c>
      <c r="AD1091" s="57" t="str">
        <f t="shared" ca="1" si="79"/>
        <v xml:space="preserve">29 Tahun 5 Bulan </v>
      </c>
      <c r="AE1091" s="65" t="s">
        <v>4772</v>
      </c>
      <c r="AF1091" s="64"/>
      <c r="AG1091" s="22" t="s">
        <v>4762</v>
      </c>
      <c r="AH1091" s="65" t="s">
        <v>4714</v>
      </c>
      <c r="AI1091" s="22"/>
      <c r="AJ1091" s="22"/>
      <c r="AK1091" s="33" t="s">
        <v>4732</v>
      </c>
      <c r="AL1091" s="36"/>
      <c r="AM1091" s="13"/>
    </row>
    <row r="1092" spans="1:39" ht="14.45" customHeight="1" x14ac:dyDescent="0.25">
      <c r="A1092" s="17">
        <v>8</v>
      </c>
      <c r="B1092" s="78"/>
      <c r="C1092" s="50" t="s">
        <v>6059</v>
      </c>
      <c r="D1092" s="20" t="s">
        <v>6060</v>
      </c>
      <c r="E1092" s="21" t="s">
        <v>56</v>
      </c>
      <c r="F1092" s="22" t="s">
        <v>238</v>
      </c>
      <c r="G1092" s="23" t="s">
        <v>3872</v>
      </c>
      <c r="H1092" s="22" t="s">
        <v>1078</v>
      </c>
      <c r="I1092" s="22" t="s">
        <v>44</v>
      </c>
      <c r="J1092" s="22" t="s">
        <v>6061</v>
      </c>
      <c r="K1092" s="30"/>
      <c r="L1092" s="53"/>
      <c r="M1092" s="26"/>
      <c r="N1092" s="26"/>
      <c r="O1092" s="27"/>
      <c r="P1092" s="53"/>
      <c r="Q1092" s="26"/>
      <c r="R1092" s="29"/>
      <c r="S1092" s="23" t="s">
        <v>4774</v>
      </c>
      <c r="T1092" s="23"/>
      <c r="U1092" s="23"/>
      <c r="V1092" s="23"/>
      <c r="W1092" s="30">
        <v>45931</v>
      </c>
      <c r="X1092" s="30">
        <v>39722</v>
      </c>
      <c r="Y1092" s="30">
        <v>39722</v>
      </c>
      <c r="Z1092" s="31" t="str">
        <f t="shared" ca="1" si="80"/>
        <v>17 Tahun 0 Bulan 30 Hari</v>
      </c>
      <c r="AA1092" s="31" t="s">
        <v>76</v>
      </c>
      <c r="AB1092" s="32">
        <v>31867</v>
      </c>
      <c r="AC1092" s="31" t="s">
        <v>6062</v>
      </c>
      <c r="AD1092" s="22" t="str">
        <f t="shared" ca="1" si="79"/>
        <v xml:space="preserve">38 Tahun 7 Bulan </v>
      </c>
      <c r="AE1092" s="33" t="s">
        <v>248</v>
      </c>
      <c r="AF1092" s="34"/>
      <c r="AG1092" s="22" t="s">
        <v>4762</v>
      </c>
      <c r="AH1092" s="65" t="s">
        <v>4714</v>
      </c>
      <c r="AI1092" s="58"/>
      <c r="AJ1092" s="58"/>
      <c r="AK1092" s="85"/>
      <c r="AL1092" s="36"/>
    </row>
    <row r="1093" spans="1:39" ht="14.45" customHeight="1" x14ac:dyDescent="0.25">
      <c r="A1093" s="17">
        <v>9</v>
      </c>
      <c r="B1093" s="78"/>
      <c r="C1093" s="50" t="s">
        <v>4775</v>
      </c>
      <c r="D1093" s="20" t="s">
        <v>6063</v>
      </c>
      <c r="E1093" s="21" t="s">
        <v>56</v>
      </c>
      <c r="F1093" s="22" t="s">
        <v>238</v>
      </c>
      <c r="G1093" s="23" t="s">
        <v>3872</v>
      </c>
      <c r="H1093" s="22" t="s">
        <v>1078</v>
      </c>
      <c r="I1093" s="22" t="s">
        <v>44</v>
      </c>
      <c r="J1093" s="22" t="s">
        <v>6061</v>
      </c>
      <c r="K1093" s="30"/>
      <c r="L1093" s="53"/>
      <c r="M1093" s="26"/>
      <c r="N1093" s="26"/>
      <c r="O1093" s="27"/>
      <c r="P1093" s="53"/>
      <c r="Q1093" s="26"/>
      <c r="R1093" s="29"/>
      <c r="S1093" s="23" t="s">
        <v>4774</v>
      </c>
      <c r="T1093" s="23"/>
      <c r="U1093" s="23"/>
      <c r="V1093" s="23"/>
      <c r="W1093" s="30">
        <v>45931</v>
      </c>
      <c r="X1093" s="30">
        <v>40695</v>
      </c>
      <c r="Y1093" s="30">
        <v>42067</v>
      </c>
      <c r="Z1093" s="31" t="str">
        <f t="shared" ca="1" si="80"/>
        <v>14 Tahun 4 Bulan 30 Hari</v>
      </c>
      <c r="AA1093" s="31" t="s">
        <v>76</v>
      </c>
      <c r="AB1093" s="32">
        <v>32572</v>
      </c>
      <c r="AC1093" s="31" t="s">
        <v>6064</v>
      </c>
      <c r="AD1093" s="22" t="str">
        <f t="shared" ca="1" si="79"/>
        <v xml:space="preserve">36 Tahun 7 Bulan </v>
      </c>
      <c r="AE1093" s="33" t="s">
        <v>248</v>
      </c>
      <c r="AF1093" s="34"/>
      <c r="AG1093" s="22" t="s">
        <v>4762</v>
      </c>
      <c r="AH1093" s="65" t="s">
        <v>4714</v>
      </c>
      <c r="AI1093" s="22"/>
      <c r="AJ1093" s="22"/>
      <c r="AK1093" s="33"/>
      <c r="AL1093" s="36"/>
    </row>
    <row r="1094" spans="1:39" ht="14.45" customHeight="1" x14ac:dyDescent="0.25">
      <c r="A1094" s="17">
        <v>10</v>
      </c>
      <c r="B1094" s="18"/>
      <c r="C1094" s="50" t="s">
        <v>4776</v>
      </c>
      <c r="D1094" s="20" t="s">
        <v>4777</v>
      </c>
      <c r="E1094" s="21" t="s">
        <v>40</v>
      </c>
      <c r="F1094" s="22" t="s">
        <v>41</v>
      </c>
      <c r="G1094" s="23" t="s">
        <v>42</v>
      </c>
      <c r="H1094" s="22" t="s">
        <v>43</v>
      </c>
      <c r="I1094" s="22" t="s">
        <v>44</v>
      </c>
      <c r="J1094" s="22" t="s">
        <v>4778</v>
      </c>
      <c r="K1094" s="24">
        <v>45200</v>
      </c>
      <c r="L1094" s="22"/>
      <c r="M1094" s="22"/>
      <c r="N1094" s="22"/>
      <c r="O1094" s="22"/>
      <c r="P1094" s="22"/>
      <c r="Q1094" s="22"/>
      <c r="R1094" s="22"/>
      <c r="S1094" s="23" t="s">
        <v>4779</v>
      </c>
      <c r="T1094" s="23"/>
      <c r="U1094" s="23"/>
      <c r="V1094" s="23"/>
      <c r="W1094" s="30">
        <v>34029</v>
      </c>
      <c r="X1094" s="30">
        <v>34029</v>
      </c>
      <c r="Y1094" s="30">
        <v>41791</v>
      </c>
      <c r="Z1094" s="31" t="str">
        <f ca="1">DATEDIF(W1094,TODAY(),"y")&amp;" Tahun "&amp;DATEDIF(W1094,TODAY(),"ym")&amp;" Bulan "&amp;DATEDIF(W1094,TODAY(),"md")&amp;" Hari"</f>
        <v>32 Tahun 7 Bulan 30 Hari</v>
      </c>
      <c r="AA1094" s="31" t="s">
        <v>1279</v>
      </c>
      <c r="AB1094" s="32">
        <v>25596</v>
      </c>
      <c r="AC1094" s="31" t="s">
        <v>4780</v>
      </c>
      <c r="AD1094" s="22" t="str">
        <f t="shared" ca="1" si="79"/>
        <v xml:space="preserve">55 Tahun 9 Bulan </v>
      </c>
      <c r="AE1094" s="33" t="s">
        <v>4781</v>
      </c>
      <c r="AF1094" s="34"/>
      <c r="AG1094" s="22" t="s">
        <v>4762</v>
      </c>
      <c r="AH1094" s="65" t="s">
        <v>4714</v>
      </c>
      <c r="AI1094" s="58"/>
      <c r="AJ1094" s="58"/>
      <c r="AK1094" s="33" t="s">
        <v>4734</v>
      </c>
      <c r="AL1094" s="36"/>
    </row>
    <row r="1095" spans="1:39" ht="14.45" customHeight="1" x14ac:dyDescent="0.25">
      <c r="A1095" s="17">
        <v>11</v>
      </c>
      <c r="B1095" s="18"/>
      <c r="C1095" s="50" t="s">
        <v>4782</v>
      </c>
      <c r="D1095" s="20" t="s">
        <v>4783</v>
      </c>
      <c r="E1095" s="22" t="s">
        <v>56</v>
      </c>
      <c r="F1095" s="22" t="s">
        <v>238</v>
      </c>
      <c r="G1095" s="23" t="s">
        <v>3872</v>
      </c>
      <c r="H1095" s="22" t="s">
        <v>239</v>
      </c>
      <c r="I1095" s="22" t="s">
        <v>44</v>
      </c>
      <c r="J1095" s="22" t="s">
        <v>4784</v>
      </c>
      <c r="K1095" s="30"/>
      <c r="L1095" s="25" t="s">
        <v>4785</v>
      </c>
      <c r="M1095" s="29">
        <v>44483</v>
      </c>
      <c r="N1095" s="26">
        <v>44277</v>
      </c>
      <c r="O1095" s="27" t="s">
        <v>1131</v>
      </c>
      <c r="P1095" s="22"/>
      <c r="Q1095" s="22"/>
      <c r="R1095" s="22"/>
      <c r="S1095" s="23" t="s">
        <v>150</v>
      </c>
      <c r="T1095" s="23"/>
      <c r="U1095" s="23"/>
      <c r="V1095" s="23"/>
      <c r="W1095" s="30">
        <v>45047</v>
      </c>
      <c r="X1095" s="30">
        <v>42370</v>
      </c>
      <c r="Y1095" s="30">
        <v>42401</v>
      </c>
      <c r="Z1095" s="31" t="str">
        <f ca="1">DATEDIF(X1095,TODAY(),"y")&amp;" Tahun "&amp;DATEDIF(X1095,TODAY(),"ym")&amp;" Bulan "&amp;DATEDIF(X1095,TODAY(),"md")&amp;" Hari"</f>
        <v>9 Tahun 9 Bulan 30 Hari</v>
      </c>
      <c r="AA1095" s="31" t="s">
        <v>846</v>
      </c>
      <c r="AB1095" s="32">
        <v>32589</v>
      </c>
      <c r="AC1095" s="31" t="s">
        <v>4786</v>
      </c>
      <c r="AD1095" s="22" t="str">
        <f t="shared" ca="1" si="79"/>
        <v xml:space="preserve">36 Tahun 7 Bulan </v>
      </c>
      <c r="AE1095" s="33" t="s">
        <v>4781</v>
      </c>
      <c r="AF1095" s="34"/>
      <c r="AG1095" s="22" t="s">
        <v>4762</v>
      </c>
      <c r="AH1095" s="65" t="s">
        <v>4714</v>
      </c>
      <c r="AI1095" s="22"/>
      <c r="AJ1095" s="22"/>
      <c r="AK1095" s="33"/>
      <c r="AL1095" s="36"/>
    </row>
    <row r="1096" spans="1:39" ht="14.45" customHeight="1" x14ac:dyDescent="0.25">
      <c r="A1096" s="17">
        <v>12</v>
      </c>
      <c r="B1096" s="18"/>
      <c r="C1096" s="50" t="s">
        <v>4787</v>
      </c>
      <c r="D1096" s="20" t="s">
        <v>4788</v>
      </c>
      <c r="E1096" s="22" t="s">
        <v>56</v>
      </c>
      <c r="F1096" s="22" t="s">
        <v>238</v>
      </c>
      <c r="G1096" s="23" t="s">
        <v>3872</v>
      </c>
      <c r="H1096" s="22" t="s">
        <v>239</v>
      </c>
      <c r="I1096" s="22" t="s">
        <v>44</v>
      </c>
      <c r="J1096" s="22" t="s">
        <v>4784</v>
      </c>
      <c r="K1096" s="30"/>
      <c r="L1096" s="25" t="s">
        <v>4789</v>
      </c>
      <c r="M1096" s="29">
        <v>42073</v>
      </c>
      <c r="N1096" s="26">
        <v>44173</v>
      </c>
      <c r="O1096" s="27" t="s">
        <v>1131</v>
      </c>
      <c r="P1096" s="22"/>
      <c r="Q1096" s="22"/>
      <c r="R1096" s="22"/>
      <c r="S1096" s="23" t="s">
        <v>150</v>
      </c>
      <c r="T1096" s="23"/>
      <c r="U1096" s="23"/>
      <c r="V1096" s="23"/>
      <c r="W1096" s="30">
        <v>45047</v>
      </c>
      <c r="X1096" s="30">
        <v>42370</v>
      </c>
      <c r="Y1096" s="30">
        <v>42401</v>
      </c>
      <c r="Z1096" s="31" t="str">
        <f ca="1">DATEDIF(X1096,TODAY(),"y")&amp;" Tahun "&amp;DATEDIF(X1096,TODAY(),"ym")&amp;" Bulan "&amp;DATEDIF(X1096,TODAY(),"md")&amp;" Hari"</f>
        <v>9 Tahun 9 Bulan 30 Hari</v>
      </c>
      <c r="AA1096" s="31" t="s">
        <v>76</v>
      </c>
      <c r="AB1096" s="32">
        <v>31754</v>
      </c>
      <c r="AC1096" s="31" t="s">
        <v>4790</v>
      </c>
      <c r="AD1096" s="22" t="str">
        <f t="shared" ca="1" si="79"/>
        <v xml:space="preserve">38 Tahun 10 Bulan </v>
      </c>
      <c r="AE1096" s="33" t="s">
        <v>4781</v>
      </c>
      <c r="AF1096" s="34"/>
      <c r="AG1096" s="22" t="s">
        <v>4762</v>
      </c>
      <c r="AH1096" s="65" t="s">
        <v>4714</v>
      </c>
      <c r="AI1096" s="22"/>
      <c r="AJ1096" s="22"/>
      <c r="AK1096" s="33"/>
      <c r="AL1096" s="36"/>
    </row>
    <row r="1097" spans="1:39" ht="14.45" customHeight="1" x14ac:dyDescent="0.25">
      <c r="A1097" s="17">
        <v>13</v>
      </c>
      <c r="B1097" s="18"/>
      <c r="C1097" s="50" t="s">
        <v>4792</v>
      </c>
      <c r="D1097" s="20" t="s">
        <v>6065</v>
      </c>
      <c r="E1097" s="22" t="s">
        <v>56</v>
      </c>
      <c r="F1097" s="22" t="s">
        <v>5691</v>
      </c>
      <c r="G1097" s="23" t="s">
        <v>3872</v>
      </c>
      <c r="H1097" s="22" t="s">
        <v>5692</v>
      </c>
      <c r="I1097" s="22" t="s">
        <v>155</v>
      </c>
      <c r="J1097" s="22" t="s">
        <v>5693</v>
      </c>
      <c r="K1097" s="30"/>
      <c r="L1097" s="25"/>
      <c r="M1097" s="29"/>
      <c r="N1097" s="26"/>
      <c r="O1097" s="27"/>
      <c r="P1097" s="22"/>
      <c r="Q1097" s="22"/>
      <c r="R1097" s="22"/>
      <c r="S1097" s="23" t="s">
        <v>4774</v>
      </c>
      <c r="T1097" s="23"/>
      <c r="U1097" s="23"/>
      <c r="V1097" s="23"/>
      <c r="W1097" s="30">
        <v>45931</v>
      </c>
      <c r="X1097" s="30">
        <v>45261</v>
      </c>
      <c r="Y1097" s="30">
        <v>45261</v>
      </c>
      <c r="Z1097" s="31" t="str">
        <f ca="1">DATEDIF(X1097,TODAY(),"y")&amp;" Tahun "&amp;DATEDIF(X1097,TODAY(),"ym")&amp;" Bulan "&amp;DATEDIF(X1097,TODAY(),"md")&amp;" Hari"</f>
        <v>1 Tahun 10 Bulan 30 Hari</v>
      </c>
      <c r="AA1097" s="31" t="s">
        <v>76</v>
      </c>
      <c r="AB1097" s="32">
        <v>29148</v>
      </c>
      <c r="AC1097" s="31" t="s">
        <v>6066</v>
      </c>
      <c r="AD1097" s="22" t="str">
        <f t="shared" ca="1" si="79"/>
        <v xml:space="preserve">46 Tahun 0 Bulan </v>
      </c>
      <c r="AE1097" s="33" t="s">
        <v>4791</v>
      </c>
      <c r="AF1097" s="34"/>
      <c r="AG1097" s="22" t="s">
        <v>4762</v>
      </c>
      <c r="AH1097" s="65" t="s">
        <v>4714</v>
      </c>
      <c r="AI1097" s="58"/>
      <c r="AJ1097" s="58"/>
      <c r="AK1097" s="33" t="s">
        <v>1532</v>
      </c>
      <c r="AL1097" s="36"/>
    </row>
    <row r="1098" spans="1:39" ht="14.45" customHeight="1" x14ac:dyDescent="0.25">
      <c r="A1098" s="17">
        <v>14</v>
      </c>
      <c r="B1098" s="18"/>
      <c r="C1098" s="50" t="s">
        <v>4793</v>
      </c>
      <c r="D1098" s="20" t="s">
        <v>4794</v>
      </c>
      <c r="E1098" s="21" t="s">
        <v>56</v>
      </c>
      <c r="F1098" s="22" t="s">
        <v>41</v>
      </c>
      <c r="G1098" s="23" t="s">
        <v>137</v>
      </c>
      <c r="H1098" s="22" t="s">
        <v>138</v>
      </c>
      <c r="I1098" s="22" t="s">
        <v>155</v>
      </c>
      <c r="J1098" s="22" t="s">
        <v>1338</v>
      </c>
      <c r="K1098" s="24">
        <v>45444</v>
      </c>
      <c r="L1098" s="22"/>
      <c r="M1098" s="26"/>
      <c r="N1098" s="26"/>
      <c r="O1098" s="22"/>
      <c r="P1098" s="22"/>
      <c r="Q1098" s="23"/>
      <c r="R1098" s="26"/>
      <c r="S1098" s="23" t="s">
        <v>4795</v>
      </c>
      <c r="T1098" s="23"/>
      <c r="U1098" s="23"/>
      <c r="V1098" s="23"/>
      <c r="W1098" s="30">
        <v>40513</v>
      </c>
      <c r="X1098" s="30">
        <v>40638</v>
      </c>
      <c r="Y1098" s="30">
        <v>41671</v>
      </c>
      <c r="Z1098" s="31" t="str">
        <f ca="1">DATEDIF(W1098,TODAY(),"y")&amp;" Tahun "&amp;DATEDIF(W1098,TODAY(),"ym")&amp;" Bulan "&amp;DATEDIF(W1098,TODAY(),"md")&amp;" Hari"</f>
        <v>14 Tahun 10 Bulan 30 Hari</v>
      </c>
      <c r="AA1098" s="31" t="s">
        <v>437</v>
      </c>
      <c r="AB1098" s="32">
        <v>30715</v>
      </c>
      <c r="AC1098" s="31" t="s">
        <v>4796</v>
      </c>
      <c r="AD1098" s="22" t="str">
        <f t="shared" ca="1" si="79"/>
        <v xml:space="preserve">41 Tahun 8 Bulan </v>
      </c>
      <c r="AE1098" s="34" t="s">
        <v>4797</v>
      </c>
      <c r="AF1098" s="34"/>
      <c r="AG1098" s="22" t="s">
        <v>4762</v>
      </c>
      <c r="AH1098" s="23" t="s">
        <v>4741</v>
      </c>
      <c r="AI1098" s="22"/>
      <c r="AJ1098" s="22"/>
      <c r="AK1098" s="33"/>
      <c r="AL1098" s="36"/>
    </row>
    <row r="1099" spans="1:39" ht="14.45" customHeight="1" x14ac:dyDescent="0.25">
      <c r="A1099" s="17">
        <v>15</v>
      </c>
      <c r="B1099" s="18"/>
      <c r="C1099" s="19" t="s">
        <v>4799</v>
      </c>
      <c r="D1099" s="20" t="s">
        <v>4800</v>
      </c>
      <c r="E1099" s="52" t="s">
        <v>40</v>
      </c>
      <c r="F1099" s="22" t="s">
        <v>41</v>
      </c>
      <c r="G1099" s="33" t="s">
        <v>42</v>
      </c>
      <c r="H1099" s="22" t="s">
        <v>43</v>
      </c>
      <c r="I1099" s="58" t="s">
        <v>44</v>
      </c>
      <c r="J1099" s="58" t="s">
        <v>4801</v>
      </c>
      <c r="K1099" s="24">
        <v>44188</v>
      </c>
      <c r="L1099" s="23"/>
      <c r="M1099" s="23"/>
      <c r="N1099" s="29"/>
      <c r="O1099" s="23"/>
      <c r="P1099" s="23"/>
      <c r="Q1099" s="22"/>
      <c r="R1099" s="43"/>
      <c r="S1099" s="23" t="s">
        <v>69</v>
      </c>
      <c r="T1099" s="23"/>
      <c r="U1099" s="23"/>
      <c r="V1099" s="23"/>
      <c r="W1099" s="30">
        <v>33239</v>
      </c>
      <c r="X1099" s="30">
        <v>33420</v>
      </c>
      <c r="Y1099" s="30">
        <v>43966</v>
      </c>
      <c r="Z1099" s="55" t="str">
        <f ca="1">DATEDIF(W1099,TODAY(),"y")&amp;" Tahun "&amp;DATEDIF(W1099,TODAY(),"ym")&amp;" Bulan "&amp;DATEDIF(W1099,TODAY(),"md")&amp;" Hari"</f>
        <v>34 Tahun 9 Bulan 30 Hari</v>
      </c>
      <c r="AA1099" s="31" t="s">
        <v>2050</v>
      </c>
      <c r="AB1099" s="32">
        <v>25740</v>
      </c>
      <c r="AC1099" s="31" t="s">
        <v>4802</v>
      </c>
      <c r="AD1099" s="57" t="str">
        <f t="shared" ca="1" si="79"/>
        <v xml:space="preserve">55 Tahun 4 Bulan </v>
      </c>
      <c r="AE1099" s="23" t="s">
        <v>4803</v>
      </c>
      <c r="AF1099" s="34"/>
      <c r="AG1099" s="22" t="s">
        <v>4762</v>
      </c>
      <c r="AH1099" s="23" t="s">
        <v>4741</v>
      </c>
      <c r="AI1099" s="58"/>
      <c r="AJ1099" s="58"/>
      <c r="AK1099" s="33"/>
      <c r="AL1099" s="36"/>
    </row>
    <row r="1100" spans="1:39" ht="14.45" customHeight="1" x14ac:dyDescent="0.25">
      <c r="A1100" s="17">
        <v>16</v>
      </c>
      <c r="B1100" s="78"/>
      <c r="C1100" s="50" t="s">
        <v>4804</v>
      </c>
      <c r="D1100" s="20" t="s">
        <v>4805</v>
      </c>
      <c r="E1100" s="21" t="s">
        <v>40</v>
      </c>
      <c r="F1100" s="22" t="s">
        <v>41</v>
      </c>
      <c r="G1100" s="23" t="s">
        <v>102</v>
      </c>
      <c r="H1100" s="22" t="s">
        <v>103</v>
      </c>
      <c r="I1100" s="22" t="s">
        <v>155</v>
      </c>
      <c r="J1100" s="22" t="s">
        <v>4806</v>
      </c>
      <c r="K1100" s="24">
        <v>45017</v>
      </c>
      <c r="L1100" s="53"/>
      <c r="M1100" s="26"/>
      <c r="N1100" s="26"/>
      <c r="O1100" s="27"/>
      <c r="P1100" s="53"/>
      <c r="Q1100" s="26"/>
      <c r="R1100" s="29"/>
      <c r="S1100" s="23" t="s">
        <v>4807</v>
      </c>
      <c r="T1100" s="23"/>
      <c r="U1100" s="23"/>
      <c r="V1100" s="23"/>
      <c r="W1100" s="30">
        <v>42186</v>
      </c>
      <c r="X1100" s="30">
        <v>44348</v>
      </c>
      <c r="Y1100" s="30">
        <v>44386</v>
      </c>
      <c r="Z1100" s="31" t="str">
        <f ca="1">DATEDIF(W1100,TODAY(),"y")&amp;" Tahun "&amp;DATEDIF(W1100,TODAY(),"ym")&amp;" Bulan "&amp;DATEDIF(W1100,TODAY(),"md")&amp;" Hari"</f>
        <v>10 Tahun 3 Bulan 30 Hari</v>
      </c>
      <c r="AA1100" s="31" t="s">
        <v>50</v>
      </c>
      <c r="AB1100" s="32">
        <v>30109</v>
      </c>
      <c r="AC1100" s="31" t="s">
        <v>4808</v>
      </c>
      <c r="AD1100" s="22" t="str">
        <f t="shared" ca="1" si="79"/>
        <v xml:space="preserve">43 Tahun 4 Bulan </v>
      </c>
      <c r="AE1100" s="65" t="s">
        <v>4803</v>
      </c>
      <c r="AF1100" s="34"/>
      <c r="AG1100" s="22" t="s">
        <v>4762</v>
      </c>
      <c r="AH1100" s="23" t="s">
        <v>4741</v>
      </c>
      <c r="AI1100" s="22"/>
      <c r="AJ1100" s="22"/>
      <c r="AK1100" s="33"/>
      <c r="AL1100" s="36"/>
    </row>
    <row r="1101" spans="1:39" ht="14.45" customHeight="1" x14ac:dyDescent="0.25">
      <c r="A1101" s="17">
        <v>17</v>
      </c>
      <c r="B1101" s="18"/>
      <c r="C1101" s="132" t="s">
        <v>4810</v>
      </c>
      <c r="D1101" s="20" t="s">
        <v>4811</v>
      </c>
      <c r="E1101" s="21" t="s">
        <v>56</v>
      </c>
      <c r="F1101" s="22" t="s">
        <v>41</v>
      </c>
      <c r="G1101" s="23" t="s">
        <v>137</v>
      </c>
      <c r="H1101" s="22" t="s">
        <v>138</v>
      </c>
      <c r="I1101" s="22" t="s">
        <v>44</v>
      </c>
      <c r="J1101" s="22" t="s">
        <v>4812</v>
      </c>
      <c r="K1101" s="24">
        <v>42370</v>
      </c>
      <c r="L1101" s="22"/>
      <c r="M1101" s="22"/>
      <c r="N1101" s="22"/>
      <c r="O1101" s="22"/>
      <c r="P1101" s="22"/>
      <c r="Q1101" s="22"/>
      <c r="R1101" s="22"/>
      <c r="S1101" s="23" t="s">
        <v>4795</v>
      </c>
      <c r="T1101" s="23"/>
      <c r="U1101" s="23"/>
      <c r="V1101" s="23"/>
      <c r="W1101" s="30">
        <v>35855</v>
      </c>
      <c r="X1101" s="30">
        <v>43550</v>
      </c>
      <c r="Y1101" s="30">
        <v>42275</v>
      </c>
      <c r="Z1101" s="31" t="str">
        <f ca="1">DATEDIF(W1101,TODAY(),"y")&amp;" Tahun "&amp;DATEDIF(W1101,TODAY(),"ym")&amp;" Bulan "&amp;DATEDIF(W1101,TODAY(),"md")&amp;" Hari"</f>
        <v>27 Tahun 7 Bulan 30 Hari</v>
      </c>
      <c r="AA1101" s="31" t="s">
        <v>76</v>
      </c>
      <c r="AB1101" s="32">
        <v>26186</v>
      </c>
      <c r="AC1101" s="32" t="s">
        <v>4813</v>
      </c>
      <c r="AD1101" s="22" t="str">
        <f t="shared" ca="1" si="79"/>
        <v xml:space="preserve">54 Tahun 1 Bulan </v>
      </c>
      <c r="AE1101" s="33" t="s">
        <v>1341</v>
      </c>
      <c r="AF1101" s="34"/>
      <c r="AG1101" s="22" t="s">
        <v>4762</v>
      </c>
      <c r="AH1101" s="23" t="s">
        <v>4741</v>
      </c>
      <c r="AI1101" s="22"/>
      <c r="AJ1101" s="60"/>
      <c r="AK1101" s="61"/>
      <c r="AL1101" s="36"/>
    </row>
    <row r="1102" spans="1:39" ht="14.45" customHeight="1" x14ac:dyDescent="0.25">
      <c r="A1102" s="17">
        <v>18</v>
      </c>
      <c r="B1102" s="18"/>
      <c r="C1102" s="50" t="s">
        <v>4814</v>
      </c>
      <c r="D1102" s="20" t="s">
        <v>4815</v>
      </c>
      <c r="E1102" s="58" t="s">
        <v>40</v>
      </c>
      <c r="F1102" s="22" t="s">
        <v>238</v>
      </c>
      <c r="G1102" s="23" t="s">
        <v>3872</v>
      </c>
      <c r="H1102" s="22" t="s">
        <v>239</v>
      </c>
      <c r="I1102" s="22" t="s">
        <v>44</v>
      </c>
      <c r="J1102" s="22" t="s">
        <v>4816</v>
      </c>
      <c r="K1102" s="30"/>
      <c r="L1102" s="25"/>
      <c r="M1102" s="29"/>
      <c r="N1102" s="26"/>
      <c r="O1102" s="27"/>
      <c r="P1102" s="22"/>
      <c r="Q1102" s="22"/>
      <c r="R1102" s="22"/>
      <c r="S1102" s="23" t="s">
        <v>4795</v>
      </c>
      <c r="T1102" s="23"/>
      <c r="U1102" s="23"/>
      <c r="V1102" s="23"/>
      <c r="W1102" s="30">
        <v>45383</v>
      </c>
      <c r="X1102" s="30">
        <v>45383</v>
      </c>
      <c r="Y1102" s="30">
        <v>45383</v>
      </c>
      <c r="Z1102" s="31" t="str">
        <f ca="1">DATEDIF(X1102,TODAY(),"y")&amp;" Tahun "&amp;DATEDIF(X1102,TODAY(),"ym")&amp;" Bulan "&amp;DATEDIF(X1102,TODAY(),"md")&amp;" Hari"</f>
        <v>1 Tahun 6 Bulan 30 Hari</v>
      </c>
      <c r="AA1102" s="55" t="s">
        <v>4817</v>
      </c>
      <c r="AB1102" s="56">
        <v>28250</v>
      </c>
      <c r="AC1102" s="31" t="s">
        <v>4818</v>
      </c>
      <c r="AD1102" s="57" t="str">
        <f t="shared" ca="1" si="79"/>
        <v xml:space="preserve">48 Tahun 5 Bulan </v>
      </c>
      <c r="AE1102" s="33" t="s">
        <v>4803</v>
      </c>
      <c r="AF1102" s="71"/>
      <c r="AG1102" s="22" t="s">
        <v>4762</v>
      </c>
      <c r="AH1102" s="23" t="s">
        <v>4741</v>
      </c>
      <c r="AI1102" s="22"/>
      <c r="AJ1102" s="22"/>
      <c r="AK1102" s="33" t="s">
        <v>4753</v>
      </c>
      <c r="AL1102" s="36"/>
      <c r="AM1102" s="14"/>
    </row>
    <row r="1103" spans="1:39" ht="14.45" customHeight="1" x14ac:dyDescent="0.25">
      <c r="A1103" s="17">
        <v>19</v>
      </c>
      <c r="B1103" s="18"/>
      <c r="C1103" s="50" t="s">
        <v>4819</v>
      </c>
      <c r="D1103" s="20" t="s">
        <v>4820</v>
      </c>
      <c r="E1103" s="58" t="s">
        <v>40</v>
      </c>
      <c r="F1103" s="22" t="s">
        <v>41</v>
      </c>
      <c r="G1103" s="23" t="s">
        <v>137</v>
      </c>
      <c r="H1103" s="22" t="s">
        <v>138</v>
      </c>
      <c r="I1103" s="22" t="s">
        <v>44</v>
      </c>
      <c r="J1103" s="22" t="s">
        <v>4821</v>
      </c>
      <c r="K1103" s="30">
        <v>45566</v>
      </c>
      <c r="L1103" s="25"/>
      <c r="M1103" s="29"/>
      <c r="N1103" s="26"/>
      <c r="O1103" s="27"/>
      <c r="P1103" s="22"/>
      <c r="Q1103" s="22"/>
      <c r="R1103" s="22"/>
      <c r="S1103" s="23" t="s">
        <v>4807</v>
      </c>
      <c r="T1103" s="23"/>
      <c r="U1103" s="23"/>
      <c r="V1103" s="23"/>
      <c r="W1103" s="30">
        <v>40513</v>
      </c>
      <c r="X1103" s="30">
        <v>45614</v>
      </c>
      <c r="Y1103" s="30">
        <v>45614</v>
      </c>
      <c r="Z1103" s="55" t="str">
        <f ca="1">DATEDIF(X1103,TODAY(),"y")&amp;" Tahun "&amp;DATEDIF(X1103,TODAY(),"ym")&amp;" Bulan "&amp;DATEDIF(X1103,TODAY(),"md")&amp;" Hari"</f>
        <v>0 Tahun 11 Bulan 13 Hari</v>
      </c>
      <c r="AA1103" s="55" t="s">
        <v>141</v>
      </c>
      <c r="AB1103" s="56">
        <v>30651</v>
      </c>
      <c r="AC1103" s="31" t="s">
        <v>4822</v>
      </c>
      <c r="AD1103" s="57" t="str">
        <f t="shared" ca="1" si="79"/>
        <v xml:space="preserve">41 Tahun 10 Bulan </v>
      </c>
      <c r="AE1103" s="33" t="s">
        <v>4803</v>
      </c>
      <c r="AF1103" s="71"/>
      <c r="AG1103" s="22" t="s">
        <v>4762</v>
      </c>
      <c r="AH1103" s="22"/>
      <c r="AI1103" s="22"/>
      <c r="AJ1103" s="22"/>
      <c r="AK1103" s="33" t="s">
        <v>200</v>
      </c>
      <c r="AL1103" s="36"/>
    </row>
    <row r="1104" spans="1:39" ht="14.45" customHeight="1" x14ac:dyDescent="0.25">
      <c r="A1104" s="115">
        <v>1</v>
      </c>
      <c r="B1104" s="76"/>
      <c r="C1104" s="50" t="s">
        <v>6067</v>
      </c>
      <c r="D1104" s="20" t="s">
        <v>4824</v>
      </c>
      <c r="E1104" s="52" t="s">
        <v>40</v>
      </c>
      <c r="F1104" s="22" t="s">
        <v>41</v>
      </c>
      <c r="G1104" s="23" t="s">
        <v>137</v>
      </c>
      <c r="H1104" s="22" t="s">
        <v>138</v>
      </c>
      <c r="I1104" s="22" t="s">
        <v>44</v>
      </c>
      <c r="J1104" s="22" t="s">
        <v>139</v>
      </c>
      <c r="K1104" s="24">
        <v>44188</v>
      </c>
      <c r="L1104" s="23"/>
      <c r="M1104" s="26"/>
      <c r="N1104" s="26"/>
      <c r="O1104" s="23"/>
      <c r="P1104" s="23"/>
      <c r="Q1104" s="22"/>
      <c r="R1104" s="43"/>
      <c r="S1104" s="23" t="s">
        <v>140</v>
      </c>
      <c r="T1104" s="23"/>
      <c r="U1104" s="23"/>
      <c r="V1104" s="23"/>
      <c r="W1104" s="30">
        <v>38808</v>
      </c>
      <c r="X1104" s="30">
        <v>37591</v>
      </c>
      <c r="Y1104" s="30">
        <v>43966</v>
      </c>
      <c r="Z1104" s="55" t="str">
        <f ca="1">DATEDIF(W1104,TODAY(),"y")&amp;" Tahun "&amp;DATEDIF(W1104,TODAY(),"ym")&amp;" Bulan "&amp;DATEDIF(W1104,TODAY(),"md")&amp;" Hari"</f>
        <v>19 Tahun 6 Bulan 30 Hari</v>
      </c>
      <c r="AA1104" s="55" t="s">
        <v>76</v>
      </c>
      <c r="AB1104" s="56">
        <v>28562</v>
      </c>
      <c r="AC1104" s="31" t="s">
        <v>4825</v>
      </c>
      <c r="AD1104" s="57" t="str">
        <f t="shared" ca="1" si="79"/>
        <v xml:space="preserve">47 Tahun 7 Bulan </v>
      </c>
      <c r="AE1104" s="23" t="s">
        <v>4826</v>
      </c>
      <c r="AF1104" s="34"/>
      <c r="AG1104" s="22" t="s">
        <v>4827</v>
      </c>
      <c r="AH1104" s="59" t="s">
        <v>4763</v>
      </c>
      <c r="AI1104" s="58"/>
      <c r="AJ1104" s="58"/>
      <c r="AK1104" s="33" t="s">
        <v>112</v>
      </c>
      <c r="AL1104" s="36"/>
      <c r="AM1104" s="14"/>
    </row>
    <row r="1105" spans="1:39" ht="14.45" customHeight="1" x14ac:dyDescent="0.25">
      <c r="A1105" s="115">
        <v>2</v>
      </c>
      <c r="B1105" s="78"/>
      <c r="C1105" s="50" t="s">
        <v>4828</v>
      </c>
      <c r="D1105" s="20" t="s">
        <v>4829</v>
      </c>
      <c r="E1105" s="21" t="s">
        <v>40</v>
      </c>
      <c r="F1105" s="22" t="s">
        <v>41</v>
      </c>
      <c r="G1105" s="23" t="s">
        <v>193</v>
      </c>
      <c r="H1105" s="22" t="s">
        <v>194</v>
      </c>
      <c r="I1105" s="22" t="s">
        <v>155</v>
      </c>
      <c r="J1105" s="22" t="s">
        <v>2888</v>
      </c>
      <c r="K1105" s="24">
        <v>45689</v>
      </c>
      <c r="L1105" s="53"/>
      <c r="M1105" s="26"/>
      <c r="N1105" s="26"/>
      <c r="O1105" s="27"/>
      <c r="P1105" s="53"/>
      <c r="Q1105" s="26"/>
      <c r="R1105" s="29"/>
      <c r="S1105" s="23" t="s">
        <v>1067</v>
      </c>
      <c r="T1105" s="23"/>
      <c r="U1105" s="23"/>
      <c r="V1105" s="23"/>
      <c r="W1105" s="30">
        <v>40148</v>
      </c>
      <c r="X1105" s="30">
        <v>38047</v>
      </c>
      <c r="Y1105" s="30">
        <v>38047</v>
      </c>
      <c r="Z1105" s="31" t="str">
        <f ca="1">DATEDIF(W1105,TODAY(),"y")&amp;" Tahun "&amp;DATEDIF(W1105,TODAY(),"ym")&amp;" Bulan "&amp;DATEDIF(W1105,TODAY(),"md")&amp;" Hari"</f>
        <v>15 Tahun 10 Bulan 30 Hari</v>
      </c>
      <c r="AA1105" s="31" t="s">
        <v>76</v>
      </c>
      <c r="AB1105" s="32">
        <v>26130</v>
      </c>
      <c r="AC1105" s="31" t="s">
        <v>4830</v>
      </c>
      <c r="AD1105" s="22" t="str">
        <f t="shared" ca="1" si="79"/>
        <v xml:space="preserve">54 Tahun 3 Bulan </v>
      </c>
      <c r="AE1105" s="33" t="s">
        <v>4831</v>
      </c>
      <c r="AF1105" s="34"/>
      <c r="AG1105" s="22" t="s">
        <v>4827</v>
      </c>
      <c r="AH1105" s="59" t="s">
        <v>4763</v>
      </c>
      <c r="AI1105" s="22"/>
      <c r="AJ1105" s="22"/>
      <c r="AK1105" s="33" t="s">
        <v>4766</v>
      </c>
      <c r="AL1105" s="36"/>
    </row>
    <row r="1106" spans="1:39" ht="14.45" customHeight="1" x14ac:dyDescent="0.25">
      <c r="A1106" s="115">
        <v>3</v>
      </c>
      <c r="B1106" s="78"/>
      <c r="C1106" s="50" t="s">
        <v>4832</v>
      </c>
      <c r="D1106" s="20" t="s">
        <v>4833</v>
      </c>
      <c r="E1106" s="21" t="s">
        <v>40</v>
      </c>
      <c r="F1106" s="22" t="s">
        <v>41</v>
      </c>
      <c r="G1106" s="23" t="s">
        <v>193</v>
      </c>
      <c r="H1106" s="22" t="s">
        <v>194</v>
      </c>
      <c r="I1106" s="22" t="s">
        <v>155</v>
      </c>
      <c r="J1106" s="22" t="s">
        <v>4834</v>
      </c>
      <c r="K1106" s="24">
        <v>45017</v>
      </c>
      <c r="L1106" s="53"/>
      <c r="M1106" s="26"/>
      <c r="N1106" s="26"/>
      <c r="O1106" s="27"/>
      <c r="P1106" s="53"/>
      <c r="Q1106" s="26"/>
      <c r="R1106" s="29"/>
      <c r="S1106" s="23" t="s">
        <v>3023</v>
      </c>
      <c r="T1106" s="23"/>
      <c r="U1106" s="23"/>
      <c r="V1106" s="23"/>
      <c r="W1106" s="30">
        <v>39083</v>
      </c>
      <c r="X1106" s="30">
        <v>35309</v>
      </c>
      <c r="Y1106" s="30"/>
      <c r="Z1106" s="31" t="str">
        <f ca="1">DATEDIF(W1106,TODAY(),"y")&amp;" Tahun "&amp;DATEDIF(W1106,TODAY(),"ym")&amp;" Bulan "&amp;DATEDIF(W1106,TODAY(),"md")&amp;" Hari"</f>
        <v>18 Tahun 9 Bulan 30 Hari</v>
      </c>
      <c r="AA1106" s="31" t="s">
        <v>76</v>
      </c>
      <c r="AB1106" s="32">
        <v>26351</v>
      </c>
      <c r="AC1106" s="31" t="s">
        <v>4835</v>
      </c>
      <c r="AD1106" s="22" t="str">
        <f t="shared" ca="1" si="79"/>
        <v xml:space="preserve">53 Tahun 8 Bulan </v>
      </c>
      <c r="AE1106" s="33" t="s">
        <v>4836</v>
      </c>
      <c r="AF1106" s="34"/>
      <c r="AG1106" s="22" t="s">
        <v>4827</v>
      </c>
      <c r="AH1106" s="59" t="s">
        <v>4763</v>
      </c>
      <c r="AI1106" s="22"/>
      <c r="AJ1106" s="22"/>
      <c r="AK1106" s="33"/>
      <c r="AL1106" s="36"/>
      <c r="AM1106" s="14"/>
    </row>
    <row r="1107" spans="1:39" ht="14.45" customHeight="1" x14ac:dyDescent="0.25">
      <c r="A1107" s="115">
        <v>4</v>
      </c>
      <c r="B1107" s="78"/>
      <c r="C1107" s="50" t="s">
        <v>4837</v>
      </c>
      <c r="D1107" s="20" t="s">
        <v>4838</v>
      </c>
      <c r="E1107" s="21" t="s">
        <v>56</v>
      </c>
      <c r="F1107" s="22" t="s">
        <v>41</v>
      </c>
      <c r="G1107" s="23" t="s">
        <v>227</v>
      </c>
      <c r="H1107" s="22" t="s">
        <v>228</v>
      </c>
      <c r="I1107" s="22" t="s">
        <v>44</v>
      </c>
      <c r="J1107" s="22" t="s">
        <v>229</v>
      </c>
      <c r="K1107" s="24">
        <v>44155</v>
      </c>
      <c r="L1107" s="53"/>
      <c r="M1107" s="26"/>
      <c r="N1107" s="26"/>
      <c r="O1107" s="27"/>
      <c r="P1107" s="53"/>
      <c r="Q1107" s="26"/>
      <c r="R1107" s="29"/>
      <c r="S1107" s="23" t="s">
        <v>230</v>
      </c>
      <c r="T1107" s="23"/>
      <c r="U1107" s="23"/>
      <c r="V1107" s="23"/>
      <c r="W1107" s="30">
        <v>38808</v>
      </c>
      <c r="X1107" s="30">
        <v>37561</v>
      </c>
      <c r="Y1107" s="30">
        <v>44256</v>
      </c>
      <c r="Z1107" s="31" t="str">
        <f ca="1">DATEDIF(W1107,TODAY(),"y")&amp;" Tahun "&amp;DATEDIF(W1107,TODAY(),"ym")&amp;" Bulan "&amp;DATEDIF(W1107,TODAY(),"md")&amp;" Hari"</f>
        <v>19 Tahun 6 Bulan 30 Hari</v>
      </c>
      <c r="AA1107" s="31" t="s">
        <v>141</v>
      </c>
      <c r="AB1107" s="32">
        <v>29351</v>
      </c>
      <c r="AC1107" s="31" t="s">
        <v>4839</v>
      </c>
      <c r="AD1107" s="22" t="str">
        <f t="shared" ca="1" si="79"/>
        <v xml:space="preserve">45 Tahun 5 Bulan </v>
      </c>
      <c r="AE1107" s="33" t="s">
        <v>4840</v>
      </c>
      <c r="AF1107" s="34"/>
      <c r="AG1107" s="22" t="s">
        <v>4827</v>
      </c>
      <c r="AH1107" s="59" t="s">
        <v>4773</v>
      </c>
      <c r="AI1107" s="58"/>
      <c r="AJ1107" s="65"/>
      <c r="AK1107" s="35"/>
      <c r="AL1107" s="38"/>
      <c r="AM1107" s="47"/>
    </row>
    <row r="1108" spans="1:39" ht="14.45" customHeight="1" x14ac:dyDescent="0.25">
      <c r="A1108" s="115">
        <v>5</v>
      </c>
      <c r="B1108" s="78"/>
      <c r="C1108" s="50" t="s">
        <v>6068</v>
      </c>
      <c r="D1108" s="20" t="s">
        <v>6069</v>
      </c>
      <c r="E1108" s="21" t="s">
        <v>56</v>
      </c>
      <c r="F1108" s="22" t="s">
        <v>238</v>
      </c>
      <c r="G1108" s="23" t="s">
        <v>3872</v>
      </c>
      <c r="H1108" s="22" t="s">
        <v>1078</v>
      </c>
      <c r="I1108" s="22" t="s">
        <v>44</v>
      </c>
      <c r="J1108" s="22" t="s">
        <v>1079</v>
      </c>
      <c r="K1108" s="30"/>
      <c r="L1108" s="53"/>
      <c r="M1108" s="26"/>
      <c r="N1108" s="26"/>
      <c r="O1108" s="27"/>
      <c r="P1108" s="53"/>
      <c r="Q1108" s="26"/>
      <c r="R1108" s="29"/>
      <c r="S1108" s="23" t="s">
        <v>293</v>
      </c>
      <c r="T1108" s="23"/>
      <c r="U1108" s="23"/>
      <c r="V1108" s="23"/>
      <c r="W1108" s="30">
        <v>45931</v>
      </c>
      <c r="X1108" s="30">
        <v>39722</v>
      </c>
      <c r="Y1108" s="30">
        <v>42401</v>
      </c>
      <c r="Z1108" s="31" t="str">
        <f t="shared" ref="Z1108:Z1113" ca="1" si="81">DATEDIF(X1108,TODAY(),"y")&amp;" Tahun "&amp;DATEDIF(X1108,TODAY(),"ym")&amp;" Bulan "&amp;DATEDIF(X1108,TODAY(),"md")&amp;" Hari"</f>
        <v>17 Tahun 0 Bulan 30 Hari</v>
      </c>
      <c r="AA1108" s="31" t="s">
        <v>76</v>
      </c>
      <c r="AB1108" s="32">
        <v>30808</v>
      </c>
      <c r="AC1108" s="31" t="s">
        <v>6070</v>
      </c>
      <c r="AD1108" s="22" t="str">
        <f t="shared" ca="1" si="79"/>
        <v xml:space="preserve">41 Tahun 5 Bulan </v>
      </c>
      <c r="AE1108" s="33" t="s">
        <v>4841</v>
      </c>
      <c r="AF1108" s="34"/>
      <c r="AG1108" s="22" t="s">
        <v>4827</v>
      </c>
      <c r="AH1108" s="59" t="s">
        <v>4773</v>
      </c>
      <c r="AI1108" s="22"/>
      <c r="AJ1108" s="22"/>
      <c r="AK1108" s="33"/>
      <c r="AL1108" s="36"/>
      <c r="AM1108" s="14"/>
    </row>
    <row r="1109" spans="1:39" ht="14.45" customHeight="1" x14ac:dyDescent="0.25">
      <c r="A1109" s="115">
        <v>6</v>
      </c>
      <c r="B1109" s="78"/>
      <c r="C1109" s="50" t="s">
        <v>4842</v>
      </c>
      <c r="D1109" s="20" t="s">
        <v>4843</v>
      </c>
      <c r="E1109" s="21" t="s">
        <v>56</v>
      </c>
      <c r="F1109" s="22" t="s">
        <v>238</v>
      </c>
      <c r="G1109" s="23" t="s">
        <v>3872</v>
      </c>
      <c r="H1109" s="22" t="s">
        <v>1078</v>
      </c>
      <c r="I1109" s="22" t="s">
        <v>44</v>
      </c>
      <c r="J1109" s="22" t="s">
        <v>4844</v>
      </c>
      <c r="K1109" s="30"/>
      <c r="L1109" s="53"/>
      <c r="M1109" s="26"/>
      <c r="N1109" s="26"/>
      <c r="O1109" s="27"/>
      <c r="P1109" s="53"/>
      <c r="Q1109" s="26"/>
      <c r="R1109" s="29"/>
      <c r="S1109" s="23" t="s">
        <v>4751</v>
      </c>
      <c r="T1109" s="23"/>
      <c r="U1109" s="23"/>
      <c r="V1109" s="23"/>
      <c r="W1109" s="30">
        <v>45383</v>
      </c>
      <c r="X1109" s="30">
        <v>40695</v>
      </c>
      <c r="Y1109" s="30">
        <v>40710</v>
      </c>
      <c r="Z1109" s="31" t="str">
        <f t="shared" ca="1" si="81"/>
        <v>14 Tahun 4 Bulan 30 Hari</v>
      </c>
      <c r="AA1109" s="31" t="s">
        <v>76</v>
      </c>
      <c r="AB1109" s="32">
        <v>31517</v>
      </c>
      <c r="AC1109" s="31" t="s">
        <v>276</v>
      </c>
      <c r="AD1109" s="22" t="str">
        <f t="shared" ca="1" si="79"/>
        <v xml:space="preserve">39 Tahun 6 Bulan </v>
      </c>
      <c r="AE1109" s="33" t="s">
        <v>4845</v>
      </c>
      <c r="AF1109" s="34"/>
      <c r="AG1109" s="22" t="s">
        <v>4827</v>
      </c>
      <c r="AH1109" s="59" t="s">
        <v>4773</v>
      </c>
      <c r="AI1109" s="22"/>
      <c r="AJ1109" s="22"/>
      <c r="AK1109" s="33"/>
      <c r="AL1109" s="36"/>
      <c r="AM1109" s="14"/>
    </row>
    <row r="1110" spans="1:39" s="148" customFormat="1" ht="15" customHeight="1" x14ac:dyDescent="0.25">
      <c r="A1110" s="115">
        <v>7</v>
      </c>
      <c r="B1110" s="78"/>
      <c r="C1110" s="50" t="s">
        <v>6071</v>
      </c>
      <c r="D1110" s="20" t="s">
        <v>6072</v>
      </c>
      <c r="E1110" s="21" t="s">
        <v>56</v>
      </c>
      <c r="F1110" s="22" t="s">
        <v>238</v>
      </c>
      <c r="G1110" s="23" t="s">
        <v>3872</v>
      </c>
      <c r="H1110" s="22" t="s">
        <v>239</v>
      </c>
      <c r="I1110" s="22" t="s">
        <v>155</v>
      </c>
      <c r="J1110" s="22" t="s">
        <v>5687</v>
      </c>
      <c r="K1110" s="30"/>
      <c r="L1110" s="53"/>
      <c r="M1110" s="26"/>
      <c r="N1110" s="26"/>
      <c r="O1110" s="27"/>
      <c r="P1110" s="53"/>
      <c r="Q1110" s="26"/>
      <c r="R1110" s="29"/>
      <c r="S1110" s="23" t="s">
        <v>251</v>
      </c>
      <c r="T1110" s="23"/>
      <c r="U1110" s="23"/>
      <c r="V1110" s="23"/>
      <c r="W1110" s="30">
        <v>45931</v>
      </c>
      <c r="X1110" s="30">
        <v>41030</v>
      </c>
      <c r="Y1110" s="30">
        <v>41030</v>
      </c>
      <c r="Z1110" s="31" t="str">
        <f t="shared" ca="1" si="81"/>
        <v>13 Tahun 5 Bulan 30 Hari</v>
      </c>
      <c r="AA1110" s="31" t="s">
        <v>76</v>
      </c>
      <c r="AB1110" s="32">
        <v>31070</v>
      </c>
      <c r="AC1110" s="31" t="s">
        <v>6073</v>
      </c>
      <c r="AD1110" s="22" t="str">
        <f t="shared" ca="1" si="79"/>
        <v xml:space="preserve">40 Tahun 9 Bulan </v>
      </c>
      <c r="AE1110" s="33" t="s">
        <v>242</v>
      </c>
      <c r="AF1110" s="34"/>
      <c r="AG1110" s="22" t="s">
        <v>4827</v>
      </c>
      <c r="AH1110" s="59" t="s">
        <v>4773</v>
      </c>
      <c r="AI1110" s="22"/>
      <c r="AJ1110" s="22"/>
      <c r="AK1110" s="33"/>
      <c r="AL1110" s="36"/>
      <c r="AM1110" s="13"/>
    </row>
    <row r="1111" spans="1:39" ht="14.45" customHeight="1" x14ac:dyDescent="0.25">
      <c r="A1111" s="115">
        <v>8</v>
      </c>
      <c r="B1111" s="78"/>
      <c r="C1111" s="50" t="s">
        <v>4846</v>
      </c>
      <c r="D1111" s="20" t="s">
        <v>4847</v>
      </c>
      <c r="E1111" s="21" t="s">
        <v>56</v>
      </c>
      <c r="F1111" s="22" t="s">
        <v>238</v>
      </c>
      <c r="G1111" s="23" t="s">
        <v>3872</v>
      </c>
      <c r="H1111" s="22" t="s">
        <v>1078</v>
      </c>
      <c r="I1111" s="22" t="s">
        <v>44</v>
      </c>
      <c r="J1111" s="22" t="s">
        <v>1079</v>
      </c>
      <c r="K1111" s="30"/>
      <c r="L1111" s="53"/>
      <c r="M1111" s="26"/>
      <c r="N1111" s="26"/>
      <c r="O1111" s="27"/>
      <c r="P1111" s="53"/>
      <c r="Q1111" s="26"/>
      <c r="R1111" s="29"/>
      <c r="S1111" s="23" t="s">
        <v>4848</v>
      </c>
      <c r="T1111" s="23"/>
      <c r="U1111" s="23"/>
      <c r="V1111" s="23"/>
      <c r="W1111" s="30">
        <v>45383</v>
      </c>
      <c r="X1111" s="30">
        <v>41030</v>
      </c>
      <c r="Y1111" s="30">
        <v>43282</v>
      </c>
      <c r="Z1111" s="31" t="str">
        <f t="shared" ca="1" si="81"/>
        <v>13 Tahun 5 Bulan 30 Hari</v>
      </c>
      <c r="AA1111" s="31" t="s">
        <v>76</v>
      </c>
      <c r="AB1111" s="32">
        <v>32823</v>
      </c>
      <c r="AC1111" s="31" t="s">
        <v>3102</v>
      </c>
      <c r="AD1111" s="22" t="str">
        <f t="shared" ca="1" si="79"/>
        <v xml:space="preserve">35 Tahun 11 Bulan </v>
      </c>
      <c r="AE1111" s="33" t="s">
        <v>4849</v>
      </c>
      <c r="AF1111" s="34"/>
      <c r="AG1111" s="22" t="s">
        <v>4827</v>
      </c>
      <c r="AH1111" s="59" t="s">
        <v>4773</v>
      </c>
      <c r="AI1111" s="22"/>
      <c r="AJ1111" s="22"/>
      <c r="AK1111" s="33" t="s">
        <v>314</v>
      </c>
      <c r="AL1111" s="36"/>
    </row>
    <row r="1112" spans="1:39" ht="14.45" customHeight="1" x14ac:dyDescent="0.25">
      <c r="A1112" s="115">
        <v>9</v>
      </c>
      <c r="B1112" s="18"/>
      <c r="C1112" s="50" t="s">
        <v>4850</v>
      </c>
      <c r="D1112" s="20" t="s">
        <v>6074</v>
      </c>
      <c r="E1112" s="52" t="s">
        <v>40</v>
      </c>
      <c r="F1112" s="22" t="s">
        <v>238</v>
      </c>
      <c r="G1112" s="33" t="s">
        <v>3872</v>
      </c>
      <c r="H1112" s="22" t="s">
        <v>239</v>
      </c>
      <c r="I1112" s="58" t="s">
        <v>44</v>
      </c>
      <c r="J1112" s="58" t="s">
        <v>4645</v>
      </c>
      <c r="K1112" s="58"/>
      <c r="L1112" s="22"/>
      <c r="M1112" s="22"/>
      <c r="N1112" s="22"/>
      <c r="O1112" s="22"/>
      <c r="P1112" s="22"/>
      <c r="Q1112" s="22"/>
      <c r="R1112" s="22"/>
      <c r="S1112" s="59" t="s">
        <v>202</v>
      </c>
      <c r="T1112" s="59"/>
      <c r="U1112" s="59"/>
      <c r="V1112" s="59"/>
      <c r="W1112" s="177">
        <v>45931</v>
      </c>
      <c r="X1112" s="30">
        <v>45261</v>
      </c>
      <c r="Y1112" s="30">
        <v>45261</v>
      </c>
      <c r="Z1112" s="55" t="str">
        <f t="shared" ca="1" si="81"/>
        <v>1 Tahun 10 Bulan 30 Hari</v>
      </c>
      <c r="AA1112" s="55" t="s">
        <v>76</v>
      </c>
      <c r="AB1112" s="56">
        <v>32259</v>
      </c>
      <c r="AC1112" s="31" t="s">
        <v>6075</v>
      </c>
      <c r="AD1112" s="57" t="str">
        <f t="shared" ca="1" si="79"/>
        <v xml:space="preserve">37 Tahun 6 Bulan </v>
      </c>
      <c r="AE1112" s="33" t="s">
        <v>4851</v>
      </c>
      <c r="AF1112" s="34"/>
      <c r="AG1112" s="22" t="s">
        <v>4827</v>
      </c>
      <c r="AH1112" s="59" t="s">
        <v>4773</v>
      </c>
      <c r="AI1112" s="22"/>
      <c r="AJ1112" s="22"/>
      <c r="AK1112" s="33" t="s">
        <v>314</v>
      </c>
      <c r="AL1112" s="36"/>
    </row>
    <row r="1113" spans="1:39" ht="14.45" customHeight="1" x14ac:dyDescent="0.25">
      <c r="A1113" s="115">
        <v>10</v>
      </c>
      <c r="B1113" s="18"/>
      <c r="C1113" s="50" t="s">
        <v>6076</v>
      </c>
      <c r="D1113" s="20" t="s">
        <v>4853</v>
      </c>
      <c r="E1113" s="21" t="s">
        <v>40</v>
      </c>
      <c r="F1113" s="22" t="s">
        <v>192</v>
      </c>
      <c r="G1113" s="23" t="s">
        <v>193</v>
      </c>
      <c r="H1113" s="22" t="s">
        <v>194</v>
      </c>
      <c r="I1113" s="22" t="s">
        <v>155</v>
      </c>
      <c r="J1113" s="22" t="s">
        <v>4854</v>
      </c>
      <c r="K1113" s="24" t="s">
        <v>195</v>
      </c>
      <c r="L1113" s="22"/>
      <c r="M1113" s="22"/>
      <c r="N1113" s="22"/>
      <c r="O1113" s="22"/>
      <c r="P1113" s="22"/>
      <c r="Q1113" s="22"/>
      <c r="R1113" s="22"/>
      <c r="S1113" s="23" t="s">
        <v>4855</v>
      </c>
      <c r="T1113" s="23"/>
      <c r="U1113" s="23"/>
      <c r="V1113" s="23"/>
      <c r="W1113" s="69">
        <v>45809</v>
      </c>
      <c r="X1113" s="69">
        <v>45810</v>
      </c>
      <c r="Y1113" s="69">
        <v>45810</v>
      </c>
      <c r="Z1113" s="31" t="str">
        <f t="shared" ca="1" si="81"/>
        <v>0 Tahun 4 Bulan 29 Hari</v>
      </c>
      <c r="AA1113" s="23" t="s">
        <v>4856</v>
      </c>
      <c r="AB1113" s="32">
        <v>34832</v>
      </c>
      <c r="AC1113" s="32" t="s">
        <v>4857</v>
      </c>
      <c r="AD1113" s="22" t="str">
        <f t="shared" ca="1" si="79"/>
        <v xml:space="preserve">30 Tahun 5 Bulan </v>
      </c>
      <c r="AE1113" s="23" t="s">
        <v>4858</v>
      </c>
      <c r="AF1113" s="34"/>
      <c r="AG1113" s="22" t="s">
        <v>4827</v>
      </c>
      <c r="AH1113" s="59" t="s">
        <v>4773</v>
      </c>
      <c r="AI1113" s="22"/>
      <c r="AJ1113" s="22"/>
      <c r="AK1113" s="33"/>
      <c r="AL1113" s="36"/>
    </row>
    <row r="1114" spans="1:39" ht="14.45" customHeight="1" x14ac:dyDescent="0.25">
      <c r="A1114" s="115">
        <v>11</v>
      </c>
      <c r="B1114" s="18"/>
      <c r="C1114" s="50" t="s">
        <v>4859</v>
      </c>
      <c r="D1114" s="20" t="s">
        <v>4860</v>
      </c>
      <c r="E1114" s="21" t="s">
        <v>40</v>
      </c>
      <c r="F1114" s="22" t="s">
        <v>41</v>
      </c>
      <c r="G1114" s="23" t="s">
        <v>193</v>
      </c>
      <c r="H1114" s="22" t="s">
        <v>194</v>
      </c>
      <c r="I1114" s="22" t="s">
        <v>155</v>
      </c>
      <c r="J1114" s="22" t="s">
        <v>4861</v>
      </c>
      <c r="K1114" s="24">
        <v>45017</v>
      </c>
      <c r="L1114" s="22"/>
      <c r="M1114" s="22"/>
      <c r="N1114" s="22"/>
      <c r="O1114" s="22"/>
      <c r="P1114" s="22"/>
      <c r="Q1114" s="22"/>
      <c r="R1114" s="22"/>
      <c r="S1114" s="23" t="s">
        <v>1339</v>
      </c>
      <c r="T1114" s="23"/>
      <c r="U1114" s="23"/>
      <c r="V1114" s="23"/>
      <c r="W1114" s="30">
        <v>39083</v>
      </c>
      <c r="X1114" s="30">
        <v>35186</v>
      </c>
      <c r="Y1114" s="30">
        <v>35186</v>
      </c>
      <c r="Z1114" s="31" t="str">
        <f ca="1">DATEDIF(W1114,TODAY(),"y")&amp;" Tahun "&amp;DATEDIF(W1114,TODAY(),"ym")&amp;" Bulan "&amp;DATEDIF(W1114,TODAY(),"md")&amp;" Hari"</f>
        <v>18 Tahun 9 Bulan 30 Hari</v>
      </c>
      <c r="AA1114" s="31" t="s">
        <v>76</v>
      </c>
      <c r="AB1114" s="32">
        <v>27172</v>
      </c>
      <c r="AC1114" s="31" t="s">
        <v>4862</v>
      </c>
      <c r="AD1114" s="22" t="str">
        <f ca="1">DATEDIF(AB1114,TODAY(),"y")&amp;" Tahun "&amp;DATEDIF(AB1114,TODAY(),"ym")&amp;" Bulan "</f>
        <v xml:space="preserve">51 Tahun 5 Bulan </v>
      </c>
      <c r="AE1114" s="33" t="s">
        <v>1069</v>
      </c>
      <c r="AF1114" s="34"/>
      <c r="AG1114" s="22" t="s">
        <v>4827</v>
      </c>
      <c r="AH1114" s="59" t="s">
        <v>4773</v>
      </c>
      <c r="AI1114" s="22"/>
      <c r="AJ1114" s="22"/>
      <c r="AK1114" s="33"/>
      <c r="AL1114" s="36"/>
    </row>
    <row r="1115" spans="1:39" ht="14.45" customHeight="1" x14ac:dyDescent="0.25">
      <c r="A1115" s="115">
        <v>12</v>
      </c>
      <c r="B1115" s="18"/>
      <c r="C1115" s="50" t="s">
        <v>4863</v>
      </c>
      <c r="D1115" s="68" t="s">
        <v>4864</v>
      </c>
      <c r="E1115" s="52" t="s">
        <v>40</v>
      </c>
      <c r="F1115" s="60" t="s">
        <v>41</v>
      </c>
      <c r="G1115" s="23" t="s">
        <v>1547</v>
      </c>
      <c r="H1115" s="60" t="s">
        <v>1548</v>
      </c>
      <c r="I1115" s="60" t="s">
        <v>155</v>
      </c>
      <c r="J1115" s="60" t="s">
        <v>4865</v>
      </c>
      <c r="K1115" s="24">
        <v>44835</v>
      </c>
      <c r="L1115" s="60"/>
      <c r="M1115" s="60"/>
      <c r="N1115" s="60"/>
      <c r="O1115" s="60"/>
      <c r="P1115" s="60"/>
      <c r="Q1115" s="60"/>
      <c r="R1115" s="60"/>
      <c r="S1115" s="23" t="s">
        <v>4582</v>
      </c>
      <c r="T1115" s="23"/>
      <c r="U1115" s="23"/>
      <c r="V1115" s="23"/>
      <c r="W1115" s="30">
        <v>39083</v>
      </c>
      <c r="X1115" s="30">
        <v>42705</v>
      </c>
      <c r="Y1115" s="30">
        <v>42705</v>
      </c>
      <c r="Z1115" s="55" t="str">
        <f ca="1">DATEDIF(X1115,TODAY(),"y")&amp;" Tahun "&amp;DATEDIF(X1115,TODAY(),"ym")&amp;" Bulan "&amp;DATEDIF(X1115,TODAY(),"md")&amp;" Hari"</f>
        <v>8 Tahun 10 Bulan 30 Hari</v>
      </c>
      <c r="AA1115" s="55" t="s">
        <v>76</v>
      </c>
      <c r="AB1115" s="56">
        <v>25233</v>
      </c>
      <c r="AC1115" s="31" t="s">
        <v>4866</v>
      </c>
      <c r="AD1115" s="57" t="str">
        <f ca="1">DATEDIF(AB1115,TODAY(),"y")&amp;" Tahun "&amp;DATEDIF(AB1115,TODAY(),"ym")&amp;" Bulan "</f>
        <v xml:space="preserve">56 Tahun 9 Bulan </v>
      </c>
      <c r="AE1115" s="33" t="s">
        <v>4867</v>
      </c>
      <c r="AF1115" s="34"/>
      <c r="AG1115" s="22" t="s">
        <v>4827</v>
      </c>
      <c r="AH1115" s="23" t="s">
        <v>4798</v>
      </c>
      <c r="AI1115" s="22"/>
      <c r="AJ1115" s="22"/>
      <c r="AK1115" s="33"/>
      <c r="AL1115" s="36"/>
    </row>
    <row r="1116" spans="1:39" ht="14.45" customHeight="1" x14ac:dyDescent="0.25">
      <c r="A1116" s="115">
        <v>13</v>
      </c>
      <c r="B1116" s="18"/>
      <c r="C1116" s="50" t="s">
        <v>4869</v>
      </c>
      <c r="D1116" s="20" t="s">
        <v>4870</v>
      </c>
      <c r="E1116" s="52" t="s">
        <v>40</v>
      </c>
      <c r="F1116" s="60" t="s">
        <v>41</v>
      </c>
      <c r="G1116" s="23" t="s">
        <v>193</v>
      </c>
      <c r="H1116" s="60" t="s">
        <v>194</v>
      </c>
      <c r="I1116" s="60" t="s">
        <v>155</v>
      </c>
      <c r="J1116" s="60" t="s">
        <v>4861</v>
      </c>
      <c r="K1116" s="24">
        <v>45017</v>
      </c>
      <c r="L1116" s="60"/>
      <c r="M1116" s="60"/>
      <c r="N1116" s="60"/>
      <c r="O1116" s="60"/>
      <c r="P1116" s="60"/>
      <c r="Q1116" s="60"/>
      <c r="R1116" s="60"/>
      <c r="S1116" s="23" t="s">
        <v>3023</v>
      </c>
      <c r="T1116" s="23"/>
      <c r="U1116" s="23"/>
      <c r="V1116" s="23"/>
      <c r="W1116" s="30">
        <v>39083</v>
      </c>
      <c r="X1116" s="30">
        <v>35247</v>
      </c>
      <c r="Y1116" s="30">
        <v>35247</v>
      </c>
      <c r="Z1116" s="55" t="str">
        <f t="shared" ref="Z1116:Z1122" ca="1" si="82">DATEDIF(W1116,TODAY(),"y")&amp;" Tahun "&amp;DATEDIF(W1116,TODAY(),"ym")&amp;" Bulan "&amp;DATEDIF(W1116,TODAY(),"md")&amp;" Hari"</f>
        <v>18 Tahun 9 Bulan 30 Hari</v>
      </c>
      <c r="AA1116" s="55" t="s">
        <v>76</v>
      </c>
      <c r="AB1116" s="56">
        <v>27351</v>
      </c>
      <c r="AC1116" s="31" t="s">
        <v>4871</v>
      </c>
      <c r="AD1116" s="57" t="str">
        <f ca="1">DATEDIF(AB1116,TODAY(),"y")&amp;" Tahun "&amp;DATEDIF(AB1116,TODAY(),"ym")&amp;" Bulan "</f>
        <v xml:space="preserve">50 Tahun 11 Bulan </v>
      </c>
      <c r="AE1116" s="33" t="s">
        <v>4861</v>
      </c>
      <c r="AF1116" s="34"/>
      <c r="AG1116" s="22" t="s">
        <v>4827</v>
      </c>
      <c r="AH1116" s="23" t="s">
        <v>4798</v>
      </c>
      <c r="AI1116" s="22"/>
      <c r="AJ1116" s="22"/>
      <c r="AK1116" s="33"/>
      <c r="AL1116" s="36"/>
    </row>
    <row r="1117" spans="1:39" ht="14.45" customHeight="1" x14ac:dyDescent="0.25">
      <c r="A1117" s="115">
        <v>14</v>
      </c>
      <c r="B1117" s="18"/>
      <c r="C1117" s="50" t="s">
        <v>4872</v>
      </c>
      <c r="D1117" s="20" t="s">
        <v>4873</v>
      </c>
      <c r="E1117" s="52" t="s">
        <v>40</v>
      </c>
      <c r="F1117" s="60" t="s">
        <v>41</v>
      </c>
      <c r="G1117" s="23" t="s">
        <v>2877</v>
      </c>
      <c r="H1117" s="60" t="s">
        <v>2878</v>
      </c>
      <c r="I1117" s="60" t="s">
        <v>155</v>
      </c>
      <c r="J1117" s="60" t="s">
        <v>4101</v>
      </c>
      <c r="K1117" s="24">
        <v>44835</v>
      </c>
      <c r="L1117" s="60"/>
      <c r="M1117" s="60"/>
      <c r="N1117" s="60"/>
      <c r="O1117" s="60"/>
      <c r="P1117" s="60"/>
      <c r="Q1117" s="60"/>
      <c r="R1117" s="60"/>
      <c r="S1117" s="23" t="s">
        <v>1339</v>
      </c>
      <c r="T1117" s="23"/>
      <c r="U1117" s="23"/>
      <c r="V1117" s="23"/>
      <c r="W1117" s="30">
        <v>40148</v>
      </c>
      <c r="X1117" s="30">
        <v>38047</v>
      </c>
      <c r="Y1117" s="30">
        <v>42064</v>
      </c>
      <c r="Z1117" s="55" t="str">
        <f t="shared" ca="1" si="82"/>
        <v>15 Tahun 10 Bulan 30 Hari</v>
      </c>
      <c r="AA1117" s="55" t="s">
        <v>76</v>
      </c>
      <c r="AB1117" s="56">
        <v>28671</v>
      </c>
      <c r="AC1117" s="55" t="s">
        <v>4874</v>
      </c>
      <c r="AD1117" s="57" t="str">
        <f ca="1">DATEDIF(AB1117,TODAY(),"y")&amp;" Tahun "&amp;DATEDIF(AB1117,TODAY(),"ym")&amp;" Bulan "</f>
        <v xml:space="preserve">47 Tahun 4 Bulan </v>
      </c>
      <c r="AE1117" s="33" t="s">
        <v>4861</v>
      </c>
      <c r="AF1117" s="34"/>
      <c r="AG1117" s="22" t="s">
        <v>4827</v>
      </c>
      <c r="AH1117" s="23" t="s">
        <v>4798</v>
      </c>
      <c r="AI1117" s="22"/>
      <c r="AJ1117" s="22"/>
      <c r="AK1117" s="33"/>
      <c r="AL1117" s="36"/>
      <c r="AM1117" s="14"/>
    </row>
    <row r="1118" spans="1:39" ht="14.45" customHeight="1" x14ac:dyDescent="0.25">
      <c r="A1118" s="115">
        <v>15</v>
      </c>
      <c r="B1118" s="18"/>
      <c r="C1118" s="50" t="s">
        <v>4875</v>
      </c>
      <c r="D1118" s="20" t="s">
        <v>4876</v>
      </c>
      <c r="E1118" s="52" t="s">
        <v>40</v>
      </c>
      <c r="F1118" s="60" t="s">
        <v>41</v>
      </c>
      <c r="G1118" s="23" t="s">
        <v>4877</v>
      </c>
      <c r="H1118" s="60" t="s">
        <v>2878</v>
      </c>
      <c r="I1118" s="60" t="s">
        <v>155</v>
      </c>
      <c r="J1118" s="60" t="s">
        <v>4861</v>
      </c>
      <c r="K1118" s="24">
        <v>44287</v>
      </c>
      <c r="L1118" s="60"/>
      <c r="M1118" s="60"/>
      <c r="N1118" s="60"/>
      <c r="O1118" s="60"/>
      <c r="P1118" s="60"/>
      <c r="Q1118" s="60"/>
      <c r="R1118" s="60"/>
      <c r="S1118" s="23" t="s">
        <v>1339</v>
      </c>
      <c r="T1118" s="23"/>
      <c r="U1118" s="23"/>
      <c r="V1118" s="23"/>
      <c r="W1118" s="30">
        <v>39783</v>
      </c>
      <c r="X1118" s="30">
        <v>37926</v>
      </c>
      <c r="Y1118" s="30">
        <v>37926</v>
      </c>
      <c r="Z1118" s="55" t="str">
        <f t="shared" ca="1" si="82"/>
        <v>16 Tahun 10 Bulan 30 Hari</v>
      </c>
      <c r="AA1118" s="55" t="s">
        <v>76</v>
      </c>
      <c r="AB1118" s="56">
        <v>28746</v>
      </c>
      <c r="AC1118" s="31" t="s">
        <v>4878</v>
      </c>
      <c r="AD1118" s="57" t="str">
        <f ca="1">DATEDIF(AB1118,TODAY(),"y")&amp;" Tahun "&amp;DATEDIF(AB1118,TODAY(),"ym")&amp;" Bulan "</f>
        <v xml:space="preserve">47 Tahun 1 Bulan </v>
      </c>
      <c r="AE1118" s="33" t="s">
        <v>4861</v>
      </c>
      <c r="AF1118" s="34"/>
      <c r="AG1118" s="22" t="s">
        <v>4827</v>
      </c>
      <c r="AH1118" s="23" t="s">
        <v>4798</v>
      </c>
      <c r="AI1118" s="22"/>
      <c r="AJ1118" s="22"/>
      <c r="AK1118" s="33"/>
      <c r="AL1118" s="36"/>
      <c r="AM1118" s="14"/>
    </row>
    <row r="1119" spans="1:39" ht="14.45" customHeight="1" x14ac:dyDescent="0.25">
      <c r="A1119" s="115">
        <v>16</v>
      </c>
      <c r="B1119" s="18"/>
      <c r="C1119" s="50" t="s">
        <v>4879</v>
      </c>
      <c r="D1119" s="20" t="s">
        <v>4880</v>
      </c>
      <c r="E1119" s="21" t="s">
        <v>56</v>
      </c>
      <c r="F1119" s="22" t="s">
        <v>41</v>
      </c>
      <c r="G1119" s="23" t="s">
        <v>4881</v>
      </c>
      <c r="H1119" s="22" t="s">
        <v>138</v>
      </c>
      <c r="I1119" s="22" t="s">
        <v>155</v>
      </c>
      <c r="J1119" s="22" t="s">
        <v>4752</v>
      </c>
      <c r="K1119" s="24">
        <v>43922</v>
      </c>
      <c r="L1119" s="22"/>
      <c r="M1119" s="22"/>
      <c r="N1119" s="22"/>
      <c r="O1119" s="22"/>
      <c r="P1119" s="22"/>
      <c r="Q1119" s="22"/>
      <c r="R1119" s="22"/>
      <c r="S1119" s="23" t="s">
        <v>1391</v>
      </c>
      <c r="T1119" s="23"/>
      <c r="U1119" s="23"/>
      <c r="V1119" s="23"/>
      <c r="W1119" s="30">
        <v>33664</v>
      </c>
      <c r="X1119" s="30">
        <v>35551</v>
      </c>
      <c r="Y1119" s="22"/>
      <c r="Z1119" s="31" t="str">
        <f t="shared" ca="1" si="82"/>
        <v>33 Tahun 7 Bulan 30 Hari</v>
      </c>
      <c r="AA1119" s="31" t="s">
        <v>76</v>
      </c>
      <c r="AB1119" s="32">
        <v>25615</v>
      </c>
      <c r="AC1119" s="31" t="s">
        <v>4882</v>
      </c>
      <c r="AD1119" s="22" t="str">
        <f t="shared" ref="AD1119:AD1182" ca="1" si="83">DATEDIF(AB1119,TODAY(),"y")&amp;" Tahun "&amp;DATEDIF(AB1119,TODAY(),"ym")&amp;" Bulan "</f>
        <v xml:space="preserve">55 Tahun 8 Bulan </v>
      </c>
      <c r="AE1119" s="33" t="s">
        <v>242</v>
      </c>
      <c r="AF1119" s="34"/>
      <c r="AG1119" s="22" t="s">
        <v>4827</v>
      </c>
      <c r="AH1119" s="23" t="s">
        <v>4798</v>
      </c>
      <c r="AI1119" s="22"/>
      <c r="AJ1119" s="22"/>
      <c r="AK1119" s="33"/>
      <c r="AL1119" s="36"/>
    </row>
    <row r="1120" spans="1:39" ht="14.45" customHeight="1" x14ac:dyDescent="0.25">
      <c r="A1120" s="115">
        <v>17</v>
      </c>
      <c r="B1120" s="18"/>
      <c r="C1120" s="50" t="s">
        <v>4883</v>
      </c>
      <c r="D1120" s="20" t="s">
        <v>4884</v>
      </c>
      <c r="E1120" s="52" t="s">
        <v>40</v>
      </c>
      <c r="F1120" s="60" t="s">
        <v>41</v>
      </c>
      <c r="G1120" s="23" t="s">
        <v>193</v>
      </c>
      <c r="H1120" s="60" t="s">
        <v>194</v>
      </c>
      <c r="I1120" s="60" t="s">
        <v>155</v>
      </c>
      <c r="J1120" s="60" t="s">
        <v>4101</v>
      </c>
      <c r="K1120" s="24">
        <v>45200</v>
      </c>
      <c r="L1120" s="60"/>
      <c r="M1120" s="60"/>
      <c r="N1120" s="60"/>
      <c r="O1120" s="60"/>
      <c r="P1120" s="60"/>
      <c r="Q1120" s="60"/>
      <c r="R1120" s="60"/>
      <c r="S1120" s="23" t="s">
        <v>1339</v>
      </c>
      <c r="T1120" s="23"/>
      <c r="U1120" s="23"/>
      <c r="V1120" s="23"/>
      <c r="W1120" s="30">
        <v>39356</v>
      </c>
      <c r="X1120" s="30">
        <v>35765</v>
      </c>
      <c r="Y1120" s="30">
        <v>42064</v>
      </c>
      <c r="Z1120" s="55" t="str">
        <f t="shared" ca="1" si="82"/>
        <v>18 Tahun 0 Bulan 30 Hari</v>
      </c>
      <c r="AA1120" s="55" t="s">
        <v>76</v>
      </c>
      <c r="AB1120" s="56">
        <v>26628</v>
      </c>
      <c r="AC1120" s="31" t="s">
        <v>4885</v>
      </c>
      <c r="AD1120" s="57" t="str">
        <f t="shared" ca="1" si="83"/>
        <v xml:space="preserve">52 Tahun 11 Bulan </v>
      </c>
      <c r="AE1120" s="33" t="s">
        <v>1341</v>
      </c>
      <c r="AF1120" s="34"/>
      <c r="AG1120" s="22" t="s">
        <v>4827</v>
      </c>
      <c r="AH1120" s="23" t="s">
        <v>4798</v>
      </c>
      <c r="AI1120" s="58"/>
      <c r="AJ1120" s="58"/>
      <c r="AK1120" s="33" t="s">
        <v>485</v>
      </c>
      <c r="AL1120" s="36"/>
    </row>
    <row r="1121" spans="1:39" ht="14.45" customHeight="1" x14ac:dyDescent="0.25">
      <c r="A1121" s="115">
        <v>18</v>
      </c>
      <c r="B1121" s="18"/>
      <c r="C1121" s="50" t="s">
        <v>4886</v>
      </c>
      <c r="D1121" s="20" t="s">
        <v>4887</v>
      </c>
      <c r="E1121" s="52" t="s">
        <v>40</v>
      </c>
      <c r="F1121" s="58" t="s">
        <v>41</v>
      </c>
      <c r="G1121" s="23" t="s">
        <v>2877</v>
      </c>
      <c r="H1121" s="22" t="s">
        <v>2878</v>
      </c>
      <c r="I1121" s="22" t="s">
        <v>155</v>
      </c>
      <c r="J1121" s="22" t="s">
        <v>4101</v>
      </c>
      <c r="K1121" s="24">
        <v>44835</v>
      </c>
      <c r="L1121" s="22"/>
      <c r="M1121" s="22"/>
      <c r="N1121" s="22"/>
      <c r="O1121" s="22"/>
      <c r="P1121" s="22"/>
      <c r="Q1121" s="22"/>
      <c r="R1121" s="22"/>
      <c r="S1121" s="23" t="s">
        <v>1339</v>
      </c>
      <c r="T1121" s="23"/>
      <c r="U1121" s="23"/>
      <c r="V1121" s="23"/>
      <c r="W1121" s="30">
        <v>40148</v>
      </c>
      <c r="X1121" s="30">
        <v>38047</v>
      </c>
      <c r="Y1121" s="30">
        <v>42064</v>
      </c>
      <c r="Z1121" s="55" t="str">
        <f t="shared" ca="1" si="82"/>
        <v>15 Tahun 10 Bulan 30 Hari</v>
      </c>
      <c r="AA1121" s="66" t="s">
        <v>76</v>
      </c>
      <c r="AB1121" s="56">
        <v>28496</v>
      </c>
      <c r="AC1121" s="32" t="s">
        <v>4888</v>
      </c>
      <c r="AD1121" s="57" t="str">
        <f t="shared" ca="1" si="83"/>
        <v xml:space="preserve">47 Tahun 9 Bulan </v>
      </c>
      <c r="AE1121" s="33" t="s">
        <v>1341</v>
      </c>
      <c r="AF1121" s="71"/>
      <c r="AG1121" s="22" t="s">
        <v>4827</v>
      </c>
      <c r="AH1121" s="23" t="s">
        <v>4798</v>
      </c>
      <c r="AI1121" s="58"/>
      <c r="AJ1121" s="58"/>
      <c r="AK1121" s="33" t="s">
        <v>4823</v>
      </c>
      <c r="AL1121" s="36"/>
    </row>
    <row r="1122" spans="1:39" ht="14.45" customHeight="1" x14ac:dyDescent="0.25">
      <c r="A1122" s="17">
        <v>1</v>
      </c>
      <c r="B1122" s="80"/>
      <c r="C1122" s="50" t="s">
        <v>4889</v>
      </c>
      <c r="D1122" s="20" t="s">
        <v>4890</v>
      </c>
      <c r="E1122" s="52" t="s">
        <v>40</v>
      </c>
      <c r="F1122" s="58" t="s">
        <v>41</v>
      </c>
      <c r="G1122" s="23" t="s">
        <v>227</v>
      </c>
      <c r="H1122" s="22" t="s">
        <v>228</v>
      </c>
      <c r="I1122" s="22" t="s">
        <v>155</v>
      </c>
      <c r="J1122" s="22" t="s">
        <v>4861</v>
      </c>
      <c r="K1122" s="24">
        <v>45931</v>
      </c>
      <c r="L1122" s="22"/>
      <c r="M1122" s="22"/>
      <c r="N1122" s="22"/>
      <c r="O1122" s="22"/>
      <c r="P1122" s="22"/>
      <c r="Q1122" s="22"/>
      <c r="R1122" s="22"/>
      <c r="S1122" s="23" t="s">
        <v>251</v>
      </c>
      <c r="T1122" s="23"/>
      <c r="U1122" s="23"/>
      <c r="V1122" s="23"/>
      <c r="W1122" s="30">
        <v>39783</v>
      </c>
      <c r="X1122" s="30">
        <v>37926</v>
      </c>
      <c r="Y1122" s="30">
        <v>42740</v>
      </c>
      <c r="Z1122" s="55" t="str">
        <f t="shared" ca="1" si="82"/>
        <v>16 Tahun 10 Bulan 30 Hari</v>
      </c>
      <c r="AA1122" s="66" t="s">
        <v>76</v>
      </c>
      <c r="AB1122" s="56">
        <v>29556</v>
      </c>
      <c r="AC1122" s="32" t="s">
        <v>4891</v>
      </c>
      <c r="AD1122" s="57" t="str">
        <f t="shared" ca="1" si="83"/>
        <v xml:space="preserve">44 Tahun 10 Bulan </v>
      </c>
      <c r="AE1122" s="33" t="s">
        <v>4836</v>
      </c>
      <c r="AF1122" s="71"/>
      <c r="AG1122" s="22" t="s">
        <v>4827</v>
      </c>
      <c r="AH1122" s="22"/>
      <c r="AI1122" s="22"/>
      <c r="AJ1122" s="22"/>
      <c r="AK1122" s="33"/>
      <c r="AL1122" s="36"/>
    </row>
    <row r="1123" spans="1:39" ht="14.45" customHeight="1" x14ac:dyDescent="0.25">
      <c r="A1123" s="17">
        <v>2</v>
      </c>
      <c r="B1123" s="18"/>
      <c r="C1123" s="50" t="s">
        <v>6157</v>
      </c>
      <c r="D1123" s="20" t="s">
        <v>6077</v>
      </c>
      <c r="E1123" s="58" t="s">
        <v>56</v>
      </c>
      <c r="F1123" s="60" t="s">
        <v>238</v>
      </c>
      <c r="G1123" s="33" t="s">
        <v>3872</v>
      </c>
      <c r="H1123" s="60" t="s">
        <v>1078</v>
      </c>
      <c r="I1123" s="60" t="s">
        <v>44</v>
      </c>
      <c r="J1123" s="60" t="s">
        <v>1079</v>
      </c>
      <c r="K1123" s="30"/>
      <c r="L1123" s="60"/>
      <c r="M1123" s="60"/>
      <c r="N1123" s="60"/>
      <c r="O1123" s="60"/>
      <c r="P1123" s="60"/>
      <c r="Q1123" s="60"/>
      <c r="R1123" s="60"/>
      <c r="S1123" s="33" t="s">
        <v>1355</v>
      </c>
      <c r="T1123" s="33"/>
      <c r="U1123" s="33"/>
      <c r="V1123" s="33"/>
      <c r="W1123" s="30">
        <v>45931</v>
      </c>
      <c r="X1123" s="30">
        <v>42095</v>
      </c>
      <c r="Y1123" s="30">
        <v>42114</v>
      </c>
      <c r="Z1123" s="55" t="str">
        <f ca="1">DATEDIF(X1123,TODAY(),"y")&amp;" Tahun "&amp;DATEDIF(X1123,TODAY(),"ym")&amp;" Bulan "&amp;DATEDIF(X1123,TODAY(),"md")&amp;" Hari"</f>
        <v>10 Tahun 6 Bulan 30 Hari</v>
      </c>
      <c r="AA1123" s="55" t="s">
        <v>76</v>
      </c>
      <c r="AB1123" s="56">
        <v>31367</v>
      </c>
      <c r="AC1123" s="31" t="s">
        <v>6078</v>
      </c>
      <c r="AD1123" s="57" t="str">
        <f t="shared" ca="1" si="83"/>
        <v xml:space="preserve">39 Tahun 11 Bulan </v>
      </c>
      <c r="AE1123" s="33" t="s">
        <v>1341</v>
      </c>
      <c r="AF1123" s="34"/>
      <c r="AG1123" s="22" t="s">
        <v>4827</v>
      </c>
      <c r="AH1123" s="22"/>
      <c r="AI1123" s="22"/>
      <c r="AJ1123" s="22"/>
      <c r="AK1123" s="33"/>
      <c r="AL1123" s="36"/>
      <c r="AM1123" s="14"/>
    </row>
    <row r="1124" spans="1:39" ht="14.45" customHeight="1" x14ac:dyDescent="0.25">
      <c r="A1124" s="17">
        <v>3</v>
      </c>
      <c r="B1124" s="18"/>
      <c r="C1124" s="50" t="s">
        <v>4892</v>
      </c>
      <c r="D1124" s="20" t="s">
        <v>6079</v>
      </c>
      <c r="E1124" s="58" t="s">
        <v>40</v>
      </c>
      <c r="F1124" s="60" t="s">
        <v>5691</v>
      </c>
      <c r="G1124" s="33" t="s">
        <v>3872</v>
      </c>
      <c r="H1124" s="60" t="s">
        <v>5692</v>
      </c>
      <c r="I1124" s="60" t="s">
        <v>155</v>
      </c>
      <c r="J1124" s="60" t="s">
        <v>5693</v>
      </c>
      <c r="K1124" s="30"/>
      <c r="L1124" s="60"/>
      <c r="M1124" s="60"/>
      <c r="N1124" s="60"/>
      <c r="O1124" s="60"/>
      <c r="P1124" s="60"/>
      <c r="Q1124" s="60"/>
      <c r="R1124" s="60"/>
      <c r="S1124" s="33" t="s">
        <v>4893</v>
      </c>
      <c r="T1124" s="33"/>
      <c r="U1124" s="33"/>
      <c r="V1124" s="33"/>
      <c r="W1124" s="30">
        <v>45931</v>
      </c>
      <c r="X1124" s="30">
        <v>45261</v>
      </c>
      <c r="Y1124" s="30">
        <v>45261</v>
      </c>
      <c r="Z1124" s="55" t="str">
        <f ca="1">DATEDIF(X1124,TODAY(),"y")&amp;" Tahun "&amp;DATEDIF(X1124,TODAY(),"ym")&amp;" Bulan "&amp;DATEDIF(X1124,TODAY(),"md")&amp;" Hari"</f>
        <v>1 Tahun 10 Bulan 30 Hari</v>
      </c>
      <c r="AA1124" s="55" t="s">
        <v>76</v>
      </c>
      <c r="AB1124" s="56">
        <v>30016</v>
      </c>
      <c r="AC1124" s="31" t="s">
        <v>6080</v>
      </c>
      <c r="AD1124" s="57" t="str">
        <f t="shared" ca="1" si="83"/>
        <v xml:space="preserve">43 Tahun 7 Bulan </v>
      </c>
      <c r="AE1124" s="33" t="s">
        <v>2888</v>
      </c>
      <c r="AF1124" s="34"/>
      <c r="AG1124" s="22" t="s">
        <v>4827</v>
      </c>
      <c r="AH1124" s="22"/>
      <c r="AI1124" s="22"/>
      <c r="AJ1124" s="22"/>
      <c r="AK1124" s="33"/>
      <c r="AL1124" s="36"/>
      <c r="AM1124" s="14"/>
    </row>
    <row r="1125" spans="1:39" ht="14.45" customHeight="1" x14ac:dyDescent="0.25">
      <c r="A1125" s="17">
        <v>4</v>
      </c>
      <c r="B1125" s="18"/>
      <c r="C1125" s="50" t="s">
        <v>4894</v>
      </c>
      <c r="D1125" s="20">
        <v>2023120747</v>
      </c>
      <c r="E1125" s="58" t="s">
        <v>40</v>
      </c>
      <c r="F1125" s="60" t="s">
        <v>1063</v>
      </c>
      <c r="G1125" s="33" t="s">
        <v>3872</v>
      </c>
      <c r="H1125" s="60" t="s">
        <v>3872</v>
      </c>
      <c r="I1125" s="60"/>
      <c r="J1125" s="60"/>
      <c r="K1125" s="30"/>
      <c r="L1125" s="60"/>
      <c r="M1125" s="60"/>
      <c r="N1125" s="60"/>
      <c r="O1125" s="60"/>
      <c r="P1125" s="60"/>
      <c r="Q1125" s="60"/>
      <c r="R1125" s="60"/>
      <c r="S1125" s="33" t="s">
        <v>1068</v>
      </c>
      <c r="T1125" s="33"/>
      <c r="U1125" s="33"/>
      <c r="V1125" s="33"/>
      <c r="W1125" s="30"/>
      <c r="X1125" s="30">
        <v>45261</v>
      </c>
      <c r="Y1125" s="30">
        <v>45261</v>
      </c>
      <c r="Z1125" s="55" t="str">
        <f ca="1">DATEDIF(X1125,TODAY(),"y")&amp;" Tahun "&amp;DATEDIF(X1125,TODAY(),"ym")&amp;" Bulan "&amp;DATEDIF(X1125,TODAY(),"md")&amp;" Hari"</f>
        <v>1 Tahun 10 Bulan 30 Hari</v>
      </c>
      <c r="AA1125" s="55" t="s">
        <v>76</v>
      </c>
      <c r="AB1125" s="56">
        <v>29113</v>
      </c>
      <c r="AC1125" s="31" t="s">
        <v>4895</v>
      </c>
      <c r="AD1125" s="57" t="str">
        <f t="shared" ca="1" si="83"/>
        <v xml:space="preserve">46 Tahun 1 Bulan </v>
      </c>
      <c r="AE1125" s="33" t="s">
        <v>2888</v>
      </c>
      <c r="AF1125" s="34"/>
      <c r="AG1125" s="22" t="s">
        <v>4827</v>
      </c>
      <c r="AH1125" s="22"/>
      <c r="AI1125" s="22"/>
      <c r="AJ1125" s="22"/>
      <c r="AK1125" s="33"/>
      <c r="AL1125" s="36"/>
      <c r="AM1125" s="14"/>
    </row>
    <row r="1126" spans="1:39" ht="14.45" customHeight="1" x14ac:dyDescent="0.25">
      <c r="A1126" s="17">
        <v>5</v>
      </c>
      <c r="B1126" s="18"/>
      <c r="C1126" s="132" t="s">
        <v>4896</v>
      </c>
      <c r="D1126" s="20" t="s">
        <v>4897</v>
      </c>
      <c r="E1126" s="21" t="s">
        <v>40</v>
      </c>
      <c r="F1126" s="22" t="s">
        <v>41</v>
      </c>
      <c r="G1126" s="23" t="s">
        <v>227</v>
      </c>
      <c r="H1126" s="22" t="s">
        <v>228</v>
      </c>
      <c r="I1126" s="22" t="s">
        <v>44</v>
      </c>
      <c r="J1126" s="22" t="s">
        <v>4898</v>
      </c>
      <c r="K1126" s="24">
        <v>45870</v>
      </c>
      <c r="L1126" s="25"/>
      <c r="M1126" s="26"/>
      <c r="N1126" s="26"/>
      <c r="O1126" s="27"/>
      <c r="P1126" s="28"/>
      <c r="Q1126" s="29"/>
      <c r="R1126" s="26"/>
      <c r="S1126" s="23" t="s">
        <v>4899</v>
      </c>
      <c r="T1126" s="23"/>
      <c r="U1126" s="23"/>
      <c r="V1126" s="23"/>
      <c r="W1126" s="30">
        <v>40148</v>
      </c>
      <c r="X1126" s="30">
        <v>40238</v>
      </c>
      <c r="Y1126" s="30">
        <v>40238</v>
      </c>
      <c r="Z1126" s="31" t="str">
        <f t="shared" ref="Z1126:Z1131" ca="1" si="84">DATEDIF(W1126,TODAY(),"y")&amp;" Tahun "&amp;DATEDIF(W1126,TODAY(),"ym")&amp;" Bulan "&amp;DATEDIF(W1126,TODAY(),"md")&amp;" Hari"</f>
        <v>15 Tahun 10 Bulan 30 Hari</v>
      </c>
      <c r="AA1126" s="31" t="s">
        <v>76</v>
      </c>
      <c r="AB1126" s="32">
        <v>31916</v>
      </c>
      <c r="AC1126" s="32" t="s">
        <v>4900</v>
      </c>
      <c r="AD1126" s="22" t="str">
        <f t="shared" ca="1" si="83"/>
        <v xml:space="preserve">38 Tahun 5 Bulan </v>
      </c>
      <c r="AE1126" s="33" t="s">
        <v>4118</v>
      </c>
      <c r="AF1126" s="34"/>
      <c r="AG1126" s="58" t="s">
        <v>4901</v>
      </c>
      <c r="AH1126" s="22"/>
      <c r="AI1126" s="22"/>
      <c r="AJ1126" s="22"/>
      <c r="AK1126" s="33"/>
      <c r="AL1126" s="36"/>
      <c r="AM1126" s="14"/>
    </row>
    <row r="1127" spans="1:39" ht="14.45" customHeight="1" x14ac:dyDescent="0.25">
      <c r="A1127" s="17">
        <v>6</v>
      </c>
      <c r="B1127" s="18"/>
      <c r="C1127" s="132" t="s">
        <v>4902</v>
      </c>
      <c r="D1127" s="20" t="s">
        <v>4903</v>
      </c>
      <c r="E1127" s="52" t="s">
        <v>56</v>
      </c>
      <c r="F1127" s="58" t="s">
        <v>41</v>
      </c>
      <c r="G1127" s="23" t="s">
        <v>102</v>
      </c>
      <c r="H1127" s="22" t="s">
        <v>103</v>
      </c>
      <c r="I1127" s="22" t="s">
        <v>44</v>
      </c>
      <c r="J1127" s="22" t="s">
        <v>4904</v>
      </c>
      <c r="K1127" s="24">
        <v>45323</v>
      </c>
      <c r="L1127" s="53" t="s">
        <v>4905</v>
      </c>
      <c r="M1127" s="26">
        <v>43025</v>
      </c>
      <c r="N1127" s="26">
        <v>44633</v>
      </c>
      <c r="O1127" s="40" t="s">
        <v>4906</v>
      </c>
      <c r="P1127" s="53" t="s">
        <v>4907</v>
      </c>
      <c r="Q1127" s="26">
        <v>43298</v>
      </c>
      <c r="R1127" s="26">
        <v>44633</v>
      </c>
      <c r="S1127" s="23" t="s">
        <v>4899</v>
      </c>
      <c r="T1127" s="23"/>
      <c r="U1127" s="23"/>
      <c r="V1127" s="23"/>
      <c r="W1127" s="30">
        <v>40513</v>
      </c>
      <c r="X1127" s="30">
        <v>40638</v>
      </c>
      <c r="Y1127" s="30">
        <v>40638</v>
      </c>
      <c r="Z1127" s="55" t="str">
        <f t="shared" ca="1" si="84"/>
        <v>14 Tahun 10 Bulan 30 Hari</v>
      </c>
      <c r="AA1127" s="55" t="s">
        <v>76</v>
      </c>
      <c r="AB1127" s="56">
        <v>32215</v>
      </c>
      <c r="AC1127" s="31" t="s">
        <v>4908</v>
      </c>
      <c r="AD1127" s="57" t="str">
        <f t="shared" ca="1" si="83"/>
        <v xml:space="preserve">37 Tahun 7 Bulan </v>
      </c>
      <c r="AE1127" s="33" t="s">
        <v>4909</v>
      </c>
      <c r="AF1127" s="71"/>
      <c r="AG1127" s="58" t="s">
        <v>4901</v>
      </c>
      <c r="AH1127" s="22"/>
      <c r="AI1127" s="22"/>
      <c r="AJ1127" s="22"/>
      <c r="AK1127" s="33" t="s">
        <v>485</v>
      </c>
      <c r="AL1127" s="36"/>
      <c r="AM1127" s="14"/>
    </row>
    <row r="1128" spans="1:39" ht="14.45" customHeight="1" x14ac:dyDescent="0.25">
      <c r="A1128" s="17">
        <v>7</v>
      </c>
      <c r="B1128" s="76"/>
      <c r="C1128" s="132" t="s">
        <v>4910</v>
      </c>
      <c r="D1128" s="20" t="s">
        <v>4911</v>
      </c>
      <c r="E1128" s="52" t="s">
        <v>56</v>
      </c>
      <c r="F1128" s="58" t="s">
        <v>41</v>
      </c>
      <c r="G1128" s="89" t="s">
        <v>102</v>
      </c>
      <c r="H1128" s="22" t="s">
        <v>103</v>
      </c>
      <c r="I1128" s="58" t="s">
        <v>44</v>
      </c>
      <c r="J1128" s="22" t="s">
        <v>4904</v>
      </c>
      <c r="K1128" s="24">
        <v>45323</v>
      </c>
      <c r="L1128" s="53" t="s">
        <v>4912</v>
      </c>
      <c r="M1128" s="26">
        <v>43025</v>
      </c>
      <c r="N1128" s="26">
        <v>44718</v>
      </c>
      <c r="O1128" s="40" t="s">
        <v>4913</v>
      </c>
      <c r="P1128" s="53" t="s">
        <v>4914</v>
      </c>
      <c r="Q1128" s="26">
        <v>43298</v>
      </c>
      <c r="R1128" s="26">
        <v>44718</v>
      </c>
      <c r="S1128" s="23" t="s">
        <v>4899</v>
      </c>
      <c r="T1128" s="23"/>
      <c r="U1128" s="23"/>
      <c r="V1128" s="23"/>
      <c r="W1128" s="30">
        <v>40513</v>
      </c>
      <c r="X1128" s="30">
        <v>40638</v>
      </c>
      <c r="Y1128" s="30">
        <v>40638</v>
      </c>
      <c r="Z1128" s="55" t="str">
        <f t="shared" ca="1" si="84"/>
        <v>14 Tahun 10 Bulan 30 Hari</v>
      </c>
      <c r="AA1128" s="55" t="s">
        <v>76</v>
      </c>
      <c r="AB1128" s="56">
        <v>32665</v>
      </c>
      <c r="AC1128" s="31" t="s">
        <v>4915</v>
      </c>
      <c r="AD1128" s="57" t="str">
        <f t="shared" ca="1" si="83"/>
        <v xml:space="preserve">36 Tahun 4 Bulan </v>
      </c>
      <c r="AE1128" s="33" t="s">
        <v>4909</v>
      </c>
      <c r="AF1128" s="71"/>
      <c r="AG1128" s="58" t="s">
        <v>4901</v>
      </c>
      <c r="AH1128" s="22"/>
      <c r="AI1128" s="22"/>
      <c r="AJ1128" s="22"/>
      <c r="AK1128" s="33"/>
      <c r="AL1128" s="36"/>
      <c r="AM1128" s="14"/>
    </row>
    <row r="1129" spans="1:39" ht="14.45" customHeight="1" x14ac:dyDescent="0.25">
      <c r="A1129" s="17">
        <v>8</v>
      </c>
      <c r="B1129" s="76"/>
      <c r="C1129" s="132" t="s">
        <v>4916</v>
      </c>
      <c r="D1129" s="20" t="s">
        <v>4917</v>
      </c>
      <c r="E1129" s="52" t="s">
        <v>56</v>
      </c>
      <c r="F1129" s="58" t="s">
        <v>41</v>
      </c>
      <c r="G1129" s="89" t="s">
        <v>102</v>
      </c>
      <c r="H1129" s="22" t="s">
        <v>103</v>
      </c>
      <c r="I1129" s="58" t="s">
        <v>44</v>
      </c>
      <c r="J1129" s="22" t="s">
        <v>4904</v>
      </c>
      <c r="K1129" s="24">
        <v>45323</v>
      </c>
      <c r="L1129" s="25" t="s">
        <v>4918</v>
      </c>
      <c r="M1129" s="26">
        <v>43025</v>
      </c>
      <c r="N1129" s="26">
        <v>44753</v>
      </c>
      <c r="O1129" s="27" t="s">
        <v>4906</v>
      </c>
      <c r="P1129" s="53" t="s">
        <v>4919</v>
      </c>
      <c r="Q1129" s="26">
        <v>43298</v>
      </c>
      <c r="R1129" s="26">
        <v>44753</v>
      </c>
      <c r="S1129" s="23" t="s">
        <v>4920</v>
      </c>
      <c r="T1129" s="23"/>
      <c r="U1129" s="23"/>
      <c r="V1129" s="23"/>
      <c r="W1129" s="30">
        <v>40513</v>
      </c>
      <c r="X1129" s="30">
        <v>40638</v>
      </c>
      <c r="Y1129" s="30">
        <v>40638</v>
      </c>
      <c r="Z1129" s="55" t="str">
        <f t="shared" ca="1" si="84"/>
        <v>14 Tahun 10 Bulan 30 Hari</v>
      </c>
      <c r="AA1129" s="55" t="s">
        <v>76</v>
      </c>
      <c r="AB1129" s="56">
        <v>32700</v>
      </c>
      <c r="AC1129" s="31" t="s">
        <v>4921</v>
      </c>
      <c r="AD1129" s="57" t="str">
        <f t="shared" ca="1" si="83"/>
        <v xml:space="preserve">36 Tahun 3 Bulan </v>
      </c>
      <c r="AE1129" s="33" t="s">
        <v>4909</v>
      </c>
      <c r="AF1129" s="71"/>
      <c r="AG1129" s="58" t="s">
        <v>4901</v>
      </c>
      <c r="AH1129" s="22"/>
      <c r="AI1129" s="22"/>
      <c r="AJ1129" s="22"/>
      <c r="AK1129" s="33"/>
      <c r="AL1129" s="36"/>
      <c r="AM1129" s="14"/>
    </row>
    <row r="1130" spans="1:39" ht="14.45" customHeight="1" x14ac:dyDescent="0.25">
      <c r="A1130" s="17">
        <v>9</v>
      </c>
      <c r="B1130" s="76"/>
      <c r="C1130" s="132" t="s">
        <v>4922</v>
      </c>
      <c r="D1130" s="20" t="s">
        <v>4923</v>
      </c>
      <c r="E1130" s="58" t="s">
        <v>56</v>
      </c>
      <c r="F1130" s="58" t="s">
        <v>41</v>
      </c>
      <c r="G1130" s="89" t="s">
        <v>102</v>
      </c>
      <c r="H1130" s="22" t="s">
        <v>103</v>
      </c>
      <c r="I1130" s="58" t="s">
        <v>44</v>
      </c>
      <c r="J1130" s="22" t="s">
        <v>4924</v>
      </c>
      <c r="K1130" s="24">
        <v>45200</v>
      </c>
      <c r="L1130" s="25" t="s">
        <v>4925</v>
      </c>
      <c r="M1130" s="26">
        <v>43082</v>
      </c>
      <c r="N1130" s="26">
        <v>44583</v>
      </c>
      <c r="O1130" s="27" t="s">
        <v>4906</v>
      </c>
      <c r="P1130" s="53" t="s">
        <v>4926</v>
      </c>
      <c r="Q1130" s="26">
        <v>43307</v>
      </c>
      <c r="R1130" s="26">
        <v>44917</v>
      </c>
      <c r="S1130" s="23" t="s">
        <v>4899</v>
      </c>
      <c r="T1130" s="23"/>
      <c r="U1130" s="23"/>
      <c r="V1130" s="23"/>
      <c r="W1130" s="30">
        <v>40179</v>
      </c>
      <c r="X1130" s="30">
        <v>42186</v>
      </c>
      <c r="Y1130" s="30">
        <v>42193</v>
      </c>
      <c r="Z1130" s="55" t="str">
        <f t="shared" ca="1" si="84"/>
        <v>15 Tahun 9 Bulan 30 Hari</v>
      </c>
      <c r="AA1130" s="55" t="s">
        <v>76</v>
      </c>
      <c r="AB1130" s="56">
        <v>30307</v>
      </c>
      <c r="AC1130" s="32" t="s">
        <v>4927</v>
      </c>
      <c r="AD1130" s="57" t="str">
        <f t="shared" ca="1" si="83"/>
        <v xml:space="preserve">42 Tahun 10 Bulan </v>
      </c>
      <c r="AE1130" s="33" t="s">
        <v>4909</v>
      </c>
      <c r="AF1130" s="71"/>
      <c r="AG1130" s="58" t="s">
        <v>4901</v>
      </c>
      <c r="AH1130" s="22"/>
      <c r="AI1130" s="22"/>
      <c r="AJ1130" s="60"/>
      <c r="AK1130" s="61" t="s">
        <v>4852</v>
      </c>
      <c r="AL1130" s="36"/>
    </row>
    <row r="1131" spans="1:39" ht="14.45" customHeight="1" x14ac:dyDescent="0.25">
      <c r="A1131" s="17">
        <v>10</v>
      </c>
      <c r="B1131" s="18"/>
      <c r="C1131" s="132" t="s">
        <v>4928</v>
      </c>
      <c r="D1131" s="20" t="s">
        <v>4929</v>
      </c>
      <c r="E1131" s="52" t="s">
        <v>56</v>
      </c>
      <c r="F1131" s="58" t="s">
        <v>41</v>
      </c>
      <c r="G1131" s="23" t="s">
        <v>137</v>
      </c>
      <c r="H1131" s="22" t="s">
        <v>138</v>
      </c>
      <c r="I1131" s="22" t="s">
        <v>44</v>
      </c>
      <c r="J1131" s="22" t="s">
        <v>4904</v>
      </c>
      <c r="K1131" s="24">
        <v>45566</v>
      </c>
      <c r="L1131" s="25" t="s">
        <v>4930</v>
      </c>
      <c r="M1131" s="26">
        <v>42412</v>
      </c>
      <c r="N1131" s="26">
        <v>44509</v>
      </c>
      <c r="O1131" s="27" t="s">
        <v>4931</v>
      </c>
      <c r="P1131" s="28" t="s">
        <v>4932</v>
      </c>
      <c r="Q1131" s="29">
        <v>43040</v>
      </c>
      <c r="R1131" s="26">
        <v>44531</v>
      </c>
      <c r="S1131" s="23" t="s">
        <v>4920</v>
      </c>
      <c r="T1131" s="23"/>
      <c r="U1131" s="23"/>
      <c r="V1131" s="23"/>
      <c r="W1131" s="30">
        <v>40148</v>
      </c>
      <c r="X1131" s="30">
        <v>40238</v>
      </c>
      <c r="Y1131" s="30">
        <v>40238</v>
      </c>
      <c r="Z1131" s="55" t="str">
        <f t="shared" ca="1" si="84"/>
        <v>15 Tahun 10 Bulan 30 Hari</v>
      </c>
      <c r="AA1131" s="55" t="s">
        <v>260</v>
      </c>
      <c r="AB1131" s="56">
        <v>31017</v>
      </c>
      <c r="AC1131" s="32" t="s">
        <v>4933</v>
      </c>
      <c r="AD1131" s="57" t="str">
        <f t="shared" ca="1" si="83"/>
        <v xml:space="preserve">40 Tahun 10 Bulan </v>
      </c>
      <c r="AE1131" s="33" t="s">
        <v>4909</v>
      </c>
      <c r="AF1131" s="71"/>
      <c r="AG1131" s="58" t="s">
        <v>4901</v>
      </c>
      <c r="AH1131" s="22"/>
      <c r="AI1131" s="22"/>
      <c r="AJ1131" s="22"/>
      <c r="AK1131" s="33" t="s">
        <v>200</v>
      </c>
      <c r="AL1131" s="36"/>
    </row>
    <row r="1132" spans="1:39" ht="14.45" customHeight="1" x14ac:dyDescent="0.25">
      <c r="A1132" s="17">
        <v>1</v>
      </c>
      <c r="B1132" s="76"/>
      <c r="C1132" s="132" t="s">
        <v>4934</v>
      </c>
      <c r="D1132" s="20" t="s">
        <v>4935</v>
      </c>
      <c r="E1132" s="58" t="s">
        <v>56</v>
      </c>
      <c r="F1132" s="58" t="s">
        <v>41</v>
      </c>
      <c r="G1132" s="23" t="s">
        <v>102</v>
      </c>
      <c r="H1132" s="22" t="s">
        <v>103</v>
      </c>
      <c r="I1132" s="22" t="s">
        <v>44</v>
      </c>
      <c r="J1132" s="22" t="s">
        <v>4898</v>
      </c>
      <c r="K1132" s="24">
        <v>45566</v>
      </c>
      <c r="L1132" s="25"/>
      <c r="M1132" s="26"/>
      <c r="N1132" s="26"/>
      <c r="O1132" s="27"/>
      <c r="P1132" s="53" t="s">
        <v>4936</v>
      </c>
      <c r="Q1132" s="207">
        <v>43040</v>
      </c>
      <c r="R1132" s="26">
        <v>43800</v>
      </c>
      <c r="S1132" s="33" t="s">
        <v>4920</v>
      </c>
      <c r="T1132" s="33"/>
      <c r="U1132" s="33"/>
      <c r="V1132" s="33"/>
      <c r="W1132" s="30">
        <v>40179</v>
      </c>
      <c r="X1132" s="30">
        <v>42675</v>
      </c>
      <c r="Y1132" s="30">
        <v>42786</v>
      </c>
      <c r="Z1132" s="55" t="str">
        <f ca="1">DATEDIF(X1132,TODAY(),"y")&amp;" Tahun "&amp;DATEDIF(X1132,TODAY(),"ym")&amp;" Bulan "&amp;DATEDIF(X1132,TODAY(),"md")&amp;" Hari"</f>
        <v>8 Tahun 11 Bulan 30 Hari</v>
      </c>
      <c r="AA1132" s="55" t="s">
        <v>1540</v>
      </c>
      <c r="AB1132" s="56">
        <v>31048</v>
      </c>
      <c r="AC1132" s="31" t="s">
        <v>4937</v>
      </c>
      <c r="AD1132" s="57" t="str">
        <f t="shared" ca="1" si="83"/>
        <v xml:space="preserve">40 Tahun 9 Bulan </v>
      </c>
      <c r="AE1132" s="33" t="s">
        <v>4909</v>
      </c>
      <c r="AF1132" s="71"/>
      <c r="AG1132" s="58" t="s">
        <v>4901</v>
      </c>
      <c r="AH1132" s="22"/>
      <c r="AI1132" s="22"/>
      <c r="AJ1132" s="22"/>
      <c r="AK1132" s="33"/>
      <c r="AL1132" s="36"/>
    </row>
    <row r="1133" spans="1:39" ht="14.45" customHeight="1" x14ac:dyDescent="0.25">
      <c r="A1133" s="17">
        <v>2</v>
      </c>
      <c r="B1133" s="18"/>
      <c r="C1133" s="132" t="s">
        <v>4939</v>
      </c>
      <c r="D1133" s="20" t="s">
        <v>4940</v>
      </c>
      <c r="E1133" s="21" t="s">
        <v>56</v>
      </c>
      <c r="F1133" s="22" t="s">
        <v>41</v>
      </c>
      <c r="G1133" s="23" t="s">
        <v>102</v>
      </c>
      <c r="H1133" s="22" t="s">
        <v>103</v>
      </c>
      <c r="I1133" s="22" t="s">
        <v>44</v>
      </c>
      <c r="J1133" s="22" t="s">
        <v>4898</v>
      </c>
      <c r="K1133" s="24">
        <v>45931</v>
      </c>
      <c r="L1133" s="25" t="s">
        <v>4941</v>
      </c>
      <c r="M1133" s="26">
        <v>43025</v>
      </c>
      <c r="N1133" s="26">
        <v>44747</v>
      </c>
      <c r="O1133" s="27" t="s">
        <v>4906</v>
      </c>
      <c r="P1133" s="28" t="s">
        <v>4942</v>
      </c>
      <c r="Q1133" s="29">
        <v>43298</v>
      </c>
      <c r="R1133" s="208">
        <v>44747</v>
      </c>
      <c r="S1133" s="23" t="s">
        <v>4920</v>
      </c>
      <c r="T1133" s="23"/>
      <c r="U1133" s="23"/>
      <c r="V1133" s="23"/>
      <c r="W1133" s="30">
        <v>40544</v>
      </c>
      <c r="X1133" s="30">
        <v>42795</v>
      </c>
      <c r="Y1133" s="30">
        <v>42856</v>
      </c>
      <c r="Z1133" s="31" t="str">
        <f ca="1">DATEDIF(W1133,TODAY(),"y")&amp;" Tahun "&amp;DATEDIF(W1133,TODAY(),"ym")&amp;" Bulan "&amp;DATEDIF(W1133,TODAY(),"md")&amp;" Hari"</f>
        <v>14 Tahun 9 Bulan 30 Hari</v>
      </c>
      <c r="AA1133" s="31" t="s">
        <v>76</v>
      </c>
      <c r="AB1133" s="32">
        <v>31963</v>
      </c>
      <c r="AC1133" s="32" t="s">
        <v>4943</v>
      </c>
      <c r="AD1133" s="22" t="str">
        <f t="shared" ca="1" si="83"/>
        <v xml:space="preserve">38 Tahun 3 Bulan </v>
      </c>
      <c r="AE1133" s="33" t="s">
        <v>4909</v>
      </c>
      <c r="AF1133" s="71"/>
      <c r="AG1133" s="58" t="s">
        <v>4901</v>
      </c>
      <c r="AH1133" s="22"/>
      <c r="AI1133" s="22"/>
      <c r="AJ1133" s="22"/>
      <c r="AK1133" s="33"/>
      <c r="AL1133" s="206" t="s">
        <v>4868</v>
      </c>
    </row>
    <row r="1134" spans="1:39" ht="14.45" customHeight="1" x14ac:dyDescent="0.25">
      <c r="A1134" s="17">
        <v>3</v>
      </c>
      <c r="B1134" s="18"/>
      <c r="C1134" s="132" t="s">
        <v>4944</v>
      </c>
      <c r="D1134" s="20" t="s">
        <v>4945</v>
      </c>
      <c r="E1134" s="52" t="s">
        <v>56</v>
      </c>
      <c r="F1134" s="58" t="s">
        <v>41</v>
      </c>
      <c r="G1134" s="23" t="s">
        <v>102</v>
      </c>
      <c r="H1134" s="22" t="s">
        <v>103</v>
      </c>
      <c r="I1134" s="22" t="s">
        <v>44</v>
      </c>
      <c r="J1134" s="22" t="s">
        <v>4904</v>
      </c>
      <c r="K1134" s="24">
        <v>44652</v>
      </c>
      <c r="L1134" s="25" t="s">
        <v>4946</v>
      </c>
      <c r="M1134" s="26">
        <v>42838</v>
      </c>
      <c r="N1134" s="26">
        <v>44595</v>
      </c>
      <c r="O1134" s="27" t="s">
        <v>4947</v>
      </c>
      <c r="P1134" s="53" t="s">
        <v>4948</v>
      </c>
      <c r="Q1134" s="26">
        <v>43040</v>
      </c>
      <c r="R1134" s="26">
        <v>44595</v>
      </c>
      <c r="S1134" s="23" t="s">
        <v>4920</v>
      </c>
      <c r="T1134" s="23"/>
      <c r="U1134" s="23"/>
      <c r="V1134" s="23"/>
      <c r="W1134" s="30">
        <v>40513</v>
      </c>
      <c r="X1134" s="30">
        <v>40638</v>
      </c>
      <c r="Y1134" s="30">
        <v>40638</v>
      </c>
      <c r="Z1134" s="55" t="str">
        <f ca="1">DATEDIF(W1134,TODAY(),"y")&amp;" Tahun "&amp;DATEDIF(W1134,TODAY(),"ym")&amp;" Bulan "&amp;DATEDIF(W1134,TODAY(),"md")&amp;" Hari"</f>
        <v>14 Tahun 10 Bulan 30 Hari</v>
      </c>
      <c r="AA1134" s="55" t="s">
        <v>171</v>
      </c>
      <c r="AB1134" s="56">
        <v>32542</v>
      </c>
      <c r="AC1134" s="31" t="s">
        <v>4949</v>
      </c>
      <c r="AD1134" s="57" t="str">
        <f t="shared" ca="1" si="83"/>
        <v xml:space="preserve">36 Tahun 8 Bulan </v>
      </c>
      <c r="AE1134" s="33" t="s">
        <v>4909</v>
      </c>
      <c r="AF1134" s="71"/>
      <c r="AG1134" s="58" t="s">
        <v>4901</v>
      </c>
      <c r="AH1134" s="22"/>
      <c r="AI1134" s="22"/>
      <c r="AJ1134" s="22"/>
      <c r="AK1134" s="33"/>
      <c r="AL1134" s="36"/>
    </row>
    <row r="1135" spans="1:39" ht="14.45" customHeight="1" x14ac:dyDescent="0.25">
      <c r="A1135" s="17">
        <v>4</v>
      </c>
      <c r="B1135" s="76"/>
      <c r="C1135" s="132" t="s">
        <v>6081</v>
      </c>
      <c r="D1135" s="20" t="s">
        <v>4950</v>
      </c>
      <c r="E1135" s="58" t="s">
        <v>56</v>
      </c>
      <c r="F1135" s="22" t="s">
        <v>41</v>
      </c>
      <c r="G1135" s="89" t="s">
        <v>227</v>
      </c>
      <c r="H1135" s="22" t="s">
        <v>228</v>
      </c>
      <c r="I1135" s="22" t="s">
        <v>44</v>
      </c>
      <c r="J1135" s="22" t="s">
        <v>4898</v>
      </c>
      <c r="K1135" s="24">
        <v>45200</v>
      </c>
      <c r="L1135" s="25" t="s">
        <v>4951</v>
      </c>
      <c r="M1135" s="26">
        <v>42838</v>
      </c>
      <c r="N1135" s="26">
        <v>44619</v>
      </c>
      <c r="O1135" s="27" t="s">
        <v>4947</v>
      </c>
      <c r="P1135" s="53" t="s">
        <v>4952</v>
      </c>
      <c r="Q1135" s="26">
        <v>43040</v>
      </c>
      <c r="R1135" s="26">
        <v>44619</v>
      </c>
      <c r="S1135" s="23" t="s">
        <v>4899</v>
      </c>
      <c r="T1135" s="23"/>
      <c r="U1135" s="23"/>
      <c r="V1135" s="23"/>
      <c r="W1135" s="30">
        <v>41671</v>
      </c>
      <c r="X1135" s="30">
        <v>41673</v>
      </c>
      <c r="Y1135" s="30">
        <v>41673</v>
      </c>
      <c r="Z1135" s="31" t="str">
        <f ca="1">DATEDIF(X1135,TODAY(),"y")&amp;" Tahun "&amp;DATEDIF(X1135,TODAY(),"ym")&amp;" Bulan "&amp;DATEDIF(X1135,TODAY(),"md")&amp;" Hari"</f>
        <v>11 Tahun 8 Bulan 28 Hari</v>
      </c>
      <c r="AA1135" s="31" t="s">
        <v>50</v>
      </c>
      <c r="AB1135" s="32">
        <v>32566</v>
      </c>
      <c r="AC1135" s="32" t="s">
        <v>4953</v>
      </c>
      <c r="AD1135" s="57" t="str">
        <f t="shared" ca="1" si="83"/>
        <v xml:space="preserve">36 Tahun 8 Bulan </v>
      </c>
      <c r="AE1135" s="33" t="s">
        <v>4909</v>
      </c>
      <c r="AF1135" s="71"/>
      <c r="AG1135" s="58" t="s">
        <v>4901</v>
      </c>
      <c r="AH1135" s="22"/>
      <c r="AI1135" s="22"/>
      <c r="AJ1135" s="22"/>
      <c r="AK1135" s="33"/>
      <c r="AL1135" s="36"/>
    </row>
    <row r="1136" spans="1:39" s="16" customFormat="1" ht="14.45" customHeight="1" x14ac:dyDescent="0.25">
      <c r="A1136" s="17">
        <v>5</v>
      </c>
      <c r="B1136" s="18"/>
      <c r="C1136" s="132" t="s">
        <v>4954</v>
      </c>
      <c r="D1136" s="20" t="s">
        <v>4955</v>
      </c>
      <c r="E1136" s="21" t="s">
        <v>56</v>
      </c>
      <c r="F1136" s="22" t="s">
        <v>41</v>
      </c>
      <c r="G1136" s="23" t="s">
        <v>102</v>
      </c>
      <c r="H1136" s="22" t="s">
        <v>103</v>
      </c>
      <c r="I1136" s="22" t="s">
        <v>44</v>
      </c>
      <c r="J1136" s="22" t="s">
        <v>4904</v>
      </c>
      <c r="K1136" s="24">
        <v>45323</v>
      </c>
      <c r="L1136" s="53" t="s">
        <v>4956</v>
      </c>
      <c r="M1136" s="26">
        <v>43025</v>
      </c>
      <c r="N1136" s="26">
        <v>44661</v>
      </c>
      <c r="O1136" s="40" t="s">
        <v>4906</v>
      </c>
      <c r="P1136" s="28" t="s">
        <v>4957</v>
      </c>
      <c r="Q1136" s="29">
        <v>42016</v>
      </c>
      <c r="R1136" s="26">
        <v>42835</v>
      </c>
      <c r="S1136" s="23" t="s">
        <v>4920</v>
      </c>
      <c r="T1136" s="23"/>
      <c r="U1136" s="23"/>
      <c r="V1136" s="23"/>
      <c r="W1136" s="30">
        <v>40513</v>
      </c>
      <c r="X1136" s="30">
        <v>40638</v>
      </c>
      <c r="Y1136" s="30">
        <v>40638</v>
      </c>
      <c r="Z1136" s="31" t="str">
        <f ca="1">DATEDIF(W1136,TODAY(),"y")&amp;" Tahun "&amp;DATEDIF(W1136,TODAY(),"ym")&amp;" Bulan "&amp;DATEDIF(W1136,TODAY(),"md")&amp;" Hari"</f>
        <v>14 Tahun 10 Bulan 30 Hari</v>
      </c>
      <c r="AA1136" s="31" t="s">
        <v>76</v>
      </c>
      <c r="AB1136" s="32">
        <v>32608</v>
      </c>
      <c r="AC1136" s="31" t="s">
        <v>4958</v>
      </c>
      <c r="AD1136" s="22" t="str">
        <f t="shared" ca="1" si="83"/>
        <v xml:space="preserve">36 Tahun 6 Bulan </v>
      </c>
      <c r="AE1136" s="33" t="s">
        <v>4909</v>
      </c>
      <c r="AF1136" s="71"/>
      <c r="AG1136" s="58" t="s">
        <v>4901</v>
      </c>
      <c r="AH1136" s="22"/>
      <c r="AI1136" s="22"/>
      <c r="AJ1136" s="22"/>
      <c r="AK1136" s="33"/>
      <c r="AL1136" s="36"/>
      <c r="AM1136" s="13"/>
    </row>
    <row r="1137" spans="1:39" ht="14.45" customHeight="1" x14ac:dyDescent="0.25">
      <c r="A1137" s="17">
        <v>1</v>
      </c>
      <c r="B1137" s="18"/>
      <c r="C1137" s="132" t="s">
        <v>4959</v>
      </c>
      <c r="D1137" s="20" t="s">
        <v>4960</v>
      </c>
      <c r="E1137" s="52" t="s">
        <v>56</v>
      </c>
      <c r="F1137" s="22" t="s">
        <v>41</v>
      </c>
      <c r="G1137" s="23" t="s">
        <v>102</v>
      </c>
      <c r="H1137" s="22" t="s">
        <v>103</v>
      </c>
      <c r="I1137" s="22" t="s">
        <v>44</v>
      </c>
      <c r="J1137" s="22" t="s">
        <v>4904</v>
      </c>
      <c r="K1137" s="24">
        <v>45323</v>
      </c>
      <c r="L1137" s="25" t="s">
        <v>4961</v>
      </c>
      <c r="M1137" s="26">
        <v>42935</v>
      </c>
      <c r="N1137" s="26">
        <v>44694</v>
      </c>
      <c r="O1137" s="27" t="s">
        <v>4947</v>
      </c>
      <c r="P1137" s="28" t="s">
        <v>4962</v>
      </c>
      <c r="Q1137" s="29">
        <v>43040</v>
      </c>
      <c r="R1137" s="26">
        <v>44694</v>
      </c>
      <c r="S1137" s="23" t="s">
        <v>4920</v>
      </c>
      <c r="T1137" s="23"/>
      <c r="U1137" s="23"/>
      <c r="V1137" s="23"/>
      <c r="W1137" s="30">
        <v>40513</v>
      </c>
      <c r="X1137" s="30">
        <v>40638</v>
      </c>
      <c r="Y1137" s="30">
        <v>40638</v>
      </c>
      <c r="Z1137" s="31" t="str">
        <f ca="1">DATEDIF(W1137,TODAY(),"y")&amp;" Tahun "&amp;DATEDIF(W1137,TODAY(),"ym")&amp;" Bulan "&amp;DATEDIF(W1137,TODAY(),"md")&amp;" Hari"</f>
        <v>14 Tahun 10 Bulan 30 Hari</v>
      </c>
      <c r="AA1137" s="31" t="s">
        <v>171</v>
      </c>
      <c r="AB1137" s="32">
        <v>32641</v>
      </c>
      <c r="AC1137" s="31" t="s">
        <v>4963</v>
      </c>
      <c r="AD1137" s="57" t="str">
        <f t="shared" ca="1" si="83"/>
        <v xml:space="preserve">36 Tahun 5 Bulan </v>
      </c>
      <c r="AE1137" s="33" t="s">
        <v>4909</v>
      </c>
      <c r="AF1137" s="71"/>
      <c r="AG1137" s="58" t="s">
        <v>4901</v>
      </c>
      <c r="AH1137" s="22"/>
      <c r="AI1137" s="22"/>
      <c r="AJ1137" s="22"/>
      <c r="AK1137" s="33"/>
      <c r="AL1137" s="36"/>
    </row>
    <row r="1138" spans="1:39" ht="14.45" customHeight="1" x14ac:dyDescent="0.25">
      <c r="A1138" s="17">
        <v>2</v>
      </c>
      <c r="B1138" s="18"/>
      <c r="C1138" s="132" t="s">
        <v>4964</v>
      </c>
      <c r="D1138" s="20" t="s">
        <v>4965</v>
      </c>
      <c r="E1138" s="22" t="s">
        <v>56</v>
      </c>
      <c r="F1138" s="22" t="s">
        <v>41</v>
      </c>
      <c r="G1138" s="23" t="s">
        <v>227</v>
      </c>
      <c r="H1138" s="22" t="s">
        <v>228</v>
      </c>
      <c r="I1138" s="22" t="s">
        <v>44</v>
      </c>
      <c r="J1138" s="22" t="s">
        <v>4898</v>
      </c>
      <c r="K1138" s="24">
        <v>45200</v>
      </c>
      <c r="L1138" s="25" t="s">
        <v>4966</v>
      </c>
      <c r="M1138" s="26">
        <v>41677</v>
      </c>
      <c r="N1138" s="26">
        <v>43612</v>
      </c>
      <c r="O1138" s="27" t="s">
        <v>4906</v>
      </c>
      <c r="P1138" s="28" t="s">
        <v>4967</v>
      </c>
      <c r="Q1138" s="29">
        <v>42016</v>
      </c>
      <c r="R1138" s="26">
        <v>43612</v>
      </c>
      <c r="S1138" s="23" t="s">
        <v>4920</v>
      </c>
      <c r="T1138" s="23"/>
      <c r="U1138" s="23"/>
      <c r="V1138" s="23"/>
      <c r="W1138" s="30">
        <v>41671</v>
      </c>
      <c r="X1138" s="30">
        <v>41659</v>
      </c>
      <c r="Y1138" s="30">
        <v>41659</v>
      </c>
      <c r="Z1138" s="31" t="str">
        <f ca="1">DATEDIF(X1138,TODAY(),"y")&amp;" Tahun "&amp;DATEDIF(X1138,TODAY(),"ym")&amp;" Bulan "&amp;DATEDIF(X1138,TODAY(),"md")&amp;" Hari"</f>
        <v>11 Tahun 9 Bulan 11 Hari</v>
      </c>
      <c r="AA1138" s="31" t="s">
        <v>846</v>
      </c>
      <c r="AB1138" s="32">
        <v>33751</v>
      </c>
      <c r="AC1138" s="32" t="s">
        <v>4968</v>
      </c>
      <c r="AD1138" s="22" t="str">
        <f t="shared" ca="1" si="83"/>
        <v xml:space="preserve">33 Tahun 5 Bulan </v>
      </c>
      <c r="AE1138" s="33" t="s">
        <v>4909</v>
      </c>
      <c r="AF1138" s="34"/>
      <c r="AG1138" s="58" t="s">
        <v>4901</v>
      </c>
      <c r="AH1138" s="22"/>
      <c r="AI1138" s="22"/>
      <c r="AJ1138" s="22"/>
      <c r="AK1138" s="33"/>
      <c r="AL1138" s="36"/>
    </row>
    <row r="1139" spans="1:39" ht="14.45" customHeight="1" x14ac:dyDescent="0.25">
      <c r="A1139" s="17">
        <v>3</v>
      </c>
      <c r="B1139" s="132"/>
      <c r="C1139" s="132" t="s">
        <v>4969</v>
      </c>
      <c r="D1139" s="20" t="s">
        <v>4970</v>
      </c>
      <c r="E1139" s="22" t="s">
        <v>56</v>
      </c>
      <c r="F1139" s="22" t="s">
        <v>41</v>
      </c>
      <c r="G1139" s="23" t="s">
        <v>193</v>
      </c>
      <c r="H1139" s="22" t="s">
        <v>194</v>
      </c>
      <c r="I1139" s="22" t="s">
        <v>44</v>
      </c>
      <c r="J1139" s="22" t="s">
        <v>4898</v>
      </c>
      <c r="K1139" s="24">
        <v>45870</v>
      </c>
      <c r="L1139" s="25" t="s">
        <v>4971</v>
      </c>
      <c r="M1139" s="26">
        <v>42324</v>
      </c>
      <c r="N1139" s="26">
        <v>43882</v>
      </c>
      <c r="O1139" s="27" t="s">
        <v>4972</v>
      </c>
      <c r="P1139" s="28" t="s">
        <v>4973</v>
      </c>
      <c r="Q1139" s="29">
        <v>42562</v>
      </c>
      <c r="R1139" s="26">
        <v>43882</v>
      </c>
      <c r="S1139" s="33" t="s">
        <v>4920</v>
      </c>
      <c r="T1139" s="33">
        <v>2014</v>
      </c>
      <c r="U1139" s="33"/>
      <c r="V1139" s="33"/>
      <c r="W1139" s="30">
        <v>43497</v>
      </c>
      <c r="X1139" s="30">
        <v>42370</v>
      </c>
      <c r="Y1139" s="30">
        <v>42401</v>
      </c>
      <c r="Z1139" s="31" t="str">
        <f ca="1">DATEDIF(X1139,TODAY(),"y")&amp;" Tahun "&amp;DATEDIF(X1139,TODAY(),"ym")&amp;" Bulan "&amp;DATEDIF(X1139,TODAY(),"md")&amp;" Hari"</f>
        <v>9 Tahun 9 Bulan 30 Hari</v>
      </c>
      <c r="AA1139" s="31" t="s">
        <v>846</v>
      </c>
      <c r="AB1139" s="32">
        <v>34021</v>
      </c>
      <c r="AC1139" s="31" t="s">
        <v>4974</v>
      </c>
      <c r="AD1139" s="22" t="str">
        <f t="shared" ca="1" si="83"/>
        <v xml:space="preserve">32 Tahun 8 Bulan </v>
      </c>
      <c r="AE1139" s="33" t="s">
        <v>4909</v>
      </c>
      <c r="AF1139" s="34"/>
      <c r="AG1139" s="58" t="s">
        <v>4901</v>
      </c>
      <c r="AH1139" s="58"/>
      <c r="AI1139" s="58"/>
      <c r="AJ1139" s="58"/>
      <c r="AK1139" s="33"/>
      <c r="AL1139" s="36"/>
    </row>
    <row r="1140" spans="1:39" ht="14.45" customHeight="1" x14ac:dyDescent="0.25">
      <c r="A1140" s="17">
        <v>4</v>
      </c>
      <c r="B1140" s="18"/>
      <c r="C1140" s="132" t="s">
        <v>4975</v>
      </c>
      <c r="D1140" s="62" t="s">
        <v>4976</v>
      </c>
      <c r="E1140" s="21" t="s">
        <v>40</v>
      </c>
      <c r="F1140" s="22" t="s">
        <v>41</v>
      </c>
      <c r="G1140" s="23" t="s">
        <v>193</v>
      </c>
      <c r="H1140" s="22" t="s">
        <v>194</v>
      </c>
      <c r="I1140" s="22" t="s">
        <v>44</v>
      </c>
      <c r="J1140" s="22" t="s">
        <v>4898</v>
      </c>
      <c r="K1140" s="24">
        <v>45200</v>
      </c>
      <c r="L1140" s="25" t="s">
        <v>4977</v>
      </c>
      <c r="M1140" s="26">
        <v>42516</v>
      </c>
      <c r="N1140" s="135">
        <v>44323</v>
      </c>
      <c r="O1140" s="27" t="s">
        <v>4906</v>
      </c>
      <c r="P1140" s="53" t="s">
        <v>4978</v>
      </c>
      <c r="Q1140" s="26">
        <v>43165</v>
      </c>
      <c r="R1140" s="26">
        <v>44323</v>
      </c>
      <c r="S1140" s="23" t="s">
        <v>4920</v>
      </c>
      <c r="T1140" s="23"/>
      <c r="U1140" s="23"/>
      <c r="V1140" s="23"/>
      <c r="W1140" s="30">
        <v>43101</v>
      </c>
      <c r="X1140" s="30">
        <v>43101</v>
      </c>
      <c r="Y1140" s="30">
        <v>43101</v>
      </c>
      <c r="Z1140" s="31" t="str">
        <f ca="1">DATEDIF(W1140,TODAY(),"y")&amp;" Tahun "&amp;DATEDIF(W1140,TODAY(),"ym")&amp;" Bulan "&amp;DATEDIF(W1140,TODAY(),"md")&amp;" Hari"</f>
        <v>7 Tahun 9 Bulan 30 Hari</v>
      </c>
      <c r="AA1140" s="31" t="s">
        <v>128</v>
      </c>
      <c r="AB1140" s="32">
        <v>34461</v>
      </c>
      <c r="AC1140" s="32" t="s">
        <v>4979</v>
      </c>
      <c r="AD1140" s="22" t="str">
        <f t="shared" ca="1" si="83"/>
        <v xml:space="preserve">31 Tahun 5 Bulan </v>
      </c>
      <c r="AE1140" s="33" t="s">
        <v>4909</v>
      </c>
      <c r="AF1140" s="34"/>
      <c r="AG1140" s="58" t="s">
        <v>4901</v>
      </c>
      <c r="AH1140" s="58"/>
      <c r="AI1140" s="58"/>
      <c r="AJ1140" s="58"/>
      <c r="AK1140" s="33"/>
      <c r="AL1140" s="36"/>
    </row>
    <row r="1141" spans="1:39" ht="14.45" customHeight="1" x14ac:dyDescent="0.25">
      <c r="A1141" s="17">
        <v>5</v>
      </c>
      <c r="B1141" s="18">
        <v>1357</v>
      </c>
      <c r="C1141" s="132" t="s">
        <v>4980</v>
      </c>
      <c r="D1141" s="20" t="s">
        <v>4981</v>
      </c>
      <c r="E1141" s="22" t="s">
        <v>40</v>
      </c>
      <c r="F1141" s="22" t="s">
        <v>41</v>
      </c>
      <c r="G1141" s="23" t="s">
        <v>193</v>
      </c>
      <c r="H1141" s="22" t="s">
        <v>194</v>
      </c>
      <c r="I1141" s="22" t="s">
        <v>44</v>
      </c>
      <c r="J1141" s="22" t="s">
        <v>4898</v>
      </c>
      <c r="K1141" s="24">
        <v>45566</v>
      </c>
      <c r="L1141" s="22"/>
      <c r="M1141" s="22"/>
      <c r="N1141" s="22"/>
      <c r="O1141" s="22"/>
      <c r="P1141" s="22"/>
      <c r="Q1141" s="22"/>
      <c r="R1141" s="22"/>
      <c r="S1141" s="23" t="s">
        <v>4920</v>
      </c>
      <c r="T1141" s="23">
        <v>2017</v>
      </c>
      <c r="U1141" s="23"/>
      <c r="V1141" s="23"/>
      <c r="W1141" s="30">
        <v>43497</v>
      </c>
      <c r="X1141" s="30">
        <v>43497</v>
      </c>
      <c r="Y1141" s="30">
        <v>43497</v>
      </c>
      <c r="Z1141" s="31" t="str">
        <f t="shared" ref="Z1141:Z1159" ca="1" si="85">DATEDIF(X1141,TODAY(),"y")&amp;" Tahun "&amp;DATEDIF(X1141,TODAY(),"ym")&amp;" Bulan "&amp;DATEDIF(X1141,TODAY(),"md")&amp;" Hari"</f>
        <v>6 Tahun 8 Bulan 30 Hari</v>
      </c>
      <c r="AA1141" s="31" t="s">
        <v>1540</v>
      </c>
      <c r="AB1141" s="32">
        <v>35141</v>
      </c>
      <c r="AC1141" s="31" t="s">
        <v>4982</v>
      </c>
      <c r="AD1141" s="22" t="str">
        <f t="shared" ca="1" si="83"/>
        <v xml:space="preserve">29 Tahun 7 Bulan </v>
      </c>
      <c r="AE1141" s="33" t="s">
        <v>4909</v>
      </c>
      <c r="AF1141" s="34"/>
      <c r="AG1141" s="58" t="s">
        <v>4901</v>
      </c>
      <c r="AH1141" s="22"/>
      <c r="AI1141" s="22"/>
      <c r="AJ1141" s="22"/>
      <c r="AK1141" s="33"/>
      <c r="AL1141" s="36"/>
    </row>
    <row r="1142" spans="1:39" ht="14.45" customHeight="1" x14ac:dyDescent="0.25">
      <c r="A1142" s="17">
        <v>7</v>
      </c>
      <c r="B1142" s="18"/>
      <c r="C1142" s="132" t="s">
        <v>4983</v>
      </c>
      <c r="D1142" s="20" t="s">
        <v>4984</v>
      </c>
      <c r="E1142" s="22" t="s">
        <v>56</v>
      </c>
      <c r="F1142" s="22" t="s">
        <v>41</v>
      </c>
      <c r="G1142" s="89" t="s">
        <v>193</v>
      </c>
      <c r="H1142" s="22" t="s">
        <v>194</v>
      </c>
      <c r="I1142" s="22" t="s">
        <v>44</v>
      </c>
      <c r="J1142" s="22" t="s">
        <v>4985</v>
      </c>
      <c r="K1142" s="24">
        <v>44621</v>
      </c>
      <c r="L1142" s="22"/>
      <c r="M1142" s="22"/>
      <c r="N1142" s="22"/>
      <c r="O1142" s="22"/>
      <c r="P1142" s="22"/>
      <c r="Q1142" s="22"/>
      <c r="R1142" s="22"/>
      <c r="S1142" s="23" t="s">
        <v>4899</v>
      </c>
      <c r="T1142" s="23">
        <v>2018</v>
      </c>
      <c r="U1142" s="23"/>
      <c r="V1142" s="23"/>
      <c r="W1142" s="30">
        <v>44621</v>
      </c>
      <c r="X1142" s="30">
        <v>44621</v>
      </c>
      <c r="Y1142" s="30">
        <v>44621</v>
      </c>
      <c r="Z1142" s="31" t="str">
        <f t="shared" ca="1" si="85"/>
        <v>3 Tahun 7 Bulan 30 Hari</v>
      </c>
      <c r="AA1142" s="31" t="s">
        <v>4986</v>
      </c>
      <c r="AB1142" s="32">
        <v>35281</v>
      </c>
      <c r="AC1142" s="31" t="s">
        <v>4987</v>
      </c>
      <c r="AD1142" s="22" t="str">
        <f t="shared" ca="1" si="83"/>
        <v xml:space="preserve">29 Tahun 2 Bulan </v>
      </c>
      <c r="AE1142" s="33" t="s">
        <v>4909</v>
      </c>
      <c r="AF1142" s="34"/>
      <c r="AG1142" s="58" t="s">
        <v>4901</v>
      </c>
      <c r="AH1142" s="22"/>
      <c r="AI1142" s="22"/>
      <c r="AJ1142" s="22"/>
      <c r="AK1142" s="33"/>
      <c r="AL1142" s="36"/>
    </row>
    <row r="1143" spans="1:39" ht="14.45" customHeight="1" x14ac:dyDescent="0.25">
      <c r="A1143" s="17">
        <v>8</v>
      </c>
      <c r="B1143" s="18"/>
      <c r="C1143" s="132" t="s">
        <v>4988</v>
      </c>
      <c r="D1143" s="20" t="s">
        <v>4989</v>
      </c>
      <c r="E1143" s="22" t="s">
        <v>56</v>
      </c>
      <c r="F1143" s="22" t="s">
        <v>41</v>
      </c>
      <c r="G1143" s="89" t="s">
        <v>193</v>
      </c>
      <c r="H1143" s="22" t="s">
        <v>194</v>
      </c>
      <c r="I1143" s="22" t="s">
        <v>44</v>
      </c>
      <c r="J1143" s="22" t="s">
        <v>4985</v>
      </c>
      <c r="K1143" s="24">
        <v>44621</v>
      </c>
      <c r="L1143" s="22"/>
      <c r="M1143" s="22"/>
      <c r="N1143" s="22"/>
      <c r="O1143" s="22"/>
      <c r="P1143" s="22"/>
      <c r="Q1143" s="22"/>
      <c r="R1143" s="22"/>
      <c r="S1143" s="23" t="s">
        <v>4899</v>
      </c>
      <c r="T1143" s="23">
        <v>2019</v>
      </c>
      <c r="U1143" s="23"/>
      <c r="V1143" s="23"/>
      <c r="W1143" s="30">
        <v>44621</v>
      </c>
      <c r="X1143" s="30">
        <v>44621</v>
      </c>
      <c r="Y1143" s="30">
        <v>44621</v>
      </c>
      <c r="Z1143" s="31" t="str">
        <f t="shared" ca="1" si="85"/>
        <v>3 Tahun 7 Bulan 30 Hari</v>
      </c>
      <c r="AA1143" s="31" t="s">
        <v>4990</v>
      </c>
      <c r="AB1143" s="32">
        <v>35215</v>
      </c>
      <c r="AC1143" s="31" t="s">
        <v>4991</v>
      </c>
      <c r="AD1143" s="22" t="str">
        <f t="shared" ca="1" si="83"/>
        <v xml:space="preserve">29 Tahun 5 Bulan </v>
      </c>
      <c r="AE1143" s="33" t="s">
        <v>4909</v>
      </c>
      <c r="AF1143" s="34"/>
      <c r="AG1143" s="58" t="s">
        <v>4901</v>
      </c>
      <c r="AH1143" s="22"/>
      <c r="AI1143" s="22"/>
      <c r="AJ1143" s="22"/>
      <c r="AK1143" s="33"/>
      <c r="AL1143" s="36"/>
    </row>
    <row r="1144" spans="1:39" ht="14.45" customHeight="1" x14ac:dyDescent="0.25">
      <c r="A1144" s="115">
        <v>1</v>
      </c>
      <c r="B1144" s="18"/>
      <c r="C1144" s="132" t="s">
        <v>4992</v>
      </c>
      <c r="D1144" s="20" t="s">
        <v>4993</v>
      </c>
      <c r="E1144" s="22" t="s">
        <v>40</v>
      </c>
      <c r="F1144" s="22" t="s">
        <v>41</v>
      </c>
      <c r="G1144" s="89" t="s">
        <v>193</v>
      </c>
      <c r="H1144" s="22" t="s">
        <v>194</v>
      </c>
      <c r="I1144" s="22" t="s">
        <v>44</v>
      </c>
      <c r="J1144" s="22" t="s">
        <v>4898</v>
      </c>
      <c r="K1144" s="24">
        <v>43922</v>
      </c>
      <c r="L1144" s="22"/>
      <c r="M1144" s="22"/>
      <c r="N1144" s="22"/>
      <c r="O1144" s="22"/>
      <c r="P1144" s="22"/>
      <c r="Q1144" s="22"/>
      <c r="R1144" s="22"/>
      <c r="S1144" s="23" t="s">
        <v>4920</v>
      </c>
      <c r="T1144" s="23">
        <v>2009</v>
      </c>
      <c r="U1144" s="23"/>
      <c r="V1144" s="23"/>
      <c r="W1144" s="30">
        <v>42064</v>
      </c>
      <c r="X1144" s="30">
        <v>44958</v>
      </c>
      <c r="Y1144" s="30">
        <v>44958</v>
      </c>
      <c r="Z1144" s="31" t="str">
        <f t="shared" ca="1" si="85"/>
        <v>2 Tahun 8 Bulan 30 Hari</v>
      </c>
      <c r="AA1144" s="31" t="s">
        <v>128</v>
      </c>
      <c r="AB1144" s="32">
        <v>31631</v>
      </c>
      <c r="AC1144" s="31" t="s">
        <v>4994</v>
      </c>
      <c r="AD1144" s="22" t="str">
        <f t="shared" ca="1" si="83"/>
        <v xml:space="preserve">39 Tahun 2 Bulan </v>
      </c>
      <c r="AE1144" s="33" t="s">
        <v>4909</v>
      </c>
      <c r="AF1144" s="34"/>
      <c r="AG1144" s="58" t="s">
        <v>4901</v>
      </c>
      <c r="AH1144" s="22"/>
      <c r="AI1144" s="22"/>
      <c r="AJ1144" s="22"/>
      <c r="AK1144" s="33"/>
      <c r="AL1144" s="22"/>
    </row>
    <row r="1145" spans="1:39" ht="14.45" customHeight="1" x14ac:dyDescent="0.25">
      <c r="A1145" s="115">
        <v>2</v>
      </c>
      <c r="B1145" s="18"/>
      <c r="C1145" s="132" t="s">
        <v>4996</v>
      </c>
      <c r="D1145" s="20" t="s">
        <v>4997</v>
      </c>
      <c r="E1145" s="21" t="s">
        <v>56</v>
      </c>
      <c r="F1145" s="22" t="s">
        <v>238</v>
      </c>
      <c r="G1145" s="23" t="s">
        <v>3872</v>
      </c>
      <c r="H1145" s="22" t="s">
        <v>1078</v>
      </c>
      <c r="I1145" s="22" t="s">
        <v>44</v>
      </c>
      <c r="J1145" s="22" t="s">
        <v>4998</v>
      </c>
      <c r="K1145" s="22"/>
      <c r="L1145" s="25" t="s">
        <v>4999</v>
      </c>
      <c r="M1145" s="26">
        <v>42412</v>
      </c>
      <c r="N1145" s="26">
        <v>44509</v>
      </c>
      <c r="O1145" s="27" t="s">
        <v>4906</v>
      </c>
      <c r="P1145" s="53" t="s">
        <v>5000</v>
      </c>
      <c r="Q1145" s="26">
        <v>43040</v>
      </c>
      <c r="R1145" s="26">
        <v>44509</v>
      </c>
      <c r="S1145" s="23" t="s">
        <v>4920</v>
      </c>
      <c r="T1145" s="23"/>
      <c r="U1145" s="23"/>
      <c r="V1145" s="23"/>
      <c r="W1145" s="77">
        <v>45047</v>
      </c>
      <c r="X1145" s="30">
        <v>39142</v>
      </c>
      <c r="Y1145" s="30">
        <v>39142</v>
      </c>
      <c r="Z1145" s="31" t="str">
        <f t="shared" ca="1" si="85"/>
        <v>18 Tahun 7 Bulan 30 Hari</v>
      </c>
      <c r="AA1145" s="31" t="s">
        <v>570</v>
      </c>
      <c r="AB1145" s="32">
        <v>30629</v>
      </c>
      <c r="AC1145" s="31" t="s">
        <v>5001</v>
      </c>
      <c r="AD1145" s="22" t="str">
        <f t="shared" ca="1" si="83"/>
        <v xml:space="preserve">41 Tahun 11 Bulan </v>
      </c>
      <c r="AE1145" s="33" t="s">
        <v>4909</v>
      </c>
      <c r="AF1145" s="34"/>
      <c r="AG1145" s="58" t="s">
        <v>4901</v>
      </c>
      <c r="AH1145" s="58"/>
      <c r="AI1145" s="58"/>
      <c r="AJ1145" s="58"/>
      <c r="AK1145" s="85"/>
      <c r="AL1145" s="22"/>
    </row>
    <row r="1146" spans="1:39" ht="14.45" customHeight="1" x14ac:dyDescent="0.25">
      <c r="A1146" s="115">
        <v>3</v>
      </c>
      <c r="B1146" s="18"/>
      <c r="C1146" s="132" t="s">
        <v>5002</v>
      </c>
      <c r="D1146" s="20" t="s">
        <v>5003</v>
      </c>
      <c r="E1146" s="21" t="s">
        <v>56</v>
      </c>
      <c r="F1146" s="22" t="s">
        <v>238</v>
      </c>
      <c r="G1146" s="23" t="s">
        <v>3872</v>
      </c>
      <c r="H1146" s="22" t="s">
        <v>1078</v>
      </c>
      <c r="I1146" s="22" t="s">
        <v>44</v>
      </c>
      <c r="J1146" s="22" t="s">
        <v>4998</v>
      </c>
      <c r="K1146" s="22"/>
      <c r="L1146" s="25"/>
      <c r="M1146" s="26"/>
      <c r="N1146" s="26"/>
      <c r="O1146" s="27"/>
      <c r="P1146" s="28"/>
      <c r="Q1146" s="29"/>
      <c r="R1146" s="26"/>
      <c r="S1146" s="23" t="s">
        <v>4920</v>
      </c>
      <c r="T1146" s="23"/>
      <c r="U1146" s="23"/>
      <c r="V1146" s="23"/>
      <c r="W1146" s="77">
        <v>45047</v>
      </c>
      <c r="X1146" s="30">
        <v>39424</v>
      </c>
      <c r="Y1146" s="30">
        <v>39424</v>
      </c>
      <c r="Z1146" s="31" t="str">
        <f t="shared" ca="1" si="85"/>
        <v>17 Tahun 10 Bulan 23 Hari</v>
      </c>
      <c r="AA1146" s="31" t="s">
        <v>76</v>
      </c>
      <c r="AB1146" s="32">
        <v>31277</v>
      </c>
      <c r="AC1146" s="31" t="s">
        <v>5004</v>
      </c>
      <c r="AD1146" s="22" t="str">
        <f t="shared" ca="1" si="83"/>
        <v xml:space="preserve">40 Tahun 2 Bulan </v>
      </c>
      <c r="AE1146" s="33" t="s">
        <v>4909</v>
      </c>
      <c r="AF1146" s="34"/>
      <c r="AG1146" s="58" t="s">
        <v>4901</v>
      </c>
      <c r="AH1146" s="58"/>
      <c r="AI1146" s="58"/>
      <c r="AJ1146" s="58"/>
      <c r="AK1146" s="33"/>
      <c r="AL1146" s="22"/>
    </row>
    <row r="1147" spans="1:39" ht="14.45" customHeight="1" x14ac:dyDescent="0.25">
      <c r="A1147" s="115">
        <v>4</v>
      </c>
      <c r="B1147" s="18"/>
      <c r="C1147" s="132" t="s">
        <v>5006</v>
      </c>
      <c r="D1147" s="20" t="s">
        <v>5007</v>
      </c>
      <c r="E1147" s="21" t="s">
        <v>56</v>
      </c>
      <c r="F1147" s="22" t="s">
        <v>238</v>
      </c>
      <c r="G1147" s="23" t="s">
        <v>3872</v>
      </c>
      <c r="H1147" s="22" t="s">
        <v>1078</v>
      </c>
      <c r="I1147" s="22" t="s">
        <v>44</v>
      </c>
      <c r="J1147" s="22" t="s">
        <v>4998</v>
      </c>
      <c r="K1147" s="22"/>
      <c r="L1147" s="25" t="s">
        <v>5008</v>
      </c>
      <c r="M1147" s="26">
        <v>42412</v>
      </c>
      <c r="N1147" s="26">
        <v>44531</v>
      </c>
      <c r="O1147" s="27" t="s">
        <v>4906</v>
      </c>
      <c r="P1147" s="28" t="s">
        <v>5009</v>
      </c>
      <c r="Q1147" s="29">
        <v>43040</v>
      </c>
      <c r="R1147" s="26">
        <v>44531</v>
      </c>
      <c r="S1147" s="23" t="s">
        <v>5010</v>
      </c>
      <c r="T1147" s="23"/>
      <c r="U1147" s="23"/>
      <c r="V1147" s="23"/>
      <c r="W1147" s="77">
        <v>45047</v>
      </c>
      <c r="X1147" s="30">
        <v>39424</v>
      </c>
      <c r="Y1147" s="30">
        <v>39424</v>
      </c>
      <c r="Z1147" s="31" t="str">
        <f t="shared" ca="1" si="85"/>
        <v>17 Tahun 10 Bulan 23 Hari</v>
      </c>
      <c r="AA1147" s="31" t="s">
        <v>76</v>
      </c>
      <c r="AB1147" s="32">
        <v>30651</v>
      </c>
      <c r="AC1147" s="31" t="s">
        <v>5011</v>
      </c>
      <c r="AD1147" s="22" t="str">
        <f t="shared" ca="1" si="83"/>
        <v xml:space="preserve">41 Tahun 10 Bulan </v>
      </c>
      <c r="AE1147" s="33" t="s">
        <v>4909</v>
      </c>
      <c r="AF1147" s="34"/>
      <c r="AG1147" s="58" t="s">
        <v>4901</v>
      </c>
      <c r="AH1147" s="58"/>
      <c r="AI1147" s="58"/>
      <c r="AJ1147" s="58"/>
      <c r="AK1147" s="33"/>
      <c r="AL1147" s="22"/>
      <c r="AM1147" s="14"/>
    </row>
    <row r="1148" spans="1:39" ht="14.45" customHeight="1" x14ac:dyDescent="0.25">
      <c r="A1148" s="115">
        <v>5</v>
      </c>
      <c r="B1148" s="18"/>
      <c r="C1148" s="132" t="s">
        <v>6082</v>
      </c>
      <c r="D1148" s="20" t="s">
        <v>6083</v>
      </c>
      <c r="E1148" s="21" t="s">
        <v>40</v>
      </c>
      <c r="F1148" s="22" t="s">
        <v>238</v>
      </c>
      <c r="G1148" s="23" t="s">
        <v>3872</v>
      </c>
      <c r="H1148" s="22" t="s">
        <v>1078</v>
      </c>
      <c r="I1148" s="22" t="s">
        <v>44</v>
      </c>
      <c r="J1148" s="22" t="s">
        <v>4998</v>
      </c>
      <c r="K1148" s="22"/>
      <c r="L1148" s="25" t="s">
        <v>5012</v>
      </c>
      <c r="M1148" s="26">
        <v>43082</v>
      </c>
      <c r="N1148" s="26">
        <v>44879</v>
      </c>
      <c r="O1148" s="27" t="s">
        <v>4906</v>
      </c>
      <c r="P1148" s="28" t="s">
        <v>5013</v>
      </c>
      <c r="Q1148" s="29">
        <v>43307</v>
      </c>
      <c r="R1148" s="26">
        <v>44879</v>
      </c>
      <c r="S1148" s="23" t="s">
        <v>4920</v>
      </c>
      <c r="T1148" s="23"/>
      <c r="U1148" s="23"/>
      <c r="V1148" s="23"/>
      <c r="W1148" s="77">
        <v>45931</v>
      </c>
      <c r="X1148" s="30">
        <v>39722</v>
      </c>
      <c r="Y1148" s="30">
        <v>39722</v>
      </c>
      <c r="Z1148" s="31" t="str">
        <f t="shared" ca="1" si="85"/>
        <v>17 Tahun 0 Bulan 30 Hari</v>
      </c>
      <c r="AA1148" s="31" t="s">
        <v>76</v>
      </c>
      <c r="AB1148" s="32">
        <v>29904</v>
      </c>
      <c r="AC1148" s="31" t="s">
        <v>6084</v>
      </c>
      <c r="AD1148" s="22" t="str">
        <f t="shared" ca="1" si="83"/>
        <v xml:space="preserve">43 Tahun 11 Bulan </v>
      </c>
      <c r="AE1148" s="33" t="s">
        <v>4909</v>
      </c>
      <c r="AF1148" s="34"/>
      <c r="AG1148" s="58" t="s">
        <v>4901</v>
      </c>
      <c r="AH1148" s="58"/>
      <c r="AI1148" s="58"/>
      <c r="AJ1148" s="58"/>
      <c r="AK1148" s="33"/>
      <c r="AL1148" s="22"/>
      <c r="AM1148" s="14"/>
    </row>
    <row r="1149" spans="1:39" ht="14.45" customHeight="1" x14ac:dyDescent="0.25">
      <c r="A1149" s="115">
        <v>6</v>
      </c>
      <c r="B1149" s="18"/>
      <c r="C1149" s="132" t="s">
        <v>5014</v>
      </c>
      <c r="D1149" s="20" t="s">
        <v>5015</v>
      </c>
      <c r="E1149" s="21" t="s">
        <v>56</v>
      </c>
      <c r="F1149" s="22" t="s">
        <v>238</v>
      </c>
      <c r="G1149" s="23" t="s">
        <v>3872</v>
      </c>
      <c r="H1149" s="22" t="s">
        <v>1078</v>
      </c>
      <c r="I1149" s="22" t="s">
        <v>44</v>
      </c>
      <c r="J1149" s="22" t="s">
        <v>4998</v>
      </c>
      <c r="K1149" s="22"/>
      <c r="L1149" s="25" t="s">
        <v>5016</v>
      </c>
      <c r="M1149" s="26">
        <v>43025</v>
      </c>
      <c r="N1149" s="26">
        <v>44799</v>
      </c>
      <c r="O1149" s="27" t="s">
        <v>4906</v>
      </c>
      <c r="P1149" s="28" t="s">
        <v>5017</v>
      </c>
      <c r="Q1149" s="29">
        <v>43298</v>
      </c>
      <c r="R1149" s="26">
        <v>44799</v>
      </c>
      <c r="S1149" s="23" t="s">
        <v>4920</v>
      </c>
      <c r="T1149" s="23"/>
      <c r="U1149" s="23"/>
      <c r="V1149" s="23"/>
      <c r="W1149" s="77">
        <v>45047</v>
      </c>
      <c r="X1149" s="30">
        <v>39965</v>
      </c>
      <c r="Y1149" s="30">
        <v>39965</v>
      </c>
      <c r="Z1149" s="31" t="str">
        <f t="shared" ca="1" si="85"/>
        <v>16 Tahun 4 Bulan 30 Hari</v>
      </c>
      <c r="AA1149" s="31" t="s">
        <v>1540</v>
      </c>
      <c r="AB1149" s="32">
        <v>31285</v>
      </c>
      <c r="AC1149" s="31" t="s">
        <v>5018</v>
      </c>
      <c r="AD1149" s="22" t="str">
        <f t="shared" ca="1" si="83"/>
        <v xml:space="preserve">40 Tahun 2 Bulan </v>
      </c>
      <c r="AE1149" s="33" t="s">
        <v>4909</v>
      </c>
      <c r="AF1149" s="34"/>
      <c r="AG1149" s="58" t="s">
        <v>4901</v>
      </c>
      <c r="AH1149" s="58"/>
      <c r="AI1149" s="58"/>
      <c r="AJ1149" s="58"/>
      <c r="AK1149" s="33"/>
      <c r="AL1149" s="22"/>
      <c r="AM1149" s="14"/>
    </row>
    <row r="1150" spans="1:39" ht="14.45" customHeight="1" x14ac:dyDescent="0.25">
      <c r="A1150" s="115">
        <v>7</v>
      </c>
      <c r="B1150" s="18"/>
      <c r="C1150" s="132" t="s">
        <v>5019</v>
      </c>
      <c r="D1150" s="20" t="s">
        <v>5020</v>
      </c>
      <c r="E1150" s="21" t="s">
        <v>56</v>
      </c>
      <c r="F1150" s="22" t="s">
        <v>238</v>
      </c>
      <c r="G1150" s="23" t="s">
        <v>3872</v>
      </c>
      <c r="H1150" s="22" t="s">
        <v>1078</v>
      </c>
      <c r="I1150" s="22" t="s">
        <v>44</v>
      </c>
      <c r="J1150" s="22" t="s">
        <v>4998</v>
      </c>
      <c r="K1150" s="22"/>
      <c r="L1150" s="25" t="s">
        <v>5021</v>
      </c>
      <c r="M1150" s="26">
        <v>43025</v>
      </c>
      <c r="N1150" s="26">
        <v>44729</v>
      </c>
      <c r="O1150" s="27" t="s">
        <v>4906</v>
      </c>
      <c r="P1150" s="28" t="s">
        <v>5022</v>
      </c>
      <c r="Q1150" s="29">
        <v>43305</v>
      </c>
      <c r="R1150" s="26">
        <v>44729</v>
      </c>
      <c r="S1150" s="23" t="s">
        <v>4920</v>
      </c>
      <c r="T1150" s="23"/>
      <c r="U1150" s="23"/>
      <c r="V1150" s="23"/>
      <c r="W1150" s="77">
        <v>45383</v>
      </c>
      <c r="X1150" s="30">
        <v>39965</v>
      </c>
      <c r="Y1150" s="30">
        <v>39965</v>
      </c>
      <c r="Z1150" s="31" t="str">
        <f t="shared" ca="1" si="85"/>
        <v>16 Tahun 4 Bulan 30 Hari</v>
      </c>
      <c r="AA1150" s="31" t="s">
        <v>76</v>
      </c>
      <c r="AB1150" s="32">
        <v>31945</v>
      </c>
      <c r="AC1150" s="31" t="s">
        <v>5023</v>
      </c>
      <c r="AD1150" s="22" t="str">
        <f t="shared" ca="1" si="83"/>
        <v xml:space="preserve">38 Tahun 4 Bulan </v>
      </c>
      <c r="AE1150" s="33" t="s">
        <v>4909</v>
      </c>
      <c r="AF1150" s="34"/>
      <c r="AG1150" s="58" t="s">
        <v>4901</v>
      </c>
      <c r="AH1150" s="58"/>
      <c r="AI1150" s="58"/>
      <c r="AJ1150" s="58"/>
      <c r="AK1150" s="33"/>
      <c r="AL1150" s="22" t="s">
        <v>4938</v>
      </c>
      <c r="AM1150" s="14"/>
    </row>
    <row r="1151" spans="1:39" ht="14.45" customHeight="1" x14ac:dyDescent="0.25">
      <c r="A1151" s="115">
        <v>8</v>
      </c>
      <c r="B1151" s="18"/>
      <c r="C1151" s="132" t="s">
        <v>5024</v>
      </c>
      <c r="D1151" s="20" t="s">
        <v>5025</v>
      </c>
      <c r="E1151" s="21" t="s">
        <v>56</v>
      </c>
      <c r="F1151" s="22" t="s">
        <v>238</v>
      </c>
      <c r="G1151" s="23" t="s">
        <v>3872</v>
      </c>
      <c r="H1151" s="22" t="s">
        <v>1078</v>
      </c>
      <c r="I1151" s="22" t="s">
        <v>44</v>
      </c>
      <c r="J1151" s="22" t="s">
        <v>4998</v>
      </c>
      <c r="K1151" s="22"/>
      <c r="L1151" s="25" t="s">
        <v>5026</v>
      </c>
      <c r="M1151" s="26">
        <v>43082</v>
      </c>
      <c r="N1151" s="26">
        <v>44884</v>
      </c>
      <c r="O1151" s="27" t="s">
        <v>4906</v>
      </c>
      <c r="P1151" s="28" t="s">
        <v>5027</v>
      </c>
      <c r="Q1151" s="29">
        <v>43298</v>
      </c>
      <c r="R1151" s="26">
        <v>44884</v>
      </c>
      <c r="S1151" s="23" t="s">
        <v>4920</v>
      </c>
      <c r="T1151" s="23"/>
      <c r="U1151" s="23"/>
      <c r="V1151" s="23"/>
      <c r="W1151" s="77">
        <v>45047</v>
      </c>
      <c r="X1151" s="30">
        <v>40330</v>
      </c>
      <c r="Y1151" s="30">
        <v>40334</v>
      </c>
      <c r="Z1151" s="31" t="str">
        <f t="shared" ca="1" si="85"/>
        <v>15 Tahun 4 Bulan 30 Hari</v>
      </c>
      <c r="AA1151" s="31" t="s">
        <v>76</v>
      </c>
      <c r="AB1151" s="32">
        <v>32100</v>
      </c>
      <c r="AC1151" s="31" t="s">
        <v>5028</v>
      </c>
      <c r="AD1151" s="22" t="str">
        <f t="shared" ca="1" si="83"/>
        <v xml:space="preserve">37 Tahun 11 Bulan </v>
      </c>
      <c r="AE1151" s="33" t="s">
        <v>4909</v>
      </c>
      <c r="AF1151" s="34"/>
      <c r="AG1151" s="58" t="s">
        <v>4901</v>
      </c>
      <c r="AH1151" s="58"/>
      <c r="AI1151" s="58"/>
      <c r="AJ1151" s="58"/>
      <c r="AK1151" s="33"/>
      <c r="AL1151" s="36"/>
    </row>
    <row r="1152" spans="1:39" ht="14.45" customHeight="1" x14ac:dyDescent="0.25">
      <c r="A1152" s="115">
        <v>9</v>
      </c>
      <c r="B1152" s="18"/>
      <c r="C1152" s="132" t="s">
        <v>5029</v>
      </c>
      <c r="D1152" s="20" t="s">
        <v>5030</v>
      </c>
      <c r="E1152" s="21" t="s">
        <v>56</v>
      </c>
      <c r="F1152" s="22" t="s">
        <v>238</v>
      </c>
      <c r="G1152" s="23" t="s">
        <v>3872</v>
      </c>
      <c r="H1152" s="22" t="s">
        <v>1078</v>
      </c>
      <c r="I1152" s="22" t="s">
        <v>44</v>
      </c>
      <c r="J1152" s="22" t="s">
        <v>4998</v>
      </c>
      <c r="K1152" s="22"/>
      <c r="L1152" s="25" t="s">
        <v>5031</v>
      </c>
      <c r="M1152" s="26">
        <v>43082</v>
      </c>
      <c r="N1152" s="26">
        <v>44859</v>
      </c>
      <c r="O1152" s="27" t="s">
        <v>4906</v>
      </c>
      <c r="P1152" s="28" t="s">
        <v>5032</v>
      </c>
      <c r="Q1152" s="29">
        <v>43305</v>
      </c>
      <c r="R1152" s="26">
        <v>44859</v>
      </c>
      <c r="S1152" s="23" t="s">
        <v>4920</v>
      </c>
      <c r="T1152" s="23"/>
      <c r="U1152" s="23"/>
      <c r="V1152" s="23"/>
      <c r="W1152" s="77">
        <v>45047</v>
      </c>
      <c r="X1152" s="30">
        <v>40330</v>
      </c>
      <c r="Y1152" s="30">
        <v>40334</v>
      </c>
      <c r="Z1152" s="31" t="str">
        <f t="shared" ca="1" si="85"/>
        <v>15 Tahun 4 Bulan 30 Hari</v>
      </c>
      <c r="AA1152" s="31" t="s">
        <v>76</v>
      </c>
      <c r="AB1152" s="32">
        <v>32075</v>
      </c>
      <c r="AC1152" s="31" t="s">
        <v>5033</v>
      </c>
      <c r="AD1152" s="22" t="str">
        <f t="shared" ca="1" si="83"/>
        <v xml:space="preserve">38 Tahun 0 Bulan </v>
      </c>
      <c r="AE1152" s="33" t="s">
        <v>4909</v>
      </c>
      <c r="AF1152" s="34"/>
      <c r="AG1152" s="58" t="s">
        <v>4901</v>
      </c>
      <c r="AH1152" s="58"/>
      <c r="AI1152" s="58"/>
      <c r="AJ1152" s="58"/>
      <c r="AK1152" s="33"/>
      <c r="AL1152" s="22"/>
      <c r="AM1152" s="14"/>
    </row>
    <row r="1153" spans="1:39" ht="14.45" customHeight="1" x14ac:dyDescent="0.25">
      <c r="A1153" s="115">
        <v>10</v>
      </c>
      <c r="B1153" s="18"/>
      <c r="C1153" s="132" t="s">
        <v>5034</v>
      </c>
      <c r="D1153" s="20" t="s">
        <v>5035</v>
      </c>
      <c r="E1153" s="21" t="s">
        <v>40</v>
      </c>
      <c r="F1153" s="22" t="s">
        <v>238</v>
      </c>
      <c r="G1153" s="23" t="s">
        <v>3872</v>
      </c>
      <c r="H1153" s="22" t="s">
        <v>1078</v>
      </c>
      <c r="I1153" s="22" t="s">
        <v>44</v>
      </c>
      <c r="J1153" s="22" t="s">
        <v>4998</v>
      </c>
      <c r="K1153" s="22"/>
      <c r="L1153" s="25" t="s">
        <v>5036</v>
      </c>
      <c r="M1153" s="26">
        <v>43082</v>
      </c>
      <c r="N1153" s="26">
        <v>44869</v>
      </c>
      <c r="O1153" s="27" t="s">
        <v>4906</v>
      </c>
      <c r="P1153" s="28" t="s">
        <v>5037</v>
      </c>
      <c r="Q1153" s="29">
        <v>43298</v>
      </c>
      <c r="R1153" s="26">
        <v>44869</v>
      </c>
      <c r="S1153" s="23" t="s">
        <v>4920</v>
      </c>
      <c r="T1153" s="23"/>
      <c r="U1153" s="23"/>
      <c r="V1153" s="23"/>
      <c r="W1153" s="77">
        <v>45383</v>
      </c>
      <c r="X1153" s="30">
        <v>41030</v>
      </c>
      <c r="Y1153" s="30">
        <v>41030</v>
      </c>
      <c r="Z1153" s="31" t="str">
        <f t="shared" ca="1" si="85"/>
        <v>13 Tahun 5 Bulan 30 Hari</v>
      </c>
      <c r="AA1153" s="31" t="s">
        <v>76</v>
      </c>
      <c r="AB1153" s="32">
        <v>32451</v>
      </c>
      <c r="AC1153" s="31" t="s">
        <v>5038</v>
      </c>
      <c r="AD1153" s="22" t="str">
        <f t="shared" ca="1" si="83"/>
        <v xml:space="preserve">36 Tahun 11 Bulan </v>
      </c>
      <c r="AE1153" s="33" t="s">
        <v>4909</v>
      </c>
      <c r="AF1153" s="34"/>
      <c r="AG1153" s="58" t="s">
        <v>4901</v>
      </c>
      <c r="AH1153" s="58"/>
      <c r="AI1153" s="58"/>
      <c r="AJ1153" s="58"/>
      <c r="AK1153" s="33"/>
      <c r="AL1153" s="22"/>
      <c r="AM1153" s="14"/>
    </row>
    <row r="1154" spans="1:39" ht="14.45" customHeight="1" x14ac:dyDescent="0.25">
      <c r="A1154" s="115">
        <v>11</v>
      </c>
      <c r="B1154" s="18"/>
      <c r="C1154" s="132" t="s">
        <v>5039</v>
      </c>
      <c r="D1154" s="20" t="s">
        <v>5040</v>
      </c>
      <c r="E1154" s="21" t="s">
        <v>56</v>
      </c>
      <c r="F1154" s="22" t="s">
        <v>238</v>
      </c>
      <c r="G1154" s="23" t="s">
        <v>3872</v>
      </c>
      <c r="H1154" s="22" t="s">
        <v>1078</v>
      </c>
      <c r="I1154" s="22" t="s">
        <v>44</v>
      </c>
      <c r="J1154" s="22" t="s">
        <v>4998</v>
      </c>
      <c r="K1154" s="22"/>
      <c r="L1154" s="25" t="s">
        <v>5041</v>
      </c>
      <c r="M1154" s="26">
        <v>42131</v>
      </c>
      <c r="N1154" s="26">
        <v>43893</v>
      </c>
      <c r="O1154" s="27" t="s">
        <v>4906</v>
      </c>
      <c r="P1154" s="28" t="s">
        <v>5042</v>
      </c>
      <c r="Q1154" s="29">
        <v>42978</v>
      </c>
      <c r="R1154" s="26">
        <v>43893</v>
      </c>
      <c r="S1154" s="23" t="s">
        <v>4920</v>
      </c>
      <c r="T1154" s="23"/>
      <c r="U1154" s="23"/>
      <c r="V1154" s="23"/>
      <c r="W1154" s="77">
        <v>45047</v>
      </c>
      <c r="X1154" s="30">
        <v>42095</v>
      </c>
      <c r="Y1154" s="30">
        <v>42114</v>
      </c>
      <c r="Z1154" s="31" t="str">
        <f t="shared" ca="1" si="85"/>
        <v>10 Tahun 6 Bulan 30 Hari</v>
      </c>
      <c r="AA1154" s="31" t="s">
        <v>76</v>
      </c>
      <c r="AB1154" s="32">
        <v>34031</v>
      </c>
      <c r="AC1154" s="31" t="s">
        <v>5043</v>
      </c>
      <c r="AD1154" s="22" t="str">
        <f t="shared" ca="1" si="83"/>
        <v xml:space="preserve">32 Tahun 7 Bulan </v>
      </c>
      <c r="AE1154" s="33" t="s">
        <v>4909</v>
      </c>
      <c r="AF1154" s="34"/>
      <c r="AG1154" s="58" t="s">
        <v>4901</v>
      </c>
      <c r="AH1154" s="58"/>
      <c r="AI1154" s="58"/>
      <c r="AJ1154" s="58"/>
      <c r="AK1154" s="85"/>
      <c r="AL1154" s="22"/>
      <c r="AM1154" s="14"/>
    </row>
    <row r="1155" spans="1:39" ht="14.45" customHeight="1" x14ac:dyDescent="0.25">
      <c r="A1155" s="115">
        <v>12</v>
      </c>
      <c r="B1155" s="18"/>
      <c r="C1155" s="132" t="s">
        <v>5044</v>
      </c>
      <c r="D1155" s="20" t="s">
        <v>5045</v>
      </c>
      <c r="E1155" s="21" t="s">
        <v>40</v>
      </c>
      <c r="F1155" s="22" t="s">
        <v>238</v>
      </c>
      <c r="G1155" s="23" t="s">
        <v>3872</v>
      </c>
      <c r="H1155" s="22" t="s">
        <v>1078</v>
      </c>
      <c r="I1155" s="22" t="s">
        <v>44</v>
      </c>
      <c r="J1155" s="22" t="s">
        <v>4998</v>
      </c>
      <c r="K1155" s="22"/>
      <c r="L1155" s="25" t="s">
        <v>5046</v>
      </c>
      <c r="M1155" s="26">
        <v>42655</v>
      </c>
      <c r="N1155" s="26">
        <v>44353</v>
      </c>
      <c r="O1155" s="27" t="s">
        <v>4972</v>
      </c>
      <c r="P1155" s="28" t="s">
        <v>5047</v>
      </c>
      <c r="Q1155" s="29">
        <v>42978</v>
      </c>
      <c r="R1155" s="26">
        <v>44353</v>
      </c>
      <c r="S1155" s="23" t="s">
        <v>4920</v>
      </c>
      <c r="T1155" s="23"/>
      <c r="U1155" s="23"/>
      <c r="V1155" s="23"/>
      <c r="W1155" s="77">
        <v>45383</v>
      </c>
      <c r="X1155" s="30">
        <v>42370</v>
      </c>
      <c r="Y1155" s="30">
        <v>42401</v>
      </c>
      <c r="Z1155" s="31" t="str">
        <f t="shared" ca="1" si="85"/>
        <v>9 Tahun 9 Bulan 30 Hari</v>
      </c>
      <c r="AA1155" s="31" t="s">
        <v>76</v>
      </c>
      <c r="AB1155" s="32">
        <v>34491</v>
      </c>
      <c r="AC1155" s="31" t="s">
        <v>5048</v>
      </c>
      <c r="AD1155" s="22" t="str">
        <f t="shared" ca="1" si="83"/>
        <v xml:space="preserve">31 Tahun 4 Bulan </v>
      </c>
      <c r="AE1155" s="33" t="s">
        <v>4909</v>
      </c>
      <c r="AF1155" s="34"/>
      <c r="AG1155" s="58" t="s">
        <v>4901</v>
      </c>
      <c r="AH1155" s="58"/>
      <c r="AI1155" s="58"/>
      <c r="AJ1155" s="58"/>
      <c r="AK1155" s="33"/>
      <c r="AL1155" s="22"/>
      <c r="AM1155" s="14"/>
    </row>
    <row r="1156" spans="1:39" ht="14.45" customHeight="1" x14ac:dyDescent="0.25">
      <c r="A1156" s="115">
        <v>13</v>
      </c>
      <c r="B1156" s="18"/>
      <c r="C1156" s="132" t="s">
        <v>5049</v>
      </c>
      <c r="D1156" s="20" t="s">
        <v>5050</v>
      </c>
      <c r="E1156" s="21" t="s">
        <v>56</v>
      </c>
      <c r="F1156" s="22" t="s">
        <v>238</v>
      </c>
      <c r="G1156" s="23" t="s">
        <v>3872</v>
      </c>
      <c r="H1156" s="22" t="s">
        <v>1078</v>
      </c>
      <c r="I1156" s="22" t="s">
        <v>44</v>
      </c>
      <c r="J1156" s="22" t="s">
        <v>4998</v>
      </c>
      <c r="K1156" s="22"/>
      <c r="L1156" s="25"/>
      <c r="M1156" s="26"/>
      <c r="N1156" s="26"/>
      <c r="O1156" s="27"/>
      <c r="P1156" s="28"/>
      <c r="Q1156" s="29"/>
      <c r="R1156" s="26"/>
      <c r="S1156" s="23" t="s">
        <v>4920</v>
      </c>
      <c r="T1156" s="23"/>
      <c r="U1156" s="23"/>
      <c r="V1156" s="23"/>
      <c r="W1156" s="22">
        <v>45047</v>
      </c>
      <c r="X1156" s="30">
        <v>45048</v>
      </c>
      <c r="Y1156" s="30">
        <v>45048</v>
      </c>
      <c r="Z1156" s="31" t="str">
        <f t="shared" ca="1" si="85"/>
        <v>2 Tahun 5 Bulan 29 Hari</v>
      </c>
      <c r="AA1156" s="31" t="s">
        <v>76</v>
      </c>
      <c r="AB1156" s="32">
        <v>30886</v>
      </c>
      <c r="AC1156" s="31" t="s">
        <v>5051</v>
      </c>
      <c r="AD1156" s="22" t="str">
        <f t="shared" ca="1" si="83"/>
        <v xml:space="preserve">41 Tahun 3 Bulan </v>
      </c>
      <c r="AE1156" s="33" t="s">
        <v>4909</v>
      </c>
      <c r="AF1156" s="34"/>
      <c r="AG1156" s="58" t="s">
        <v>4901</v>
      </c>
      <c r="AH1156" s="22"/>
      <c r="AI1156" s="22"/>
      <c r="AJ1156" s="22"/>
      <c r="AK1156" s="33"/>
      <c r="AL1156" s="22"/>
      <c r="AM1156" s="14"/>
    </row>
    <row r="1157" spans="1:39" ht="14.45" customHeight="1" x14ac:dyDescent="0.25">
      <c r="A1157" s="115">
        <v>14</v>
      </c>
      <c r="B1157" s="18"/>
      <c r="C1157" s="132" t="s">
        <v>5052</v>
      </c>
      <c r="D1157" s="20" t="s">
        <v>5053</v>
      </c>
      <c r="E1157" s="21" t="s">
        <v>40</v>
      </c>
      <c r="F1157" s="22" t="s">
        <v>238</v>
      </c>
      <c r="G1157" s="23" t="s">
        <v>3872</v>
      </c>
      <c r="H1157" s="22" t="s">
        <v>1078</v>
      </c>
      <c r="I1157" s="22" t="s">
        <v>44</v>
      </c>
      <c r="J1157" s="22" t="s">
        <v>4998</v>
      </c>
      <c r="K1157" s="22"/>
      <c r="L1157" s="25"/>
      <c r="M1157" s="26"/>
      <c r="N1157" s="26"/>
      <c r="O1157" s="27"/>
      <c r="P1157" s="28"/>
      <c r="Q1157" s="29"/>
      <c r="R1157" s="26"/>
      <c r="S1157" s="23" t="s">
        <v>4920</v>
      </c>
      <c r="T1157" s="23"/>
      <c r="U1157" s="23"/>
      <c r="V1157" s="23"/>
      <c r="W1157" s="22">
        <v>45047</v>
      </c>
      <c r="X1157" s="30">
        <v>45048</v>
      </c>
      <c r="Y1157" s="30">
        <v>45048</v>
      </c>
      <c r="Z1157" s="31" t="str">
        <f t="shared" ca="1" si="85"/>
        <v>2 Tahun 5 Bulan 29 Hari</v>
      </c>
      <c r="AA1157" s="31" t="s">
        <v>76</v>
      </c>
      <c r="AB1157" s="32">
        <v>31848</v>
      </c>
      <c r="AC1157" s="31" t="s">
        <v>5054</v>
      </c>
      <c r="AD1157" s="22" t="str">
        <f t="shared" ca="1" si="83"/>
        <v xml:space="preserve">38 Tahun 7 Bulan </v>
      </c>
      <c r="AE1157" s="33" t="s">
        <v>4909</v>
      </c>
      <c r="AF1157" s="34"/>
      <c r="AG1157" s="58" t="s">
        <v>4901</v>
      </c>
      <c r="AH1157" s="22"/>
      <c r="AI1157" s="22"/>
      <c r="AJ1157" s="23"/>
      <c r="AK1157" s="33"/>
      <c r="AL1157" s="22"/>
    </row>
    <row r="1158" spans="1:39" ht="14.45" customHeight="1" x14ac:dyDescent="0.25">
      <c r="A1158" s="115">
        <v>15</v>
      </c>
      <c r="B1158" s="18"/>
      <c r="C1158" s="132" t="s">
        <v>5056</v>
      </c>
      <c r="D1158" s="20" t="s">
        <v>5057</v>
      </c>
      <c r="E1158" s="21" t="s">
        <v>56</v>
      </c>
      <c r="F1158" s="22" t="s">
        <v>238</v>
      </c>
      <c r="G1158" s="23" t="s">
        <v>3872</v>
      </c>
      <c r="H1158" s="22" t="s">
        <v>1078</v>
      </c>
      <c r="I1158" s="22" t="s">
        <v>44</v>
      </c>
      <c r="J1158" s="22" t="s">
        <v>4998</v>
      </c>
      <c r="K1158" s="22"/>
      <c r="L1158" s="25" t="s">
        <v>5058</v>
      </c>
      <c r="M1158" s="26">
        <v>42935</v>
      </c>
      <c r="N1158" s="26">
        <v>44680</v>
      </c>
      <c r="O1158" s="27" t="s">
        <v>4947</v>
      </c>
      <c r="P1158" s="28" t="s">
        <v>5059</v>
      </c>
      <c r="Q1158" s="29">
        <v>43040</v>
      </c>
      <c r="R1158" s="26">
        <v>44680</v>
      </c>
      <c r="S1158" s="23" t="s">
        <v>4920</v>
      </c>
      <c r="T1158" s="23"/>
      <c r="U1158" s="23"/>
      <c r="V1158" s="23"/>
      <c r="W1158" s="77">
        <v>45383</v>
      </c>
      <c r="X1158" s="30">
        <v>41030</v>
      </c>
      <c r="Y1158" s="30">
        <v>41030</v>
      </c>
      <c r="Z1158" s="31" t="str">
        <f t="shared" ca="1" si="85"/>
        <v>13 Tahun 5 Bulan 30 Hari</v>
      </c>
      <c r="AA1158" s="31" t="s">
        <v>76</v>
      </c>
      <c r="AB1158" s="32">
        <v>32262</v>
      </c>
      <c r="AC1158" s="31" t="s">
        <v>5060</v>
      </c>
      <c r="AD1158" s="22" t="str">
        <f t="shared" ca="1" si="83"/>
        <v xml:space="preserve">37 Tahun 6 Bulan </v>
      </c>
      <c r="AE1158" s="33" t="s">
        <v>4909</v>
      </c>
      <c r="AF1158" s="34"/>
      <c r="AG1158" s="58" t="s">
        <v>4901</v>
      </c>
      <c r="AH1158" s="22"/>
      <c r="AI1158" s="22"/>
      <c r="AJ1158" s="22"/>
      <c r="AK1158" s="33"/>
      <c r="AL1158" s="36"/>
    </row>
    <row r="1159" spans="1:39" ht="14.45" customHeight="1" x14ac:dyDescent="0.25">
      <c r="A1159" s="115">
        <v>16</v>
      </c>
      <c r="B1159" s="76"/>
      <c r="C1159" s="50" t="s">
        <v>5061</v>
      </c>
      <c r="D1159" s="20" t="s">
        <v>6085</v>
      </c>
      <c r="E1159" s="52" t="s">
        <v>56</v>
      </c>
      <c r="F1159" s="22" t="s">
        <v>238</v>
      </c>
      <c r="G1159" s="33" t="s">
        <v>3872</v>
      </c>
      <c r="H1159" s="22" t="s">
        <v>1078</v>
      </c>
      <c r="I1159" s="22" t="s">
        <v>155</v>
      </c>
      <c r="J1159" s="22" t="s">
        <v>5693</v>
      </c>
      <c r="K1159" s="22"/>
      <c r="L1159" s="22"/>
      <c r="M1159" s="22"/>
      <c r="N1159" s="22"/>
      <c r="O1159" s="22"/>
      <c r="P1159" s="22"/>
      <c r="Q1159" s="22"/>
      <c r="R1159" s="22"/>
      <c r="S1159" s="23" t="s">
        <v>296</v>
      </c>
      <c r="T1159" s="23"/>
      <c r="U1159" s="23"/>
      <c r="V1159" s="23"/>
      <c r="W1159" s="77">
        <v>45931</v>
      </c>
      <c r="X1159" s="30">
        <v>39965</v>
      </c>
      <c r="Y1159" s="30">
        <v>39965</v>
      </c>
      <c r="Z1159" s="55" t="str">
        <f t="shared" ca="1" si="85"/>
        <v>16 Tahun 4 Bulan 30 Hari</v>
      </c>
      <c r="AA1159" s="55" t="s">
        <v>5062</v>
      </c>
      <c r="AB1159" s="56">
        <v>31470</v>
      </c>
      <c r="AC1159" s="31" t="s">
        <v>6086</v>
      </c>
      <c r="AD1159" s="57" t="str">
        <f t="shared" ca="1" si="83"/>
        <v xml:space="preserve">39 Tahun 8 Bulan </v>
      </c>
      <c r="AE1159" s="33" t="s">
        <v>242</v>
      </c>
      <c r="AF1159" s="34"/>
      <c r="AG1159" s="58" t="s">
        <v>4901</v>
      </c>
      <c r="AH1159" s="22"/>
      <c r="AI1159" s="22"/>
      <c r="AJ1159" s="22"/>
      <c r="AK1159" s="33"/>
      <c r="AL1159" s="36"/>
    </row>
    <row r="1160" spans="1:39" ht="14.45" customHeight="1" x14ac:dyDescent="0.25">
      <c r="A1160" s="115">
        <v>17</v>
      </c>
      <c r="B1160" s="18"/>
      <c r="C1160" s="50" t="s">
        <v>5063</v>
      </c>
      <c r="D1160" s="20" t="s">
        <v>5064</v>
      </c>
      <c r="E1160" s="52" t="s">
        <v>40</v>
      </c>
      <c r="F1160" s="22" t="s">
        <v>41</v>
      </c>
      <c r="G1160" s="23" t="s">
        <v>102</v>
      </c>
      <c r="H1160" s="22" t="s">
        <v>103</v>
      </c>
      <c r="I1160" s="22" t="s">
        <v>155</v>
      </c>
      <c r="J1160" s="22" t="s">
        <v>2888</v>
      </c>
      <c r="K1160" s="81">
        <v>44287</v>
      </c>
      <c r="L1160" s="22"/>
      <c r="M1160" s="22"/>
      <c r="N1160" s="22"/>
      <c r="O1160" s="22"/>
      <c r="P1160" s="22"/>
      <c r="Q1160" s="22"/>
      <c r="R1160" s="22"/>
      <c r="S1160" s="23" t="s">
        <v>296</v>
      </c>
      <c r="T1160" s="23"/>
      <c r="U1160" s="23"/>
      <c r="V1160" s="23"/>
      <c r="W1160" s="30">
        <v>38353</v>
      </c>
      <c r="X1160" s="30">
        <v>34182</v>
      </c>
      <c r="Y1160" s="22"/>
      <c r="Z1160" s="55" t="str">
        <f ca="1">DATEDIF(W1160,TODAY(),"y")&amp;" Tahun "&amp;DATEDIF(W1160,TODAY(),"ym")&amp;" Bulan "&amp;DATEDIF(W1160,TODAY(),"md")&amp;" Hari"</f>
        <v>20 Tahun 9 Bulan 30 Hari</v>
      </c>
      <c r="AA1160" s="55" t="s">
        <v>76</v>
      </c>
      <c r="AB1160" s="56">
        <v>25027</v>
      </c>
      <c r="AC1160" s="32" t="s">
        <v>5065</v>
      </c>
      <c r="AD1160" s="57" t="str">
        <f t="shared" ca="1" si="83"/>
        <v xml:space="preserve">57 Tahun 3 Bulan </v>
      </c>
      <c r="AE1160" s="33" t="s">
        <v>4653</v>
      </c>
      <c r="AF1160" s="79"/>
      <c r="AG1160" s="58" t="s">
        <v>4901</v>
      </c>
      <c r="AH1160" s="22"/>
      <c r="AI1160" s="22"/>
      <c r="AJ1160" s="22"/>
      <c r="AK1160" s="33"/>
      <c r="AL1160" s="36"/>
    </row>
    <row r="1161" spans="1:39" ht="14.45" customHeight="1" x14ac:dyDescent="0.25">
      <c r="A1161" s="115">
        <v>18</v>
      </c>
      <c r="B1161" s="76"/>
      <c r="C1161" s="50" t="s">
        <v>5066</v>
      </c>
      <c r="D1161" s="51" t="s">
        <v>6087</v>
      </c>
      <c r="E1161" s="52" t="s">
        <v>56</v>
      </c>
      <c r="F1161" s="58" t="s">
        <v>238</v>
      </c>
      <c r="G1161" s="33" t="s">
        <v>3872</v>
      </c>
      <c r="H1161" s="22" t="s">
        <v>1078</v>
      </c>
      <c r="I1161" s="58" t="s">
        <v>155</v>
      </c>
      <c r="J1161" s="58" t="s">
        <v>5693</v>
      </c>
      <c r="K1161" s="58"/>
      <c r="L1161" s="22"/>
      <c r="M1161" s="22"/>
      <c r="N1161" s="22"/>
      <c r="O1161" s="22"/>
      <c r="P1161" s="22"/>
      <c r="Q1161" s="22"/>
      <c r="R1161" s="22"/>
      <c r="S1161" s="59" t="s">
        <v>296</v>
      </c>
      <c r="T1161" s="59"/>
      <c r="U1161" s="59"/>
      <c r="V1161" s="59"/>
      <c r="W1161" s="177">
        <v>45931</v>
      </c>
      <c r="X1161" s="82">
        <v>40330</v>
      </c>
      <c r="Y1161" s="30">
        <v>40334</v>
      </c>
      <c r="Z1161" s="55" t="str">
        <f ca="1">DATEDIF(X1161,TODAY(),"y")&amp;" Tahun "&amp;DATEDIF(X1161,TODAY(),"ym")&amp;" Bulan "&amp;DATEDIF(X1161,TODAY(),"md")&amp;" Hari"</f>
        <v>15 Tahun 4 Bulan 30 Hari</v>
      </c>
      <c r="AA1161" s="66" t="s">
        <v>76</v>
      </c>
      <c r="AB1161" s="83">
        <v>32259</v>
      </c>
      <c r="AC1161" s="102" t="s">
        <v>6075</v>
      </c>
      <c r="AD1161" s="57" t="str">
        <f t="shared" ca="1" si="83"/>
        <v xml:space="preserve">37 Tahun 6 Bulan </v>
      </c>
      <c r="AE1161" s="85" t="s">
        <v>4653</v>
      </c>
      <c r="AF1161" s="71"/>
      <c r="AG1161" s="58" t="s">
        <v>4901</v>
      </c>
      <c r="AH1161" s="22"/>
      <c r="AI1161" s="22"/>
      <c r="AJ1161" s="22"/>
      <c r="AK1161" s="33"/>
      <c r="AL1161" s="36"/>
    </row>
    <row r="1162" spans="1:39" ht="14.45" customHeight="1" x14ac:dyDescent="0.25">
      <c r="A1162" s="115">
        <v>19</v>
      </c>
      <c r="B1162" s="18"/>
      <c r="C1162" s="50" t="s">
        <v>6182</v>
      </c>
      <c r="D1162" s="20" t="s">
        <v>6088</v>
      </c>
      <c r="E1162" s="58" t="s">
        <v>56</v>
      </c>
      <c r="F1162" s="58" t="s">
        <v>238</v>
      </c>
      <c r="G1162" s="33" t="s">
        <v>3872</v>
      </c>
      <c r="H1162" s="22" t="s">
        <v>1078</v>
      </c>
      <c r="I1162" s="22" t="s">
        <v>44</v>
      </c>
      <c r="J1162" s="22" t="s">
        <v>3187</v>
      </c>
      <c r="K1162" s="30"/>
      <c r="L1162" s="25" t="s">
        <v>5067</v>
      </c>
      <c r="M1162" s="29">
        <v>41974</v>
      </c>
      <c r="N1162" s="26">
        <v>43697</v>
      </c>
      <c r="O1162" s="27" t="s">
        <v>1324</v>
      </c>
      <c r="P1162" s="28" t="s">
        <v>1206</v>
      </c>
      <c r="Q1162" s="43"/>
      <c r="R1162" s="43"/>
      <c r="S1162" s="33" t="s">
        <v>3013</v>
      </c>
      <c r="T1162" s="33"/>
      <c r="U1162" s="33"/>
      <c r="V1162" s="33"/>
      <c r="W1162" s="30">
        <v>45931</v>
      </c>
      <c r="X1162" s="30">
        <v>42095</v>
      </c>
      <c r="Y1162" s="30">
        <v>42114</v>
      </c>
      <c r="Z1162" s="55" t="str">
        <f ca="1">DATEDIF(X1162,TODAY(),"y")&amp;" Tahun "&amp;DATEDIF(X1162,TODAY(),"ym")&amp;" Bulan "&amp;DATEDIF(X1162,TODAY(),"md")&amp;" Hari"</f>
        <v>10 Tahun 6 Bulan 30 Hari</v>
      </c>
      <c r="AA1162" s="55" t="s">
        <v>76</v>
      </c>
      <c r="AB1162" s="56">
        <v>33470</v>
      </c>
      <c r="AC1162" s="31" t="s">
        <v>6089</v>
      </c>
      <c r="AD1162" s="57" t="str">
        <f t="shared" ca="1" si="83"/>
        <v xml:space="preserve">34 Tahun 2 Bulan </v>
      </c>
      <c r="AE1162" s="33" t="s">
        <v>5068</v>
      </c>
      <c r="AF1162" s="34"/>
      <c r="AG1162" s="58" t="s">
        <v>4901</v>
      </c>
      <c r="AH1162" s="22"/>
      <c r="AI1162" s="22"/>
      <c r="AJ1162" s="22"/>
      <c r="AK1162" s="33" t="s">
        <v>4995</v>
      </c>
      <c r="AL1162" s="36"/>
    </row>
    <row r="1163" spans="1:39" ht="14.45" customHeight="1" x14ac:dyDescent="0.25">
      <c r="A1163" s="115">
        <v>20</v>
      </c>
      <c r="B1163" s="18"/>
      <c r="C1163" s="50" t="s">
        <v>5069</v>
      </c>
      <c r="D1163" s="20" t="s">
        <v>5070</v>
      </c>
      <c r="E1163" s="58" t="s">
        <v>56</v>
      </c>
      <c r="F1163" s="22" t="s">
        <v>238</v>
      </c>
      <c r="G1163" s="33" t="s">
        <v>3872</v>
      </c>
      <c r="H1163" s="22" t="s">
        <v>1078</v>
      </c>
      <c r="I1163" s="22" t="s">
        <v>44</v>
      </c>
      <c r="J1163" s="22" t="s">
        <v>4998</v>
      </c>
      <c r="K1163" s="30"/>
      <c r="L1163" s="25"/>
      <c r="M1163" s="29"/>
      <c r="N1163" s="26"/>
      <c r="O1163" s="27"/>
      <c r="P1163" s="28"/>
      <c r="Q1163" s="29"/>
      <c r="R1163" s="26"/>
      <c r="S1163" s="23" t="s">
        <v>4920</v>
      </c>
      <c r="T1163" s="33"/>
      <c r="U1163" s="33"/>
      <c r="V1163" s="33"/>
      <c r="W1163" s="30">
        <v>45383</v>
      </c>
      <c r="X1163" s="30">
        <v>45383</v>
      </c>
      <c r="Y1163" s="30">
        <v>45383</v>
      </c>
      <c r="Z1163" s="55" t="str">
        <f ca="1">DATEDIF(X1163,TODAY(),"y")&amp;" Tahun "&amp;DATEDIF(X1163,TODAY(),"ym")&amp;" Bulan "&amp;DATEDIF(X1163,TODAY(),"md")&amp;" Hari"</f>
        <v>1 Tahun 6 Bulan 30 Hari</v>
      </c>
      <c r="AA1163" s="66" t="s">
        <v>203</v>
      </c>
      <c r="AB1163" s="56">
        <v>34433</v>
      </c>
      <c r="AC1163" s="31" t="s">
        <v>5071</v>
      </c>
      <c r="AD1163" s="57" t="str">
        <f t="shared" ca="1" si="83"/>
        <v xml:space="preserve">31 Tahun 6 Bulan </v>
      </c>
      <c r="AE1163" s="33" t="s">
        <v>4909</v>
      </c>
      <c r="AF1163" s="71"/>
      <c r="AG1163" s="58" t="s">
        <v>4901</v>
      </c>
      <c r="AH1163" s="22"/>
      <c r="AI1163" s="22"/>
      <c r="AJ1163" s="22"/>
      <c r="AK1163" s="33" t="s">
        <v>314</v>
      </c>
      <c r="AL1163" s="22"/>
      <c r="AM1163" s="14"/>
    </row>
    <row r="1164" spans="1:39" ht="14.45" customHeight="1" x14ac:dyDescent="0.25">
      <c r="A1164" s="115">
        <v>21</v>
      </c>
      <c r="B1164" s="18"/>
      <c r="C1164" s="132" t="s">
        <v>6090</v>
      </c>
      <c r="D1164" s="20" t="s">
        <v>6091</v>
      </c>
      <c r="E1164" s="21" t="s">
        <v>56</v>
      </c>
      <c r="F1164" s="22" t="s">
        <v>5691</v>
      </c>
      <c r="G1164" s="23" t="s">
        <v>3872</v>
      </c>
      <c r="H1164" s="22" t="s">
        <v>5692</v>
      </c>
      <c r="I1164" s="22" t="s">
        <v>155</v>
      </c>
      <c r="J1164" s="22" t="s">
        <v>5693</v>
      </c>
      <c r="K1164" s="22"/>
      <c r="L1164" s="25"/>
      <c r="M1164" s="26"/>
      <c r="N1164" s="26"/>
      <c r="O1164" s="27"/>
      <c r="P1164" s="28"/>
      <c r="Q1164" s="29"/>
      <c r="R1164" s="26"/>
      <c r="S1164" s="23" t="s">
        <v>4768</v>
      </c>
      <c r="T1164" s="23"/>
      <c r="U1164" s="23"/>
      <c r="V1164" s="23"/>
      <c r="W1164" s="77">
        <v>45931</v>
      </c>
      <c r="X1164" s="30">
        <v>39142</v>
      </c>
      <c r="Y1164" s="30">
        <v>39142</v>
      </c>
      <c r="Z1164" s="31" t="str">
        <f ca="1">DATEDIF(X1164,TODAY(),"y")&amp;" Tahun "&amp;DATEDIF(X1164,TODAY(),"ym")&amp;" Bulan "&amp;DATEDIF(X1164,TODAY(),"md")&amp;" Hari"</f>
        <v>18 Tahun 7 Bulan 30 Hari</v>
      </c>
      <c r="AA1164" s="31" t="s">
        <v>76</v>
      </c>
      <c r="AB1164" s="32">
        <v>30831</v>
      </c>
      <c r="AC1164" s="31" t="s">
        <v>6092</v>
      </c>
      <c r="AD1164" s="22" t="str">
        <f t="shared" ca="1" si="83"/>
        <v xml:space="preserve">41 Tahun 5 Bulan </v>
      </c>
      <c r="AE1164" s="33" t="s">
        <v>1341</v>
      </c>
      <c r="AF1164" s="34"/>
      <c r="AG1164" s="58" t="s">
        <v>4901</v>
      </c>
      <c r="AH1164" s="22"/>
      <c r="AI1164" s="22"/>
      <c r="AJ1164" s="22"/>
      <c r="AK1164" s="33" t="s">
        <v>5005</v>
      </c>
      <c r="AL1164" s="22"/>
      <c r="AM1164" s="14"/>
    </row>
    <row r="1165" spans="1:39" ht="14.45" customHeight="1" x14ac:dyDescent="0.25">
      <c r="A1165" s="115">
        <v>22</v>
      </c>
      <c r="B1165" s="18"/>
      <c r="C1165" s="50" t="s">
        <v>5072</v>
      </c>
      <c r="D1165" s="20" t="s">
        <v>5073</v>
      </c>
      <c r="E1165" s="58" t="s">
        <v>40</v>
      </c>
      <c r="F1165" s="22" t="s">
        <v>238</v>
      </c>
      <c r="G1165" s="33" t="s">
        <v>3872</v>
      </c>
      <c r="H1165" s="22" t="s">
        <v>239</v>
      </c>
      <c r="I1165" s="22" t="s">
        <v>44</v>
      </c>
      <c r="J1165" s="22" t="s">
        <v>5074</v>
      </c>
      <c r="K1165" s="22"/>
      <c r="L1165" s="22"/>
      <c r="M1165" s="22"/>
      <c r="N1165" s="22"/>
      <c r="O1165" s="22"/>
      <c r="P1165" s="22"/>
      <c r="Q1165" s="22"/>
      <c r="R1165" s="22"/>
      <c r="S1165" s="23" t="s">
        <v>2916</v>
      </c>
      <c r="T1165" s="23"/>
      <c r="U1165" s="23"/>
      <c r="V1165" s="23"/>
      <c r="W1165" s="77">
        <v>45139</v>
      </c>
      <c r="X1165" s="30">
        <v>42095</v>
      </c>
      <c r="Y1165" s="30">
        <v>44253</v>
      </c>
      <c r="Z1165" s="55" t="str">
        <f ca="1">DATEDIF(X1165,TODAY(),"y")&amp;" Tahun "&amp;DATEDIF(X1165,TODAY(),"ym")&amp;" Bulan "&amp;DATEDIF(X1165,TODAY(),"md")&amp;" Hari"</f>
        <v>10 Tahun 6 Bulan 30 Hari</v>
      </c>
      <c r="AA1165" s="55" t="s">
        <v>1453</v>
      </c>
      <c r="AB1165" s="56">
        <v>29654</v>
      </c>
      <c r="AC1165" s="31" t="s">
        <v>5075</v>
      </c>
      <c r="AD1165" s="57" t="str">
        <f t="shared" ca="1" si="83"/>
        <v xml:space="preserve">44 Tahun 7 Bulan </v>
      </c>
      <c r="AE1165" s="33" t="s">
        <v>4118</v>
      </c>
      <c r="AF1165" s="34"/>
      <c r="AG1165" s="22" t="s">
        <v>5076</v>
      </c>
      <c r="AH1165" s="22"/>
      <c r="AI1165" s="22"/>
      <c r="AJ1165" s="22"/>
      <c r="AK1165" s="33" t="s">
        <v>314</v>
      </c>
      <c r="AL1165" s="22"/>
      <c r="AM1165" s="14"/>
    </row>
    <row r="1166" spans="1:39" ht="14.45" customHeight="1" x14ac:dyDescent="0.25">
      <c r="A1166" s="115">
        <v>23</v>
      </c>
      <c r="B1166" s="18"/>
      <c r="C1166" s="50" t="s">
        <v>6093</v>
      </c>
      <c r="D1166" s="20" t="s">
        <v>5077</v>
      </c>
      <c r="E1166" s="21" t="s">
        <v>40</v>
      </c>
      <c r="F1166" s="22" t="s">
        <v>41</v>
      </c>
      <c r="G1166" s="23" t="s">
        <v>137</v>
      </c>
      <c r="H1166" s="22" t="s">
        <v>138</v>
      </c>
      <c r="I1166" s="22" t="s">
        <v>44</v>
      </c>
      <c r="J1166" s="22" t="s">
        <v>5074</v>
      </c>
      <c r="K1166" s="24">
        <v>43466</v>
      </c>
      <c r="L1166" s="22"/>
      <c r="M1166" s="22"/>
      <c r="N1166" s="22"/>
      <c r="O1166" s="22"/>
      <c r="P1166" s="22"/>
      <c r="Q1166" s="22"/>
      <c r="R1166" s="22"/>
      <c r="S1166" s="23" t="s">
        <v>2916</v>
      </c>
      <c r="T1166" s="23"/>
      <c r="U1166" s="23"/>
      <c r="V1166" s="23"/>
      <c r="W1166" s="30">
        <v>38808</v>
      </c>
      <c r="X1166" s="30">
        <v>38808</v>
      </c>
      <c r="Y1166" s="30">
        <v>43864</v>
      </c>
      <c r="Z1166" s="31" t="str">
        <f ca="1">DATEDIF(W1166,TODAY(),"y")&amp;" Tahun "&amp;DATEDIF(W1166,TODAY(),"ym")&amp;" Bulan "&amp;DATEDIF(W1166,TODAY(),"md")&amp;" Hari"</f>
        <v>19 Tahun 6 Bulan 30 Hari</v>
      </c>
      <c r="AA1166" s="31" t="s">
        <v>2159</v>
      </c>
      <c r="AB1166" s="32">
        <v>27723</v>
      </c>
      <c r="AC1166" s="31" t="s">
        <v>5078</v>
      </c>
      <c r="AD1166" s="22" t="str">
        <f t="shared" ca="1" si="83"/>
        <v xml:space="preserve">49 Tahun 11 Bulan </v>
      </c>
      <c r="AE1166" s="33" t="s">
        <v>242</v>
      </c>
      <c r="AF1166" s="34"/>
      <c r="AG1166" s="22" t="s">
        <v>5076</v>
      </c>
      <c r="AH1166" s="22"/>
      <c r="AI1166" s="22"/>
      <c r="AJ1166" s="22"/>
      <c r="AK1166" s="33"/>
      <c r="AL1166" s="22"/>
      <c r="AM1166" s="14"/>
    </row>
    <row r="1167" spans="1:39" ht="14.45" customHeight="1" x14ac:dyDescent="0.25">
      <c r="A1167" s="115">
        <v>24</v>
      </c>
      <c r="B1167" s="18"/>
      <c r="C1167" s="50" t="s">
        <v>5079</v>
      </c>
      <c r="D1167" s="20" t="s">
        <v>5080</v>
      </c>
      <c r="E1167" s="52" t="s">
        <v>56</v>
      </c>
      <c r="F1167" s="22" t="s">
        <v>238</v>
      </c>
      <c r="G1167" s="22" t="s">
        <v>3872</v>
      </c>
      <c r="H1167" s="22" t="s">
        <v>1078</v>
      </c>
      <c r="I1167" s="22" t="s">
        <v>44</v>
      </c>
      <c r="J1167" s="22" t="s">
        <v>1079</v>
      </c>
      <c r="K1167" s="24"/>
      <c r="L1167" s="22"/>
      <c r="M1167" s="22"/>
      <c r="N1167" s="22"/>
      <c r="O1167" s="22"/>
      <c r="P1167" s="22"/>
      <c r="Q1167" s="22"/>
      <c r="R1167" s="22"/>
      <c r="S1167" s="23" t="s">
        <v>1080</v>
      </c>
      <c r="T1167" s="23"/>
      <c r="U1167" s="23"/>
      <c r="V1167" s="23"/>
      <c r="W1167" s="77">
        <v>45139</v>
      </c>
      <c r="X1167" s="30">
        <v>40330</v>
      </c>
      <c r="Y1167" s="30">
        <v>40546</v>
      </c>
      <c r="Z1167" s="31" t="str">
        <f t="shared" ref="Z1167:Z1185" ca="1" si="86">DATEDIF(X1167,TODAY(),"y")&amp;" Tahun "&amp;DATEDIF(X1167,TODAY(),"ym")&amp;" Bulan "&amp;DATEDIF(X1167,TODAY(),"md")&amp;" Hari"</f>
        <v>15 Tahun 4 Bulan 30 Hari</v>
      </c>
      <c r="AA1167" s="31" t="s">
        <v>76</v>
      </c>
      <c r="AB1167" s="32">
        <v>31775</v>
      </c>
      <c r="AC1167" s="31" t="s">
        <v>5081</v>
      </c>
      <c r="AD1167" s="57" t="str">
        <f t="shared" ca="1" si="83"/>
        <v xml:space="preserve">38 Tahun 10 Bulan </v>
      </c>
      <c r="AE1167" s="33" t="s">
        <v>1069</v>
      </c>
      <c r="AF1167" s="34"/>
      <c r="AG1167" s="22" t="s">
        <v>5076</v>
      </c>
      <c r="AH1167" s="22"/>
      <c r="AI1167" s="22"/>
      <c r="AJ1167" s="22"/>
      <c r="AK1167" s="33" t="s">
        <v>314</v>
      </c>
      <c r="AL1167" s="22"/>
      <c r="AM1167" s="14"/>
    </row>
    <row r="1168" spans="1:39" ht="14.45" customHeight="1" x14ac:dyDescent="0.25">
      <c r="A1168" s="115">
        <v>25</v>
      </c>
      <c r="B1168" s="18"/>
      <c r="C1168" s="50" t="s">
        <v>5082</v>
      </c>
      <c r="D1168" s="20" t="s">
        <v>5083</v>
      </c>
      <c r="E1168" s="52" t="s">
        <v>40</v>
      </c>
      <c r="F1168" s="22" t="s">
        <v>238</v>
      </c>
      <c r="G1168" s="22" t="s">
        <v>3872</v>
      </c>
      <c r="H1168" s="22" t="s">
        <v>239</v>
      </c>
      <c r="I1168" s="22" t="s">
        <v>44</v>
      </c>
      <c r="J1168" s="22" t="s">
        <v>5074</v>
      </c>
      <c r="K1168" s="22"/>
      <c r="L1168" s="22"/>
      <c r="M1168" s="22"/>
      <c r="N1168" s="22"/>
      <c r="O1168" s="22"/>
      <c r="P1168" s="22"/>
      <c r="Q1168" s="22"/>
      <c r="R1168" s="22"/>
      <c r="S1168" s="23" t="s">
        <v>2916</v>
      </c>
      <c r="T1168" s="23"/>
      <c r="U1168" s="23"/>
      <c r="V1168" s="23"/>
      <c r="W1168" s="77">
        <v>45139</v>
      </c>
      <c r="X1168" s="30">
        <v>40695</v>
      </c>
      <c r="Y1168" s="30">
        <v>41791</v>
      </c>
      <c r="Z1168" s="55" t="str">
        <f t="shared" ca="1" si="86"/>
        <v>14 Tahun 4 Bulan 30 Hari</v>
      </c>
      <c r="AA1168" s="55" t="s">
        <v>76</v>
      </c>
      <c r="AB1168" s="56">
        <v>32604</v>
      </c>
      <c r="AC1168" s="31" t="s">
        <v>5084</v>
      </c>
      <c r="AD1168" s="57" t="str">
        <f t="shared" ca="1" si="83"/>
        <v xml:space="preserve">36 Tahun 6 Bulan </v>
      </c>
      <c r="AE1168" s="33" t="s">
        <v>5085</v>
      </c>
      <c r="AF1168" s="71"/>
      <c r="AG1168" s="22" t="s">
        <v>5076</v>
      </c>
      <c r="AH1168" s="22"/>
      <c r="AI1168" s="22"/>
      <c r="AJ1168" s="22"/>
      <c r="AK1168" s="33" t="s">
        <v>485</v>
      </c>
      <c r="AL1168" s="22"/>
      <c r="AM1168" s="14"/>
    </row>
    <row r="1169" spans="1:39" ht="14.45" customHeight="1" x14ac:dyDescent="0.25">
      <c r="A1169" s="115">
        <v>26</v>
      </c>
      <c r="B1169" s="18"/>
      <c r="C1169" s="50" t="s">
        <v>5086</v>
      </c>
      <c r="D1169" s="20" t="s">
        <v>5087</v>
      </c>
      <c r="E1169" s="58" t="s">
        <v>40</v>
      </c>
      <c r="F1169" s="22" t="s">
        <v>238</v>
      </c>
      <c r="G1169" s="33" t="s">
        <v>3872</v>
      </c>
      <c r="H1169" s="22" t="s">
        <v>239</v>
      </c>
      <c r="I1169" s="22" t="s">
        <v>44</v>
      </c>
      <c r="J1169" s="22" t="s">
        <v>5074</v>
      </c>
      <c r="K1169" s="30"/>
      <c r="L1169" s="22"/>
      <c r="M1169" s="22"/>
      <c r="N1169" s="22"/>
      <c r="O1169" s="22"/>
      <c r="P1169" s="22"/>
      <c r="Q1169" s="22"/>
      <c r="R1169" s="22"/>
      <c r="S1169" s="33" t="s">
        <v>2916</v>
      </c>
      <c r="T1169" s="33"/>
      <c r="U1169" s="33"/>
      <c r="V1169" s="33"/>
      <c r="W1169" s="30">
        <v>45383</v>
      </c>
      <c r="X1169" s="30">
        <v>42125</v>
      </c>
      <c r="Y1169" s="30">
        <v>42126</v>
      </c>
      <c r="Z1169" s="55" t="str">
        <f t="shared" ca="1" si="86"/>
        <v>10 Tahun 5 Bulan 30 Hari</v>
      </c>
      <c r="AA1169" s="55" t="s">
        <v>76</v>
      </c>
      <c r="AB1169" s="56">
        <v>32543</v>
      </c>
      <c r="AC1169" s="31" t="s">
        <v>5088</v>
      </c>
      <c r="AD1169" s="57" t="str">
        <f t="shared" ca="1" si="83"/>
        <v xml:space="preserve">36 Tahun 8 Bulan </v>
      </c>
      <c r="AE1169" s="33" t="s">
        <v>5089</v>
      </c>
      <c r="AF1169" s="79"/>
      <c r="AG1169" s="22" t="s">
        <v>5076</v>
      </c>
      <c r="AH1169" s="22"/>
      <c r="AI1169" s="22"/>
      <c r="AJ1169" s="22"/>
      <c r="AK1169" s="33" t="s">
        <v>314</v>
      </c>
      <c r="AL1169" s="22"/>
      <c r="AM1169" s="14"/>
    </row>
    <row r="1170" spans="1:39" ht="14.45" customHeight="1" x14ac:dyDescent="0.25">
      <c r="A1170" s="115">
        <v>27</v>
      </c>
      <c r="B1170" s="18"/>
      <c r="C1170" s="50" t="s">
        <v>5090</v>
      </c>
      <c r="D1170" s="20" t="s">
        <v>5091</v>
      </c>
      <c r="E1170" s="22" t="s">
        <v>40</v>
      </c>
      <c r="F1170" s="22" t="s">
        <v>238</v>
      </c>
      <c r="G1170" s="22" t="s">
        <v>3872</v>
      </c>
      <c r="H1170" s="22" t="s">
        <v>239</v>
      </c>
      <c r="I1170" s="22" t="s">
        <v>44</v>
      </c>
      <c r="J1170" s="22" t="s">
        <v>5074</v>
      </c>
      <c r="K1170" s="22"/>
      <c r="L1170" s="22"/>
      <c r="M1170" s="22"/>
      <c r="N1170" s="22"/>
      <c r="O1170" s="22"/>
      <c r="P1170" s="22"/>
      <c r="Q1170" s="22"/>
      <c r="R1170" s="22"/>
      <c r="S1170" s="23" t="s">
        <v>2916</v>
      </c>
      <c r="T1170" s="23"/>
      <c r="U1170" s="23"/>
      <c r="V1170" s="23"/>
      <c r="W1170" s="77">
        <v>45139</v>
      </c>
      <c r="X1170" s="30">
        <v>42370</v>
      </c>
      <c r="Y1170" s="30">
        <v>42401</v>
      </c>
      <c r="Z1170" s="31" t="str">
        <f t="shared" ca="1" si="86"/>
        <v>9 Tahun 9 Bulan 30 Hari</v>
      </c>
      <c r="AA1170" s="31" t="s">
        <v>76</v>
      </c>
      <c r="AB1170" s="32">
        <v>33048</v>
      </c>
      <c r="AC1170" s="31" t="s">
        <v>5092</v>
      </c>
      <c r="AD1170" s="22" t="str">
        <f t="shared" ca="1" si="83"/>
        <v xml:space="preserve">35 Tahun 4 Bulan </v>
      </c>
      <c r="AE1170" s="33" t="s">
        <v>5089</v>
      </c>
      <c r="AF1170" s="34"/>
      <c r="AG1170" s="22" t="s">
        <v>5076</v>
      </c>
      <c r="AH1170" s="22"/>
      <c r="AI1170" s="22"/>
      <c r="AJ1170" s="22"/>
      <c r="AK1170" s="33" t="s">
        <v>314</v>
      </c>
      <c r="AL1170" s="22"/>
      <c r="AM1170" s="14"/>
    </row>
    <row r="1171" spans="1:39" ht="14.45" customHeight="1" x14ac:dyDescent="0.25">
      <c r="A1171" s="115">
        <v>28</v>
      </c>
      <c r="B1171" s="18"/>
      <c r="C1171" s="50" t="s">
        <v>5093</v>
      </c>
      <c r="D1171" s="20" t="s">
        <v>5094</v>
      </c>
      <c r="E1171" s="58" t="s">
        <v>40</v>
      </c>
      <c r="F1171" s="58" t="s">
        <v>238</v>
      </c>
      <c r="G1171" s="22" t="s">
        <v>3872</v>
      </c>
      <c r="H1171" s="22" t="s">
        <v>1078</v>
      </c>
      <c r="I1171" s="22" t="s">
        <v>44</v>
      </c>
      <c r="J1171" s="22" t="s">
        <v>1079</v>
      </c>
      <c r="K1171" s="24"/>
      <c r="L1171" s="22"/>
      <c r="M1171" s="22"/>
      <c r="N1171" s="22"/>
      <c r="O1171" s="22"/>
      <c r="P1171" s="22"/>
      <c r="Q1171" s="22"/>
      <c r="R1171" s="22"/>
      <c r="S1171" s="23" t="s">
        <v>1080</v>
      </c>
      <c r="T1171" s="23"/>
      <c r="U1171" s="23"/>
      <c r="V1171" s="23"/>
      <c r="W1171" s="77">
        <v>45139</v>
      </c>
      <c r="X1171" s="30">
        <v>42370</v>
      </c>
      <c r="Y1171" s="30">
        <v>42401</v>
      </c>
      <c r="Z1171" s="55" t="str">
        <f t="shared" ca="1" si="86"/>
        <v>9 Tahun 9 Bulan 30 Hari</v>
      </c>
      <c r="AA1171" s="55" t="s">
        <v>1279</v>
      </c>
      <c r="AB1171" s="56">
        <v>31977</v>
      </c>
      <c r="AC1171" s="31" t="s">
        <v>5095</v>
      </c>
      <c r="AD1171" s="57" t="str">
        <f t="shared" ca="1" si="83"/>
        <v xml:space="preserve">38 Tahun 3 Bulan </v>
      </c>
      <c r="AE1171" s="33" t="s">
        <v>5096</v>
      </c>
      <c r="AF1171" s="71"/>
      <c r="AG1171" s="22" t="s">
        <v>5076</v>
      </c>
      <c r="AH1171" s="22"/>
      <c r="AI1171" s="22"/>
      <c r="AJ1171" s="22"/>
      <c r="AK1171" s="33" t="s">
        <v>485</v>
      </c>
      <c r="AL1171" s="22"/>
      <c r="AM1171" s="14"/>
    </row>
    <row r="1172" spans="1:39" ht="14.45" customHeight="1" x14ac:dyDescent="0.25">
      <c r="A1172" s="115">
        <v>29</v>
      </c>
      <c r="B1172" s="18"/>
      <c r="C1172" s="50" t="s">
        <v>5097</v>
      </c>
      <c r="D1172" s="20" t="s">
        <v>5098</v>
      </c>
      <c r="E1172" s="58" t="s">
        <v>56</v>
      </c>
      <c r="F1172" s="22" t="s">
        <v>41</v>
      </c>
      <c r="G1172" s="22" t="s">
        <v>1547</v>
      </c>
      <c r="H1172" s="22" t="s">
        <v>1548</v>
      </c>
      <c r="I1172" s="22" t="s">
        <v>44</v>
      </c>
      <c r="J1172" s="22" t="s">
        <v>1079</v>
      </c>
      <c r="K1172" s="24">
        <v>44621</v>
      </c>
      <c r="L1172" s="22"/>
      <c r="M1172" s="22"/>
      <c r="N1172" s="22"/>
      <c r="O1172" s="22"/>
      <c r="P1172" s="22"/>
      <c r="Q1172" s="22"/>
      <c r="R1172" s="22"/>
      <c r="S1172" s="23" t="s">
        <v>1080</v>
      </c>
      <c r="T1172" s="23"/>
      <c r="U1172" s="23"/>
      <c r="V1172" s="23"/>
      <c r="W1172" s="24">
        <v>44621</v>
      </c>
      <c r="X1172" s="30">
        <v>42370</v>
      </c>
      <c r="Y1172" s="30">
        <v>42401</v>
      </c>
      <c r="Z1172" s="55" t="str">
        <f t="shared" ca="1" si="86"/>
        <v>9 Tahun 9 Bulan 30 Hari</v>
      </c>
      <c r="AA1172" s="55" t="s">
        <v>50</v>
      </c>
      <c r="AB1172" s="56">
        <v>34064</v>
      </c>
      <c r="AC1172" s="31" t="s">
        <v>5099</v>
      </c>
      <c r="AD1172" s="57" t="str">
        <f t="shared" ca="1" si="83"/>
        <v xml:space="preserve">32 Tahun 6 Bulan </v>
      </c>
      <c r="AE1172" s="33" t="s">
        <v>1069</v>
      </c>
      <c r="AF1172" s="79"/>
      <c r="AG1172" s="22" t="s">
        <v>5076</v>
      </c>
      <c r="AH1172" s="22"/>
      <c r="AI1172" s="22"/>
      <c r="AJ1172" s="22"/>
      <c r="AK1172" s="33" t="s">
        <v>314</v>
      </c>
      <c r="AL1172" s="22"/>
      <c r="AM1172" s="14"/>
    </row>
    <row r="1173" spans="1:39" ht="14.45" customHeight="1" x14ac:dyDescent="0.25">
      <c r="A1173" s="115">
        <v>30</v>
      </c>
      <c r="B1173" s="18">
        <v>1407</v>
      </c>
      <c r="C1173" s="50" t="s">
        <v>6094</v>
      </c>
      <c r="D1173" s="20" t="s">
        <v>5101</v>
      </c>
      <c r="E1173" s="58" t="s">
        <v>40</v>
      </c>
      <c r="F1173" s="58" t="s">
        <v>238</v>
      </c>
      <c r="G1173" s="22" t="s">
        <v>3872</v>
      </c>
      <c r="H1173" s="22" t="s">
        <v>239</v>
      </c>
      <c r="I1173" s="22" t="s">
        <v>44</v>
      </c>
      <c r="J1173" s="22" t="s">
        <v>5074</v>
      </c>
      <c r="K1173" s="22"/>
      <c r="L1173" s="22"/>
      <c r="M1173" s="22"/>
      <c r="N1173" s="22"/>
      <c r="O1173" s="22"/>
      <c r="P1173" s="22"/>
      <c r="Q1173" s="22"/>
      <c r="R1173" s="22"/>
      <c r="S1173" s="23" t="s">
        <v>299</v>
      </c>
      <c r="T1173" s="23"/>
      <c r="U1173" s="23"/>
      <c r="V1173" s="23"/>
      <c r="W1173" s="77">
        <v>45261</v>
      </c>
      <c r="X1173" s="30">
        <v>44197</v>
      </c>
      <c r="Y1173" s="30">
        <v>44197</v>
      </c>
      <c r="Z1173" s="55" t="str">
        <f t="shared" ca="1" si="86"/>
        <v>4 Tahun 9 Bulan 30 Hari</v>
      </c>
      <c r="AA1173" s="55" t="s">
        <v>128</v>
      </c>
      <c r="AB1173" s="56">
        <v>34249</v>
      </c>
      <c r="AC1173" s="31" t="s">
        <v>5102</v>
      </c>
      <c r="AD1173" s="57" t="str">
        <f t="shared" ca="1" si="83"/>
        <v xml:space="preserve">32 Tahun 0 Bulan </v>
      </c>
      <c r="AE1173" s="33" t="s">
        <v>5089</v>
      </c>
      <c r="AF1173" s="71"/>
      <c r="AG1173" s="22" t="s">
        <v>5076</v>
      </c>
      <c r="AH1173" s="22"/>
      <c r="AI1173" s="22"/>
      <c r="AJ1173" s="22"/>
      <c r="AK1173" s="33" t="s">
        <v>485</v>
      </c>
      <c r="AL1173" s="22"/>
      <c r="AM1173" s="14"/>
    </row>
    <row r="1174" spans="1:39" ht="14.45" customHeight="1" x14ac:dyDescent="0.25">
      <c r="A1174" s="115">
        <v>31</v>
      </c>
      <c r="B1174" s="18">
        <v>1408</v>
      </c>
      <c r="C1174" s="50" t="s">
        <v>6095</v>
      </c>
      <c r="D1174" s="20" t="s">
        <v>6096</v>
      </c>
      <c r="E1174" s="58" t="s">
        <v>40</v>
      </c>
      <c r="F1174" s="60" t="s">
        <v>238</v>
      </c>
      <c r="G1174" s="22" t="s">
        <v>3872</v>
      </c>
      <c r="H1174" s="60" t="s">
        <v>239</v>
      </c>
      <c r="I1174" s="60" t="s">
        <v>44</v>
      </c>
      <c r="J1174" s="60" t="s">
        <v>5074</v>
      </c>
      <c r="K1174" s="22"/>
      <c r="L1174" s="22"/>
      <c r="M1174" s="22"/>
      <c r="N1174" s="22"/>
      <c r="O1174" s="22"/>
      <c r="P1174" s="22"/>
      <c r="Q1174" s="22"/>
      <c r="R1174" s="22"/>
      <c r="S1174" s="23" t="s">
        <v>2916</v>
      </c>
      <c r="T1174" s="23"/>
      <c r="U1174" s="23"/>
      <c r="V1174" s="23"/>
      <c r="W1174" s="77">
        <v>45931</v>
      </c>
      <c r="X1174" s="30">
        <v>44197</v>
      </c>
      <c r="Y1174" s="30">
        <v>44197</v>
      </c>
      <c r="Z1174" s="55" t="str">
        <f t="shared" ca="1" si="86"/>
        <v>4 Tahun 9 Bulan 30 Hari</v>
      </c>
      <c r="AA1174" s="55" t="s">
        <v>128</v>
      </c>
      <c r="AB1174" s="56">
        <v>34320</v>
      </c>
      <c r="AC1174" s="31" t="s">
        <v>6097</v>
      </c>
      <c r="AD1174" s="57" t="str">
        <f t="shared" ca="1" si="83"/>
        <v xml:space="preserve">31 Tahun 10 Bulan </v>
      </c>
      <c r="AE1174" s="33" t="s">
        <v>5089</v>
      </c>
      <c r="AF1174" s="71"/>
      <c r="AG1174" s="22" t="s">
        <v>5076</v>
      </c>
      <c r="AH1174" s="22"/>
      <c r="AI1174" s="22"/>
      <c r="AJ1174" s="22"/>
      <c r="AK1174" s="33" t="s">
        <v>308</v>
      </c>
      <c r="AL1174" s="22"/>
      <c r="AM1174" s="14"/>
    </row>
    <row r="1175" spans="1:39" ht="14.45" customHeight="1" x14ac:dyDescent="0.25">
      <c r="A1175" s="115">
        <v>32</v>
      </c>
      <c r="B1175" s="18">
        <v>1409</v>
      </c>
      <c r="C1175" s="50" t="s">
        <v>6098</v>
      </c>
      <c r="D1175" s="20" t="s">
        <v>6099</v>
      </c>
      <c r="E1175" s="22" t="s">
        <v>40</v>
      </c>
      <c r="F1175" s="22" t="s">
        <v>238</v>
      </c>
      <c r="G1175" s="6" t="s">
        <v>3872</v>
      </c>
      <c r="H1175" s="22" t="s">
        <v>239</v>
      </c>
      <c r="I1175" s="22" t="s">
        <v>44</v>
      </c>
      <c r="J1175" s="60" t="s">
        <v>5074</v>
      </c>
      <c r="K1175" s="22"/>
      <c r="L1175" s="22"/>
      <c r="M1175" s="22"/>
      <c r="N1175" s="22"/>
      <c r="O1175" s="22"/>
      <c r="P1175" s="22"/>
      <c r="Q1175" s="22"/>
      <c r="R1175" s="22"/>
      <c r="S1175" s="23" t="s">
        <v>2916</v>
      </c>
      <c r="T1175" s="23"/>
      <c r="U1175" s="23"/>
      <c r="V1175" s="23"/>
      <c r="W1175" s="77">
        <v>45931</v>
      </c>
      <c r="X1175" s="30">
        <v>44197</v>
      </c>
      <c r="Y1175" s="30">
        <v>44197</v>
      </c>
      <c r="Z1175" s="31" t="str">
        <f t="shared" ca="1" si="86"/>
        <v>4 Tahun 9 Bulan 30 Hari</v>
      </c>
      <c r="AA1175" s="31" t="s">
        <v>563</v>
      </c>
      <c r="AB1175" s="32">
        <v>34588</v>
      </c>
      <c r="AC1175" s="31" t="s">
        <v>6100</v>
      </c>
      <c r="AD1175" s="22" t="str">
        <f t="shared" ca="1" si="83"/>
        <v xml:space="preserve">31 Tahun 1 Bulan </v>
      </c>
      <c r="AE1175" s="33" t="s">
        <v>5089</v>
      </c>
      <c r="AF1175" s="71"/>
      <c r="AG1175" s="22" t="s">
        <v>5076</v>
      </c>
      <c r="AH1175" s="22"/>
      <c r="AI1175" s="22"/>
      <c r="AJ1175" s="22"/>
      <c r="AK1175" s="33" t="s">
        <v>308</v>
      </c>
      <c r="AL1175" s="22" t="s">
        <v>5055</v>
      </c>
      <c r="AM1175" s="14"/>
    </row>
    <row r="1176" spans="1:39" ht="14.45" customHeight="1" x14ac:dyDescent="0.25">
      <c r="A1176" s="115">
        <v>33</v>
      </c>
      <c r="B1176" s="18">
        <v>1413</v>
      </c>
      <c r="C1176" s="50" t="s">
        <v>5104</v>
      </c>
      <c r="D1176" s="20" t="s">
        <v>6101</v>
      </c>
      <c r="E1176" s="58" t="s">
        <v>40</v>
      </c>
      <c r="F1176" s="58" t="s">
        <v>238</v>
      </c>
      <c r="G1176" s="22" t="s">
        <v>3872</v>
      </c>
      <c r="H1176" s="22" t="s">
        <v>239</v>
      </c>
      <c r="I1176" s="22" t="s">
        <v>44</v>
      </c>
      <c r="J1176" s="60" t="s">
        <v>5074</v>
      </c>
      <c r="K1176" s="22"/>
      <c r="L1176" s="22"/>
      <c r="M1176" s="22"/>
      <c r="N1176" s="22"/>
      <c r="O1176" s="22"/>
      <c r="P1176" s="22"/>
      <c r="Q1176" s="22"/>
      <c r="R1176" s="22"/>
      <c r="S1176" s="23" t="s">
        <v>2916</v>
      </c>
      <c r="T1176" s="23"/>
      <c r="U1176" s="23"/>
      <c r="V1176" s="23"/>
      <c r="W1176" s="77">
        <v>45931</v>
      </c>
      <c r="X1176" s="30">
        <v>44230</v>
      </c>
      <c r="Y1176" s="30">
        <v>44230</v>
      </c>
      <c r="Z1176" s="55" t="str">
        <f t="shared" ca="1" si="86"/>
        <v>4 Tahun 8 Bulan 28 Hari</v>
      </c>
      <c r="AA1176" s="55" t="s">
        <v>1331</v>
      </c>
      <c r="AB1176" s="56">
        <v>31763</v>
      </c>
      <c r="AC1176" s="31" t="s">
        <v>6102</v>
      </c>
      <c r="AD1176" s="57" t="str">
        <f t="shared" ca="1" si="83"/>
        <v xml:space="preserve">38 Tahun 10 Bulan </v>
      </c>
      <c r="AE1176" s="33" t="s">
        <v>5089</v>
      </c>
      <c r="AF1176" s="71"/>
      <c r="AG1176" s="22" t="s">
        <v>5076</v>
      </c>
      <c r="AH1176" s="22"/>
      <c r="AI1176" s="22"/>
      <c r="AJ1176" s="22"/>
      <c r="AK1176" s="33" t="s">
        <v>485</v>
      </c>
      <c r="AL1176" s="22"/>
      <c r="AM1176" s="14"/>
    </row>
    <row r="1177" spans="1:39" ht="14.45" customHeight="1" x14ac:dyDescent="0.25">
      <c r="A1177" s="115">
        <v>34</v>
      </c>
      <c r="B1177" s="18"/>
      <c r="C1177" s="50" t="s">
        <v>5105</v>
      </c>
      <c r="D1177" s="20" t="s">
        <v>5106</v>
      </c>
      <c r="E1177" s="58" t="s">
        <v>40</v>
      </c>
      <c r="F1177" s="58" t="s">
        <v>41</v>
      </c>
      <c r="G1177" s="22" t="s">
        <v>1547</v>
      </c>
      <c r="H1177" s="22" t="s">
        <v>1548</v>
      </c>
      <c r="I1177" s="22" t="s">
        <v>44</v>
      </c>
      <c r="J1177" s="22" t="s">
        <v>1079</v>
      </c>
      <c r="K1177" s="24">
        <v>44621</v>
      </c>
      <c r="L1177" s="22"/>
      <c r="M1177" s="22"/>
      <c r="N1177" s="22"/>
      <c r="O1177" s="22"/>
      <c r="P1177" s="22"/>
      <c r="Q1177" s="22"/>
      <c r="R1177" s="22"/>
      <c r="S1177" s="23" t="s">
        <v>1080</v>
      </c>
      <c r="T1177" s="23"/>
      <c r="U1177" s="23"/>
      <c r="V1177" s="23"/>
      <c r="W1177" s="24">
        <v>44621</v>
      </c>
      <c r="X1177" s="24">
        <v>44621</v>
      </c>
      <c r="Y1177" s="24">
        <v>44621</v>
      </c>
      <c r="Z1177" s="31" t="str">
        <f t="shared" ca="1" si="86"/>
        <v>3 Tahun 7 Bulan 30 Hari</v>
      </c>
      <c r="AA1177" s="55" t="s">
        <v>171</v>
      </c>
      <c r="AB1177" s="56">
        <v>32973</v>
      </c>
      <c r="AC1177" s="31" t="s">
        <v>5107</v>
      </c>
      <c r="AD1177" s="57" t="str">
        <f t="shared" ca="1" si="83"/>
        <v xml:space="preserve">35 Tahun 6 Bulan </v>
      </c>
      <c r="AE1177" s="33" t="s">
        <v>1069</v>
      </c>
      <c r="AF1177" s="71"/>
      <c r="AG1177" s="22" t="s">
        <v>5076</v>
      </c>
      <c r="AH1177" s="22"/>
      <c r="AI1177" s="22"/>
      <c r="AJ1177" s="22"/>
      <c r="AK1177" s="33"/>
      <c r="AL1177" s="36"/>
    </row>
    <row r="1178" spans="1:39" ht="14.45" customHeight="1" x14ac:dyDescent="0.25">
      <c r="A1178" s="115">
        <v>35</v>
      </c>
      <c r="B1178" s="18"/>
      <c r="C1178" s="50" t="s">
        <v>5108</v>
      </c>
      <c r="D1178" s="20" t="s">
        <v>5109</v>
      </c>
      <c r="E1178" s="58" t="s">
        <v>40</v>
      </c>
      <c r="F1178" s="58" t="s">
        <v>41</v>
      </c>
      <c r="G1178" s="23" t="s">
        <v>193</v>
      </c>
      <c r="H1178" s="22" t="s">
        <v>194</v>
      </c>
      <c r="I1178" s="22" t="s">
        <v>44</v>
      </c>
      <c r="J1178" s="22" t="s">
        <v>5074</v>
      </c>
      <c r="K1178" s="24">
        <v>44621</v>
      </c>
      <c r="L1178" s="22"/>
      <c r="M1178" s="22"/>
      <c r="N1178" s="22"/>
      <c r="O1178" s="22"/>
      <c r="P1178" s="22"/>
      <c r="Q1178" s="22"/>
      <c r="R1178" s="22"/>
      <c r="S1178" s="33" t="s">
        <v>2916</v>
      </c>
      <c r="T1178" s="33"/>
      <c r="U1178" s="33"/>
      <c r="V1178" s="33"/>
      <c r="W1178" s="30">
        <v>44621</v>
      </c>
      <c r="X1178" s="30">
        <v>42370</v>
      </c>
      <c r="Y1178" s="30">
        <v>42401</v>
      </c>
      <c r="Z1178" s="55" t="str">
        <f t="shared" ca="1" si="86"/>
        <v>9 Tahun 9 Bulan 30 Hari</v>
      </c>
      <c r="AA1178" s="66" t="s">
        <v>260</v>
      </c>
      <c r="AB1178" s="56">
        <v>33857</v>
      </c>
      <c r="AC1178" s="31" t="s">
        <v>5110</v>
      </c>
      <c r="AD1178" s="57" t="str">
        <f t="shared" ca="1" si="83"/>
        <v xml:space="preserve">33 Tahun 1 Bulan </v>
      </c>
      <c r="AE1178" s="33" t="s">
        <v>242</v>
      </c>
      <c r="AF1178" s="71" t="s">
        <v>3444</v>
      </c>
      <c r="AG1178" s="22" t="s">
        <v>5076</v>
      </c>
      <c r="AH1178" s="22"/>
      <c r="AI1178" s="22"/>
      <c r="AJ1178" s="60"/>
      <c r="AK1178" s="61"/>
      <c r="AL1178" s="36"/>
    </row>
    <row r="1179" spans="1:39" ht="14.45" customHeight="1" x14ac:dyDescent="0.25">
      <c r="A1179" s="115">
        <v>36</v>
      </c>
      <c r="B1179" s="18"/>
      <c r="C1179" s="50" t="s">
        <v>5111</v>
      </c>
      <c r="D1179" s="20" t="s">
        <v>5112</v>
      </c>
      <c r="E1179" s="58" t="s">
        <v>56</v>
      </c>
      <c r="F1179" s="58" t="s">
        <v>41</v>
      </c>
      <c r="G1179" s="22" t="s">
        <v>193</v>
      </c>
      <c r="H1179" s="22" t="s">
        <v>194</v>
      </c>
      <c r="I1179" s="22" t="s">
        <v>44</v>
      </c>
      <c r="J1179" s="22" t="s">
        <v>5074</v>
      </c>
      <c r="K1179" s="24">
        <v>44621</v>
      </c>
      <c r="L1179" s="22"/>
      <c r="M1179" s="22"/>
      <c r="N1179" s="22"/>
      <c r="O1179" s="22"/>
      <c r="P1179" s="22"/>
      <c r="Q1179" s="22"/>
      <c r="R1179" s="22"/>
      <c r="S1179" s="23" t="s">
        <v>2916</v>
      </c>
      <c r="T1179" s="23"/>
      <c r="U1179" s="23"/>
      <c r="V1179" s="23"/>
      <c r="W1179" s="24">
        <v>44621</v>
      </c>
      <c r="X1179" s="24">
        <v>44621</v>
      </c>
      <c r="Y1179" s="24">
        <v>44621</v>
      </c>
      <c r="Z1179" s="55" t="str">
        <f t="shared" ca="1" si="86"/>
        <v>3 Tahun 7 Bulan 30 Hari</v>
      </c>
      <c r="AA1179" s="55" t="s">
        <v>76</v>
      </c>
      <c r="AB1179" s="56">
        <v>36015</v>
      </c>
      <c r="AC1179" s="31" t="s">
        <v>5113</v>
      </c>
      <c r="AD1179" s="57" t="str">
        <f t="shared" ca="1" si="83"/>
        <v xml:space="preserve">27 Tahun 2 Bulan </v>
      </c>
      <c r="AE1179" s="33" t="s">
        <v>242</v>
      </c>
      <c r="AF1179" s="71"/>
      <c r="AG1179" s="22" t="s">
        <v>5076</v>
      </c>
      <c r="AH1179" s="58"/>
      <c r="AI1179" s="58"/>
      <c r="AJ1179" s="58"/>
      <c r="AK1179" s="85"/>
      <c r="AL1179" s="36"/>
    </row>
    <row r="1180" spans="1:39" ht="14.45" customHeight="1" x14ac:dyDescent="0.25">
      <c r="A1180" s="115">
        <v>37</v>
      </c>
      <c r="B1180" s="18"/>
      <c r="C1180" s="50" t="s">
        <v>5114</v>
      </c>
      <c r="D1180" s="20" t="s">
        <v>5115</v>
      </c>
      <c r="E1180" s="58" t="s">
        <v>40</v>
      </c>
      <c r="F1180" s="58" t="s">
        <v>41</v>
      </c>
      <c r="G1180" s="22" t="s">
        <v>193</v>
      </c>
      <c r="H1180" s="22" t="s">
        <v>194</v>
      </c>
      <c r="I1180" s="22" t="s">
        <v>44</v>
      </c>
      <c r="J1180" s="22" t="s">
        <v>5074</v>
      </c>
      <c r="K1180" s="24">
        <v>44621</v>
      </c>
      <c r="L1180" s="22"/>
      <c r="M1180" s="22"/>
      <c r="N1180" s="22"/>
      <c r="O1180" s="22"/>
      <c r="P1180" s="22"/>
      <c r="Q1180" s="22"/>
      <c r="R1180" s="22"/>
      <c r="S1180" s="23" t="s">
        <v>2916</v>
      </c>
      <c r="T1180" s="23"/>
      <c r="U1180" s="23"/>
      <c r="V1180" s="23"/>
      <c r="W1180" s="24">
        <v>44621</v>
      </c>
      <c r="X1180" s="24">
        <v>44621</v>
      </c>
      <c r="Y1180" s="24">
        <v>44621</v>
      </c>
      <c r="Z1180" s="31" t="str">
        <f t="shared" ca="1" si="86"/>
        <v>3 Tahun 7 Bulan 30 Hari</v>
      </c>
      <c r="AA1180" s="55" t="s">
        <v>297</v>
      </c>
      <c r="AB1180" s="56">
        <v>32725</v>
      </c>
      <c r="AC1180" s="31" t="s">
        <v>5116</v>
      </c>
      <c r="AD1180" s="57" t="str">
        <f t="shared" ca="1" si="83"/>
        <v xml:space="preserve">36 Tahun 2 Bulan </v>
      </c>
      <c r="AE1180" s="33" t="s">
        <v>242</v>
      </c>
      <c r="AF1180" s="71"/>
      <c r="AG1180" s="22" t="s">
        <v>5076</v>
      </c>
      <c r="AH1180" s="22"/>
      <c r="AI1180" s="22"/>
      <c r="AJ1180" s="22"/>
      <c r="AK1180" s="33"/>
      <c r="AL1180" s="36"/>
    </row>
    <row r="1181" spans="1:39" ht="14.45" customHeight="1" x14ac:dyDescent="0.25">
      <c r="A1181" s="115">
        <v>38</v>
      </c>
      <c r="B1181" s="18"/>
      <c r="C1181" s="50" t="s">
        <v>5117</v>
      </c>
      <c r="D1181" s="20" t="s">
        <v>5118</v>
      </c>
      <c r="E1181" s="58" t="s">
        <v>40</v>
      </c>
      <c r="F1181" s="58" t="s">
        <v>238</v>
      </c>
      <c r="G1181" s="22" t="s">
        <v>3872</v>
      </c>
      <c r="H1181" s="22" t="s">
        <v>1078</v>
      </c>
      <c r="I1181" s="22" t="s">
        <v>44</v>
      </c>
      <c r="J1181" s="22" t="s">
        <v>1079</v>
      </c>
      <c r="K1181" s="24"/>
      <c r="L1181" s="22"/>
      <c r="M1181" s="22"/>
      <c r="N1181" s="22"/>
      <c r="O1181" s="22"/>
      <c r="P1181" s="22"/>
      <c r="Q1181" s="22"/>
      <c r="R1181" s="22"/>
      <c r="S1181" s="23" t="s">
        <v>1080</v>
      </c>
      <c r="T1181" s="23"/>
      <c r="U1181" s="23"/>
      <c r="V1181" s="23"/>
      <c r="W1181" s="24">
        <v>45139</v>
      </c>
      <c r="X1181" s="24">
        <v>45139</v>
      </c>
      <c r="Y1181" s="24">
        <v>45139</v>
      </c>
      <c r="Z1181" s="55" t="str">
        <f t="shared" ca="1" si="86"/>
        <v>2 Tahun 2 Bulan 30 Hari</v>
      </c>
      <c r="AA1181" s="55" t="s">
        <v>76</v>
      </c>
      <c r="AB1181" s="56">
        <v>32601</v>
      </c>
      <c r="AC1181" s="31" t="s">
        <v>5119</v>
      </c>
      <c r="AD1181" s="57" t="str">
        <f t="shared" ca="1" si="83"/>
        <v xml:space="preserve">36 Tahun 6 Bulan </v>
      </c>
      <c r="AE1181" s="33" t="s">
        <v>1069</v>
      </c>
      <c r="AF1181" s="71"/>
      <c r="AG1181" s="22" t="s">
        <v>5076</v>
      </c>
      <c r="AH1181" s="22"/>
      <c r="AI1181" s="22"/>
      <c r="AJ1181" s="22"/>
      <c r="AK1181" s="33" t="s">
        <v>485</v>
      </c>
      <c r="AL1181" s="36"/>
    </row>
    <row r="1182" spans="1:39" ht="14.45" customHeight="1" x14ac:dyDescent="0.25">
      <c r="A1182" s="115">
        <v>39</v>
      </c>
      <c r="B1182" s="18"/>
      <c r="C1182" s="50" t="s">
        <v>5120</v>
      </c>
      <c r="D1182" s="20" t="s">
        <v>5121</v>
      </c>
      <c r="E1182" s="58" t="s">
        <v>40</v>
      </c>
      <c r="F1182" s="58" t="s">
        <v>238</v>
      </c>
      <c r="G1182" s="22" t="s">
        <v>3872</v>
      </c>
      <c r="H1182" s="22" t="s">
        <v>1078</v>
      </c>
      <c r="I1182" s="22" t="s">
        <v>44</v>
      </c>
      <c r="J1182" s="22" t="s">
        <v>1079</v>
      </c>
      <c r="K1182" s="24"/>
      <c r="L1182" s="22"/>
      <c r="M1182" s="22"/>
      <c r="N1182" s="22"/>
      <c r="O1182" s="22"/>
      <c r="P1182" s="22"/>
      <c r="Q1182" s="22"/>
      <c r="R1182" s="22"/>
      <c r="S1182" s="23" t="s">
        <v>1080</v>
      </c>
      <c r="T1182" s="23"/>
      <c r="U1182" s="23"/>
      <c r="V1182" s="23"/>
      <c r="W1182" s="24">
        <v>45139</v>
      </c>
      <c r="X1182" s="24">
        <v>45139</v>
      </c>
      <c r="Y1182" s="24">
        <v>45139</v>
      </c>
      <c r="Z1182" s="55" t="str">
        <f t="shared" ca="1" si="86"/>
        <v>2 Tahun 2 Bulan 30 Hari</v>
      </c>
      <c r="AA1182" s="55" t="s">
        <v>76</v>
      </c>
      <c r="AB1182" s="56">
        <v>30514</v>
      </c>
      <c r="AC1182" s="31" t="s">
        <v>5122</v>
      </c>
      <c r="AD1182" s="57" t="str">
        <f t="shared" ca="1" si="83"/>
        <v xml:space="preserve">42 Tahun 3 Bulan </v>
      </c>
      <c r="AE1182" s="33" t="s">
        <v>1069</v>
      </c>
      <c r="AF1182" s="71"/>
      <c r="AG1182" s="22" t="s">
        <v>5076</v>
      </c>
      <c r="AH1182" s="22"/>
      <c r="AI1182" s="22"/>
      <c r="AJ1182" s="22"/>
      <c r="AK1182" s="33"/>
      <c r="AL1182" s="22"/>
      <c r="AM1182" s="14"/>
    </row>
    <row r="1183" spans="1:39" ht="14.45" customHeight="1" x14ac:dyDescent="0.25">
      <c r="A1183" s="17">
        <v>1</v>
      </c>
      <c r="B1183" s="18"/>
      <c r="C1183" s="50" t="s">
        <v>5123</v>
      </c>
      <c r="D1183" s="20" t="s">
        <v>5124</v>
      </c>
      <c r="E1183" s="58" t="s">
        <v>40</v>
      </c>
      <c r="F1183" s="58" t="s">
        <v>238</v>
      </c>
      <c r="G1183" s="22" t="s">
        <v>3872</v>
      </c>
      <c r="H1183" s="22" t="s">
        <v>239</v>
      </c>
      <c r="I1183" s="22" t="s">
        <v>44</v>
      </c>
      <c r="J1183" s="22" t="s">
        <v>5074</v>
      </c>
      <c r="K1183" s="24"/>
      <c r="L1183" s="22"/>
      <c r="M1183" s="22"/>
      <c r="N1183" s="22"/>
      <c r="O1183" s="22"/>
      <c r="P1183" s="22"/>
      <c r="Q1183" s="22"/>
      <c r="R1183" s="22"/>
      <c r="S1183" s="23" t="s">
        <v>299</v>
      </c>
      <c r="T1183" s="23"/>
      <c r="U1183" s="23"/>
      <c r="V1183" s="23"/>
      <c r="W1183" s="24">
        <v>45139</v>
      </c>
      <c r="X1183" s="24">
        <v>45139</v>
      </c>
      <c r="Y1183" s="24">
        <v>45139</v>
      </c>
      <c r="Z1183" s="55" t="str">
        <f t="shared" ca="1" si="86"/>
        <v>2 Tahun 2 Bulan 30 Hari</v>
      </c>
      <c r="AA1183" s="55" t="s">
        <v>563</v>
      </c>
      <c r="AB1183" s="56">
        <v>32508</v>
      </c>
      <c r="AC1183" s="31" t="s">
        <v>5125</v>
      </c>
      <c r="AD1183" s="57" t="str">
        <f t="shared" ref="AD1183:AD1246" ca="1" si="87">DATEDIF(AB1183,TODAY(),"y")&amp;" Tahun "&amp;DATEDIF(AB1183,TODAY(),"ym")&amp;" Bulan "</f>
        <v xml:space="preserve">36 Tahun 10 Bulan </v>
      </c>
      <c r="AE1183" s="33" t="s">
        <v>242</v>
      </c>
      <c r="AF1183" s="71"/>
      <c r="AG1183" s="22" t="s">
        <v>5076</v>
      </c>
      <c r="AH1183" s="22"/>
      <c r="AI1183" s="22"/>
      <c r="AJ1183" s="22"/>
      <c r="AK1183" s="33" t="s">
        <v>314</v>
      </c>
      <c r="AL1183" s="36"/>
    </row>
    <row r="1184" spans="1:39" ht="14.45" customHeight="1" x14ac:dyDescent="0.25">
      <c r="A1184" s="17">
        <v>2</v>
      </c>
      <c r="B1184" s="18"/>
      <c r="C1184" s="50" t="s">
        <v>5126</v>
      </c>
      <c r="D1184" s="20" t="s">
        <v>5127</v>
      </c>
      <c r="E1184" s="58" t="s">
        <v>40</v>
      </c>
      <c r="F1184" s="58" t="s">
        <v>238</v>
      </c>
      <c r="G1184" s="22" t="s">
        <v>3872</v>
      </c>
      <c r="H1184" s="22" t="s">
        <v>239</v>
      </c>
      <c r="I1184" s="22" t="s">
        <v>44</v>
      </c>
      <c r="J1184" s="22" t="s">
        <v>5074</v>
      </c>
      <c r="K1184" s="24"/>
      <c r="L1184" s="22"/>
      <c r="M1184" s="22"/>
      <c r="N1184" s="22"/>
      <c r="O1184" s="22"/>
      <c r="P1184" s="22"/>
      <c r="Q1184" s="22"/>
      <c r="R1184" s="22"/>
      <c r="S1184" s="23" t="s">
        <v>2916</v>
      </c>
      <c r="T1184" s="23"/>
      <c r="U1184" s="23"/>
      <c r="V1184" s="23"/>
      <c r="W1184" s="24">
        <v>45139</v>
      </c>
      <c r="X1184" s="24">
        <v>45139</v>
      </c>
      <c r="Y1184" s="24">
        <v>45139</v>
      </c>
      <c r="Z1184" s="55" t="str">
        <f t="shared" ca="1" si="86"/>
        <v>2 Tahun 2 Bulan 30 Hari</v>
      </c>
      <c r="AA1184" s="55" t="s">
        <v>76</v>
      </c>
      <c r="AB1184" s="56">
        <v>33580</v>
      </c>
      <c r="AC1184" s="31" t="s">
        <v>5128</v>
      </c>
      <c r="AD1184" s="57" t="str">
        <f t="shared" ca="1" si="87"/>
        <v xml:space="preserve">33 Tahun 10 Bulan </v>
      </c>
      <c r="AE1184" s="33" t="s">
        <v>242</v>
      </c>
      <c r="AF1184" s="71"/>
      <c r="AG1184" s="22" t="s">
        <v>5076</v>
      </c>
      <c r="AH1184" s="22"/>
      <c r="AI1184" s="22"/>
      <c r="AJ1184" s="22"/>
      <c r="AK1184" s="33"/>
      <c r="AL1184" s="36"/>
    </row>
    <row r="1185" spans="1:38" ht="14.45" customHeight="1" x14ac:dyDescent="0.25">
      <c r="A1185" s="17">
        <v>3</v>
      </c>
      <c r="B1185" s="18"/>
      <c r="C1185" s="50" t="s">
        <v>5129</v>
      </c>
      <c r="D1185" s="20" t="s">
        <v>5130</v>
      </c>
      <c r="E1185" s="58" t="s">
        <v>40</v>
      </c>
      <c r="F1185" s="58" t="s">
        <v>238</v>
      </c>
      <c r="G1185" s="22" t="s">
        <v>3872</v>
      </c>
      <c r="H1185" s="22" t="s">
        <v>239</v>
      </c>
      <c r="I1185" s="22" t="s">
        <v>44</v>
      </c>
      <c r="J1185" s="22" t="s">
        <v>5074</v>
      </c>
      <c r="K1185" s="24"/>
      <c r="L1185" s="22"/>
      <c r="M1185" s="22"/>
      <c r="N1185" s="22"/>
      <c r="O1185" s="22"/>
      <c r="P1185" s="22"/>
      <c r="Q1185" s="22"/>
      <c r="R1185" s="22"/>
      <c r="S1185" s="23" t="s">
        <v>2916</v>
      </c>
      <c r="T1185" s="23"/>
      <c r="U1185" s="23"/>
      <c r="V1185" s="23"/>
      <c r="W1185" s="24">
        <v>45139</v>
      </c>
      <c r="X1185" s="24">
        <v>45139</v>
      </c>
      <c r="Y1185" s="24">
        <v>45139</v>
      </c>
      <c r="Z1185" s="55" t="str">
        <f t="shared" ca="1" si="86"/>
        <v>2 Tahun 2 Bulan 30 Hari</v>
      </c>
      <c r="AA1185" s="55" t="s">
        <v>97</v>
      </c>
      <c r="AB1185" s="56">
        <v>32701</v>
      </c>
      <c r="AC1185" s="31" t="s">
        <v>5131</v>
      </c>
      <c r="AD1185" s="57" t="str">
        <f t="shared" ca="1" si="87"/>
        <v xml:space="preserve">36 Tahun 3 Bulan </v>
      </c>
      <c r="AE1185" s="33" t="s">
        <v>242</v>
      </c>
      <c r="AF1185" s="71"/>
      <c r="AG1185" s="22" t="s">
        <v>5076</v>
      </c>
      <c r="AH1185" s="22"/>
      <c r="AI1185" s="22"/>
      <c r="AJ1185" s="22"/>
      <c r="AK1185" s="33" t="s">
        <v>314</v>
      </c>
      <c r="AL1185" s="36"/>
    </row>
    <row r="1186" spans="1:38" ht="14.45" customHeight="1" x14ac:dyDescent="0.25">
      <c r="A1186" s="17">
        <v>4</v>
      </c>
      <c r="B1186" s="18"/>
      <c r="C1186" s="50" t="s">
        <v>5132</v>
      </c>
      <c r="D1186" s="20" t="s">
        <v>5133</v>
      </c>
      <c r="E1186" s="52" t="s">
        <v>56</v>
      </c>
      <c r="F1186" s="58" t="s">
        <v>41</v>
      </c>
      <c r="G1186" s="23" t="s">
        <v>42</v>
      </c>
      <c r="H1186" s="22" t="s">
        <v>43</v>
      </c>
      <c r="I1186" s="22" t="s">
        <v>44</v>
      </c>
      <c r="J1186" s="22" t="s">
        <v>148</v>
      </c>
      <c r="K1186" s="24">
        <v>45200</v>
      </c>
      <c r="L1186" s="53" t="s">
        <v>5134</v>
      </c>
      <c r="M1186" s="26">
        <v>42727</v>
      </c>
      <c r="N1186" s="26">
        <v>44509</v>
      </c>
      <c r="O1186" s="27" t="s">
        <v>84</v>
      </c>
      <c r="P1186" s="53" t="s">
        <v>5135</v>
      </c>
      <c r="Q1186" s="26">
        <v>43131</v>
      </c>
      <c r="R1186" s="26">
        <v>44509</v>
      </c>
      <c r="S1186" s="23" t="s">
        <v>84</v>
      </c>
      <c r="T1186" s="23"/>
      <c r="U1186" s="23"/>
      <c r="V1186" s="23"/>
      <c r="W1186" s="30">
        <v>33664</v>
      </c>
      <c r="X1186" s="30">
        <v>33664</v>
      </c>
      <c r="Y1186" s="30">
        <v>43887</v>
      </c>
      <c r="Z1186" s="55" t="str">
        <f t="shared" ref="Z1186:Z1194" ca="1" si="88">DATEDIF(W1186,TODAY(),"y")&amp;" Tahun "&amp;DATEDIF(W1186,TODAY(),"ym")&amp;" Bulan "&amp;DATEDIF(W1186,TODAY(),"md")&amp;" Hari"</f>
        <v>33 Tahun 7 Bulan 30 Hari</v>
      </c>
      <c r="AA1186" s="55" t="s">
        <v>5136</v>
      </c>
      <c r="AB1186" s="56">
        <v>26246</v>
      </c>
      <c r="AC1186" s="32" t="s">
        <v>5137</v>
      </c>
      <c r="AD1186" s="57" t="str">
        <f t="shared" ca="1" si="87"/>
        <v xml:space="preserve">53 Tahun 11 Bulan </v>
      </c>
      <c r="AE1186" s="33" t="s">
        <v>4118</v>
      </c>
      <c r="AF1186" s="34"/>
      <c r="AG1186" s="22" t="s">
        <v>5138</v>
      </c>
      <c r="AH1186" s="58"/>
      <c r="AI1186" s="58"/>
      <c r="AJ1186" s="58"/>
      <c r="AK1186" s="33" t="s">
        <v>4367</v>
      </c>
      <c r="AL1186" s="36"/>
    </row>
    <row r="1187" spans="1:38" ht="14.45" customHeight="1" x14ac:dyDescent="0.25">
      <c r="A1187" s="17">
        <v>5</v>
      </c>
      <c r="B1187" s="18"/>
      <c r="C1187" s="50" t="s">
        <v>5139</v>
      </c>
      <c r="D1187" s="20" t="s">
        <v>5140</v>
      </c>
      <c r="E1187" s="21" t="s">
        <v>40</v>
      </c>
      <c r="F1187" s="22" t="s">
        <v>41</v>
      </c>
      <c r="G1187" s="23" t="s">
        <v>137</v>
      </c>
      <c r="H1187" s="22" t="s">
        <v>138</v>
      </c>
      <c r="I1187" s="22" t="s">
        <v>44</v>
      </c>
      <c r="J1187" s="22" t="s">
        <v>5141</v>
      </c>
      <c r="K1187" s="24">
        <v>43252</v>
      </c>
      <c r="L1187" s="53" t="s">
        <v>5142</v>
      </c>
      <c r="M1187" s="26">
        <v>42807</v>
      </c>
      <c r="N1187" s="26">
        <v>44662</v>
      </c>
      <c r="O1187" s="27" t="s">
        <v>5143</v>
      </c>
      <c r="P1187" s="53" t="s">
        <v>5144</v>
      </c>
      <c r="Q1187" s="26">
        <v>43165</v>
      </c>
      <c r="R1187" s="26">
        <v>44662</v>
      </c>
      <c r="S1187" s="23" t="s">
        <v>5145</v>
      </c>
      <c r="T1187" s="23">
        <v>2021</v>
      </c>
      <c r="U1187" s="23"/>
      <c r="V1187" s="23"/>
      <c r="W1187" s="30">
        <v>35490</v>
      </c>
      <c r="X1187" s="30">
        <v>35490</v>
      </c>
      <c r="Y1187" s="30">
        <v>35490</v>
      </c>
      <c r="Z1187" s="31" t="str">
        <f t="shared" ca="1" si="88"/>
        <v>28 Tahun 7 Bulan 30 Hari</v>
      </c>
      <c r="AA1187" s="31" t="s">
        <v>260</v>
      </c>
      <c r="AB1187" s="32">
        <v>26765</v>
      </c>
      <c r="AC1187" s="32" t="s">
        <v>5146</v>
      </c>
      <c r="AD1187" s="22" t="str">
        <f t="shared" ca="1" si="87"/>
        <v xml:space="preserve">52 Tahun 6 Bulan </v>
      </c>
      <c r="AE1187" s="33" t="s">
        <v>5147</v>
      </c>
      <c r="AF1187" s="114"/>
      <c r="AG1187" s="22" t="s">
        <v>5138</v>
      </c>
      <c r="AH1187" s="22"/>
      <c r="AI1187" s="22"/>
      <c r="AJ1187" s="60"/>
      <c r="AK1187" s="61" t="s">
        <v>485</v>
      </c>
      <c r="AL1187" s="36"/>
    </row>
    <row r="1188" spans="1:38" ht="14.45" customHeight="1" x14ac:dyDescent="0.25">
      <c r="A1188" s="17">
        <v>6</v>
      </c>
      <c r="B1188" s="18"/>
      <c r="C1188" s="50" t="s">
        <v>5148</v>
      </c>
      <c r="D1188" s="20" t="s">
        <v>5149</v>
      </c>
      <c r="E1188" s="21" t="s">
        <v>40</v>
      </c>
      <c r="F1188" s="22" t="s">
        <v>41</v>
      </c>
      <c r="G1188" s="23" t="s">
        <v>227</v>
      </c>
      <c r="H1188" s="22" t="s">
        <v>228</v>
      </c>
      <c r="I1188" s="22" t="s">
        <v>155</v>
      </c>
      <c r="J1188" s="22" t="s">
        <v>285</v>
      </c>
      <c r="K1188" s="24">
        <v>43466</v>
      </c>
      <c r="L1188" s="22"/>
      <c r="M1188" s="22"/>
      <c r="N1188" s="22"/>
      <c r="O1188" s="22"/>
      <c r="P1188" s="22"/>
      <c r="Q1188" s="22"/>
      <c r="R1188" s="22"/>
      <c r="S1188" s="23" t="s">
        <v>4563</v>
      </c>
      <c r="T1188" s="23"/>
      <c r="U1188" s="23"/>
      <c r="V1188" s="23"/>
      <c r="W1188" s="30">
        <v>33664</v>
      </c>
      <c r="X1188" s="30">
        <v>33664</v>
      </c>
      <c r="Y1188" s="22"/>
      <c r="Z1188" s="31" t="str">
        <f t="shared" ca="1" si="88"/>
        <v>33 Tahun 7 Bulan 30 Hari</v>
      </c>
      <c r="AA1188" s="31" t="s">
        <v>76</v>
      </c>
      <c r="AB1188" s="32">
        <v>25034</v>
      </c>
      <c r="AC1188" s="31" t="s">
        <v>5150</v>
      </c>
      <c r="AD1188" s="22" t="str">
        <f t="shared" ca="1" si="87"/>
        <v xml:space="preserve">57 Tahun 3 Bulan </v>
      </c>
      <c r="AE1188" s="33" t="s">
        <v>5151</v>
      </c>
      <c r="AG1188" s="22" t="s">
        <v>5138</v>
      </c>
      <c r="AH1188" s="22"/>
      <c r="AI1188" s="22"/>
      <c r="AJ1188" s="22"/>
      <c r="AK1188" s="33" t="s">
        <v>314</v>
      </c>
      <c r="AL1188" s="36"/>
    </row>
    <row r="1189" spans="1:38" ht="14.45" customHeight="1" x14ac:dyDescent="0.25">
      <c r="A1189" s="17">
        <v>7</v>
      </c>
      <c r="B1189" s="18"/>
      <c r="C1189" s="50" t="s">
        <v>5152</v>
      </c>
      <c r="D1189" s="20" t="s">
        <v>5153</v>
      </c>
      <c r="E1189" s="21" t="s">
        <v>40</v>
      </c>
      <c r="F1189" s="22" t="s">
        <v>41</v>
      </c>
      <c r="G1189" s="23" t="s">
        <v>137</v>
      </c>
      <c r="H1189" s="22" t="s">
        <v>138</v>
      </c>
      <c r="I1189" s="22" t="s">
        <v>44</v>
      </c>
      <c r="J1189" s="22" t="s">
        <v>5141</v>
      </c>
      <c r="K1189" s="24">
        <v>42370</v>
      </c>
      <c r="L1189" s="53" t="s">
        <v>5154</v>
      </c>
      <c r="M1189" s="26">
        <v>42807</v>
      </c>
      <c r="N1189" s="26">
        <v>44572</v>
      </c>
      <c r="O1189" s="27" t="s">
        <v>5143</v>
      </c>
      <c r="P1189" s="53" t="s">
        <v>5155</v>
      </c>
      <c r="Q1189" s="26">
        <v>43165</v>
      </c>
      <c r="R1189" s="26">
        <v>44765</v>
      </c>
      <c r="S1189" s="23" t="s">
        <v>5156</v>
      </c>
      <c r="T1189" s="23"/>
      <c r="U1189" s="23"/>
      <c r="V1189" s="23"/>
      <c r="W1189" s="30">
        <v>34394</v>
      </c>
      <c r="X1189" s="30">
        <v>34394</v>
      </c>
      <c r="Y1189" s="30">
        <v>34394</v>
      </c>
      <c r="Z1189" s="31" t="str">
        <f t="shared" ca="1" si="88"/>
        <v>31 Tahun 7 Bulan 30 Hari</v>
      </c>
      <c r="AA1189" s="31" t="s">
        <v>60</v>
      </c>
      <c r="AB1189" s="32">
        <v>25042</v>
      </c>
      <c r="AC1189" s="31" t="s">
        <v>5157</v>
      </c>
      <c r="AD1189" s="22" t="str">
        <f t="shared" ca="1" si="87"/>
        <v xml:space="preserve">57 Tahun 3 Bulan </v>
      </c>
      <c r="AE1189" s="33" t="s">
        <v>5147</v>
      </c>
      <c r="AF1189" s="34"/>
      <c r="AG1189" s="22" t="s">
        <v>5138</v>
      </c>
      <c r="AH1189" s="58"/>
      <c r="AI1189" s="58"/>
      <c r="AJ1189" s="58"/>
      <c r="AK1189" s="33" t="s">
        <v>314</v>
      </c>
      <c r="AL1189" s="36"/>
    </row>
    <row r="1190" spans="1:38" ht="14.45" customHeight="1" x14ac:dyDescent="0.25">
      <c r="A1190" s="17">
        <v>8</v>
      </c>
      <c r="B1190" s="18"/>
      <c r="C1190" s="50" t="s">
        <v>5158</v>
      </c>
      <c r="D1190" s="20" t="s">
        <v>5159</v>
      </c>
      <c r="E1190" s="21" t="s">
        <v>40</v>
      </c>
      <c r="F1190" s="22" t="s">
        <v>41</v>
      </c>
      <c r="G1190" s="23" t="s">
        <v>193</v>
      </c>
      <c r="H1190" s="22" t="s">
        <v>194</v>
      </c>
      <c r="I1190" s="22" t="s">
        <v>155</v>
      </c>
      <c r="J1190" s="22" t="s">
        <v>285</v>
      </c>
      <c r="K1190" s="24">
        <v>45017</v>
      </c>
      <c r="L1190" s="22"/>
      <c r="M1190" s="22"/>
      <c r="N1190" s="22"/>
      <c r="O1190" s="22"/>
      <c r="P1190" s="22"/>
      <c r="Q1190" s="22"/>
      <c r="R1190" s="22"/>
      <c r="S1190" s="23" t="s">
        <v>4563</v>
      </c>
      <c r="T1190" s="23"/>
      <c r="U1190" s="23"/>
      <c r="V1190" s="23"/>
      <c r="W1190" s="30">
        <v>39083</v>
      </c>
      <c r="X1190" s="30">
        <v>35217</v>
      </c>
      <c r="Y1190" s="30">
        <v>35217</v>
      </c>
      <c r="Z1190" s="31" t="str">
        <f t="shared" ca="1" si="88"/>
        <v>18 Tahun 9 Bulan 30 Hari</v>
      </c>
      <c r="AA1190" s="31" t="s">
        <v>76</v>
      </c>
      <c r="AB1190" s="32">
        <v>26094</v>
      </c>
      <c r="AC1190" s="32" t="s">
        <v>5160</v>
      </c>
      <c r="AD1190" s="22" t="str">
        <f t="shared" ca="1" si="87"/>
        <v xml:space="preserve">54 Tahun 4 Bulan </v>
      </c>
      <c r="AE1190" s="33" t="s">
        <v>5151</v>
      </c>
      <c r="AF1190" s="34"/>
      <c r="AG1190" s="22" t="s">
        <v>5138</v>
      </c>
      <c r="AH1190" s="22"/>
      <c r="AI1190" s="22"/>
      <c r="AJ1190" s="60"/>
      <c r="AK1190" s="61" t="s">
        <v>5100</v>
      </c>
      <c r="AL1190" s="36"/>
    </row>
    <row r="1191" spans="1:38" ht="14.45" customHeight="1" x14ac:dyDescent="0.25">
      <c r="A1191" s="17">
        <v>9</v>
      </c>
      <c r="B1191" s="18"/>
      <c r="C1191" s="50" t="s">
        <v>5161</v>
      </c>
      <c r="D1191" s="20" t="s">
        <v>5162</v>
      </c>
      <c r="E1191" s="21" t="s">
        <v>40</v>
      </c>
      <c r="F1191" s="22" t="s">
        <v>41</v>
      </c>
      <c r="G1191" s="23" t="s">
        <v>2877</v>
      </c>
      <c r="H1191" s="22" t="s">
        <v>2878</v>
      </c>
      <c r="I1191" s="22" t="s">
        <v>155</v>
      </c>
      <c r="J1191" s="22" t="s">
        <v>285</v>
      </c>
      <c r="K1191" s="24">
        <v>43922</v>
      </c>
      <c r="L1191" s="22"/>
      <c r="M1191" s="22"/>
      <c r="N1191" s="22"/>
      <c r="O1191" s="22"/>
      <c r="P1191" s="22"/>
      <c r="Q1191" s="22"/>
      <c r="R1191" s="22"/>
      <c r="S1191" s="23" t="s">
        <v>4563</v>
      </c>
      <c r="T1191" s="23"/>
      <c r="U1191" s="23"/>
      <c r="V1191" s="23"/>
      <c r="W1191" s="30">
        <v>39783</v>
      </c>
      <c r="X1191" s="30">
        <v>35886</v>
      </c>
      <c r="Y1191" s="30">
        <v>35886</v>
      </c>
      <c r="Z1191" s="31" t="str">
        <f t="shared" ca="1" si="88"/>
        <v>16 Tahun 10 Bulan 30 Hari</v>
      </c>
      <c r="AA1191" s="31" t="s">
        <v>76</v>
      </c>
      <c r="AB1191" s="32">
        <v>26501</v>
      </c>
      <c r="AC1191" s="31" t="s">
        <v>5163</v>
      </c>
      <c r="AD1191" s="22" t="str">
        <f t="shared" ca="1" si="87"/>
        <v xml:space="preserve">53 Tahun 3 Bulan </v>
      </c>
      <c r="AE1191" s="33" t="s">
        <v>5151</v>
      </c>
      <c r="AF1191" s="34"/>
      <c r="AG1191" s="22" t="s">
        <v>5138</v>
      </c>
      <c r="AH1191" s="58"/>
      <c r="AI1191" s="58"/>
      <c r="AJ1191" s="58"/>
      <c r="AK1191" s="33" t="s">
        <v>5103</v>
      </c>
      <c r="AL1191" s="36"/>
    </row>
    <row r="1192" spans="1:38" ht="14.45" customHeight="1" x14ac:dyDescent="0.25">
      <c r="A1192" s="17">
        <v>10</v>
      </c>
      <c r="B1192" s="18"/>
      <c r="C1192" s="50" t="s">
        <v>5164</v>
      </c>
      <c r="D1192" s="20" t="s">
        <v>5165</v>
      </c>
      <c r="E1192" s="21" t="s">
        <v>40</v>
      </c>
      <c r="F1192" s="22" t="s">
        <v>41</v>
      </c>
      <c r="G1192" s="23" t="s">
        <v>137</v>
      </c>
      <c r="H1192" s="22" t="s">
        <v>138</v>
      </c>
      <c r="I1192" s="22" t="s">
        <v>44</v>
      </c>
      <c r="J1192" s="22" t="s">
        <v>5141</v>
      </c>
      <c r="K1192" s="24">
        <v>43252</v>
      </c>
      <c r="L1192" s="53" t="s">
        <v>5166</v>
      </c>
      <c r="M1192" s="26">
        <v>42807</v>
      </c>
      <c r="N1192" s="26">
        <v>44709</v>
      </c>
      <c r="O1192" s="27" t="s">
        <v>5143</v>
      </c>
      <c r="P1192" s="53" t="s">
        <v>5167</v>
      </c>
      <c r="Q1192" s="26">
        <v>43165</v>
      </c>
      <c r="R1192" s="26">
        <v>44709</v>
      </c>
      <c r="S1192" s="23" t="s">
        <v>5156</v>
      </c>
      <c r="T1192" s="23"/>
      <c r="U1192" s="23"/>
      <c r="V1192" s="23"/>
      <c r="W1192" s="30">
        <v>36220</v>
      </c>
      <c r="X1192" s="30">
        <v>36220</v>
      </c>
      <c r="Y1192" s="30">
        <v>36220</v>
      </c>
      <c r="Z1192" s="31" t="str">
        <f t="shared" ca="1" si="88"/>
        <v>26 Tahun 7 Bulan 30 Hari</v>
      </c>
      <c r="AA1192" s="31" t="s">
        <v>697</v>
      </c>
      <c r="AB1192" s="32">
        <v>27177</v>
      </c>
      <c r="AC1192" s="31" t="s">
        <v>5168</v>
      </c>
      <c r="AD1192" s="22" t="str">
        <f t="shared" ca="1" si="87"/>
        <v xml:space="preserve">51 Tahun 5 Bulan </v>
      </c>
      <c r="AE1192" s="33" t="s">
        <v>5147</v>
      </c>
      <c r="AF1192" s="34"/>
      <c r="AG1192" s="22" t="s">
        <v>5138</v>
      </c>
      <c r="AH1192" s="58"/>
      <c r="AI1192" s="58"/>
      <c r="AJ1192" s="58"/>
      <c r="AK1192" s="33"/>
      <c r="AL1192" s="36"/>
    </row>
    <row r="1193" spans="1:38" ht="14.45" customHeight="1" x14ac:dyDescent="0.25">
      <c r="A1193" s="17">
        <v>11</v>
      </c>
      <c r="B1193" s="18"/>
      <c r="C1193" s="50" t="s">
        <v>5169</v>
      </c>
      <c r="D1193" s="20" t="s">
        <v>5170</v>
      </c>
      <c r="E1193" s="21" t="s">
        <v>40</v>
      </c>
      <c r="F1193" s="22" t="s">
        <v>41</v>
      </c>
      <c r="G1193" s="23" t="s">
        <v>137</v>
      </c>
      <c r="H1193" s="22" t="s">
        <v>138</v>
      </c>
      <c r="I1193" s="22" t="s">
        <v>44</v>
      </c>
      <c r="J1193" s="22" t="s">
        <v>5141</v>
      </c>
      <c r="K1193" s="24">
        <v>43252</v>
      </c>
      <c r="L1193" s="53" t="s">
        <v>5154</v>
      </c>
      <c r="M1193" s="26">
        <v>42807</v>
      </c>
      <c r="N1193" s="26">
        <v>44572</v>
      </c>
      <c r="O1193" s="27" t="s">
        <v>5143</v>
      </c>
      <c r="P1193" s="53" t="s">
        <v>5171</v>
      </c>
      <c r="Q1193" s="26">
        <v>43165</v>
      </c>
      <c r="R1193" s="26">
        <v>44572</v>
      </c>
      <c r="S1193" s="23" t="s">
        <v>5156</v>
      </c>
      <c r="T1193" s="23"/>
      <c r="U1193" s="23"/>
      <c r="V1193" s="23"/>
      <c r="W1193" s="30">
        <v>37226</v>
      </c>
      <c r="X1193" s="30">
        <v>37377</v>
      </c>
      <c r="Y1193" s="30">
        <v>42186</v>
      </c>
      <c r="Z1193" s="31" t="str">
        <f t="shared" ca="1" si="88"/>
        <v>23 Tahun 10 Bulan 30 Hari</v>
      </c>
      <c r="AA1193" s="31" t="s">
        <v>437</v>
      </c>
      <c r="AB1193" s="32">
        <v>28866</v>
      </c>
      <c r="AC1193" s="32" t="s">
        <v>5172</v>
      </c>
      <c r="AD1193" s="22" t="str">
        <f t="shared" ca="1" si="87"/>
        <v xml:space="preserve">46 Tahun 9 Bulan </v>
      </c>
      <c r="AE1193" s="33" t="s">
        <v>5147</v>
      </c>
      <c r="AF1193" s="34"/>
      <c r="AG1193" s="22" t="s">
        <v>5138</v>
      </c>
      <c r="AH1193" s="58"/>
      <c r="AI1193" s="58"/>
      <c r="AJ1193" s="58"/>
      <c r="AK1193" s="33"/>
      <c r="AL1193" s="36"/>
    </row>
    <row r="1194" spans="1:38" ht="14.45" customHeight="1" x14ac:dyDescent="0.25">
      <c r="A1194" s="17">
        <v>12</v>
      </c>
      <c r="B1194" s="18"/>
      <c r="C1194" s="50" t="s">
        <v>5173</v>
      </c>
      <c r="D1194" s="20" t="s">
        <v>5174</v>
      </c>
      <c r="E1194" s="21" t="s">
        <v>40</v>
      </c>
      <c r="F1194" s="22" t="s">
        <v>41</v>
      </c>
      <c r="G1194" s="23" t="s">
        <v>227</v>
      </c>
      <c r="H1194" s="22" t="s">
        <v>228</v>
      </c>
      <c r="I1194" s="22" t="s">
        <v>155</v>
      </c>
      <c r="J1194" s="22" t="s">
        <v>285</v>
      </c>
      <c r="K1194" s="24">
        <v>45017</v>
      </c>
      <c r="L1194" s="22"/>
      <c r="M1194" s="22"/>
      <c r="N1194" s="22"/>
      <c r="O1194" s="22"/>
      <c r="P1194" s="22"/>
      <c r="Q1194" s="22"/>
      <c r="R1194" s="22"/>
      <c r="S1194" s="23" t="s">
        <v>5175</v>
      </c>
      <c r="T1194" s="23"/>
      <c r="U1194" s="23"/>
      <c r="V1194" s="23"/>
      <c r="W1194" s="30">
        <v>40513</v>
      </c>
      <c r="X1194" s="30">
        <v>40638</v>
      </c>
      <c r="Y1194" s="30">
        <v>40638</v>
      </c>
      <c r="Z1194" s="31" t="str">
        <f t="shared" ca="1" si="88"/>
        <v>14 Tahun 10 Bulan 30 Hari</v>
      </c>
      <c r="AA1194" s="31" t="s">
        <v>471</v>
      </c>
      <c r="AB1194" s="32">
        <v>31254</v>
      </c>
      <c r="AC1194" s="31" t="s">
        <v>5176</v>
      </c>
      <c r="AD1194" s="22" t="str">
        <f t="shared" ca="1" si="87"/>
        <v xml:space="preserve">40 Tahun 3 Bulan </v>
      </c>
      <c r="AE1194" s="33" t="s">
        <v>5151</v>
      </c>
      <c r="AG1194" s="22" t="s">
        <v>5138</v>
      </c>
      <c r="AH1194" s="58"/>
      <c r="AI1194" s="58"/>
      <c r="AJ1194" s="58"/>
      <c r="AK1194" s="33"/>
      <c r="AL1194" s="36"/>
    </row>
    <row r="1195" spans="1:38" ht="14.45" customHeight="1" x14ac:dyDescent="0.25">
      <c r="A1195" s="17">
        <v>13</v>
      </c>
      <c r="B1195" s="18">
        <v>1360</v>
      </c>
      <c r="C1195" s="50" t="s">
        <v>5177</v>
      </c>
      <c r="D1195" s="20" t="s">
        <v>5178</v>
      </c>
      <c r="E1195" s="22" t="s">
        <v>40</v>
      </c>
      <c r="F1195" s="22" t="s">
        <v>41</v>
      </c>
      <c r="G1195" s="23" t="s">
        <v>193</v>
      </c>
      <c r="H1195" s="22" t="s">
        <v>194</v>
      </c>
      <c r="I1195" s="22" t="s">
        <v>44</v>
      </c>
      <c r="J1195" s="22" t="s">
        <v>5179</v>
      </c>
      <c r="K1195" s="24">
        <v>45870</v>
      </c>
      <c r="L1195" s="22"/>
      <c r="M1195" s="22"/>
      <c r="N1195" s="22"/>
      <c r="O1195" s="22"/>
      <c r="P1195" s="22"/>
      <c r="Q1195" s="22"/>
      <c r="R1195" s="22"/>
      <c r="S1195" s="23" t="s">
        <v>5180</v>
      </c>
      <c r="T1195" s="23">
        <v>2016</v>
      </c>
      <c r="U1195" s="23"/>
      <c r="V1195" s="23"/>
      <c r="W1195" s="30">
        <v>43497</v>
      </c>
      <c r="X1195" s="30">
        <v>43497</v>
      </c>
      <c r="Y1195" s="30">
        <v>43497</v>
      </c>
      <c r="Z1195" s="31" t="str">
        <f t="shared" ref="Z1195:Z1208" ca="1" si="89">DATEDIF(X1195,TODAY(),"y")&amp;" Tahun "&amp;DATEDIF(X1195,TODAY(),"ym")&amp;" Bulan "&amp;DATEDIF(X1195,TODAY(),"md")&amp;" Hari"</f>
        <v>6 Tahun 8 Bulan 30 Hari</v>
      </c>
      <c r="AA1195" s="31" t="s">
        <v>76</v>
      </c>
      <c r="AB1195" s="32">
        <v>34751</v>
      </c>
      <c r="AC1195" s="31" t="s">
        <v>5181</v>
      </c>
      <c r="AD1195" s="22" t="str">
        <f t="shared" ca="1" si="87"/>
        <v xml:space="preserve">30 Tahun 8 Bulan </v>
      </c>
      <c r="AE1195" s="33" t="s">
        <v>5151</v>
      </c>
      <c r="AF1195" s="34" t="s">
        <v>3444</v>
      </c>
      <c r="AG1195" s="22" t="s">
        <v>5138</v>
      </c>
      <c r="AH1195" s="58"/>
      <c r="AI1195" s="58"/>
      <c r="AJ1195" s="58"/>
      <c r="AK1195" s="33"/>
      <c r="AL1195" s="36"/>
    </row>
    <row r="1196" spans="1:38" ht="14.45" customHeight="1" x14ac:dyDescent="0.25">
      <c r="A1196" s="17">
        <v>14</v>
      </c>
      <c r="B1196" s="18"/>
      <c r="C1196" s="50" t="s">
        <v>5182</v>
      </c>
      <c r="D1196" s="20" t="s">
        <v>5183</v>
      </c>
      <c r="E1196" s="22" t="s">
        <v>40</v>
      </c>
      <c r="F1196" s="22" t="s">
        <v>41</v>
      </c>
      <c r="G1196" s="23" t="s">
        <v>5184</v>
      </c>
      <c r="H1196" s="22" t="s">
        <v>1548</v>
      </c>
      <c r="I1196" s="22" t="s">
        <v>44</v>
      </c>
      <c r="J1196" s="22" t="s">
        <v>5185</v>
      </c>
      <c r="K1196" s="24">
        <v>44621</v>
      </c>
      <c r="L1196" s="22"/>
      <c r="M1196" s="22"/>
      <c r="N1196" s="22"/>
      <c r="O1196" s="22"/>
      <c r="P1196" s="22"/>
      <c r="Q1196" s="22"/>
      <c r="R1196" s="22"/>
      <c r="S1196" s="23" t="s">
        <v>5180</v>
      </c>
      <c r="T1196" s="23">
        <v>2020</v>
      </c>
      <c r="U1196" s="23"/>
      <c r="V1196" s="23"/>
      <c r="W1196" s="30">
        <v>44621</v>
      </c>
      <c r="X1196" s="30">
        <v>44621</v>
      </c>
      <c r="Y1196" s="30">
        <v>44621</v>
      </c>
      <c r="Z1196" s="55" t="str">
        <f t="shared" ca="1" si="89"/>
        <v>3 Tahun 7 Bulan 30 Hari</v>
      </c>
      <c r="AA1196" s="55" t="s">
        <v>141</v>
      </c>
      <c r="AB1196" s="56">
        <v>35565</v>
      </c>
      <c r="AC1196" s="31" t="s">
        <v>5186</v>
      </c>
      <c r="AD1196" s="57" t="str">
        <f t="shared" ca="1" si="87"/>
        <v xml:space="preserve">28 Tahun 5 Bulan </v>
      </c>
      <c r="AE1196" s="33" t="s">
        <v>1143</v>
      </c>
      <c r="AF1196" s="71"/>
      <c r="AG1196" s="22" t="s">
        <v>5138</v>
      </c>
      <c r="AH1196" s="22"/>
      <c r="AI1196" s="22"/>
      <c r="AJ1196" s="22"/>
      <c r="AK1196" s="33" t="s">
        <v>5100</v>
      </c>
      <c r="AL1196" s="36"/>
    </row>
    <row r="1197" spans="1:38" ht="14.45" customHeight="1" x14ac:dyDescent="0.25">
      <c r="A1197" s="17">
        <v>15</v>
      </c>
      <c r="B1197" s="18"/>
      <c r="C1197" s="50" t="s">
        <v>5187</v>
      </c>
      <c r="D1197" s="20" t="s">
        <v>5188</v>
      </c>
      <c r="E1197" s="22" t="s">
        <v>40</v>
      </c>
      <c r="F1197" s="22" t="s">
        <v>41</v>
      </c>
      <c r="G1197" s="23" t="s">
        <v>5184</v>
      </c>
      <c r="H1197" s="22" t="s">
        <v>1548</v>
      </c>
      <c r="I1197" s="22" t="s">
        <v>44</v>
      </c>
      <c r="J1197" s="22" t="s">
        <v>5185</v>
      </c>
      <c r="K1197" s="24">
        <v>44621</v>
      </c>
      <c r="L1197" s="22"/>
      <c r="M1197" s="22"/>
      <c r="N1197" s="22"/>
      <c r="O1197" s="22"/>
      <c r="P1197" s="22"/>
      <c r="Q1197" s="22"/>
      <c r="R1197" s="22"/>
      <c r="S1197" s="23" t="s">
        <v>5180</v>
      </c>
      <c r="T1197" s="23">
        <v>2019</v>
      </c>
      <c r="U1197" s="23"/>
      <c r="V1197" s="23"/>
      <c r="W1197" s="30">
        <v>44621</v>
      </c>
      <c r="X1197" s="30">
        <v>44621</v>
      </c>
      <c r="Y1197" s="30">
        <v>44621</v>
      </c>
      <c r="Z1197" s="55" t="str">
        <f t="shared" ca="1" si="89"/>
        <v>3 Tahun 7 Bulan 30 Hari</v>
      </c>
      <c r="AA1197" s="55" t="s">
        <v>128</v>
      </c>
      <c r="AB1197" s="56">
        <v>36099</v>
      </c>
      <c r="AC1197" s="31" t="s">
        <v>5189</v>
      </c>
      <c r="AD1197" s="57" t="str">
        <f t="shared" ca="1" si="87"/>
        <v xml:space="preserve">27 Tahun 0 Bulan </v>
      </c>
      <c r="AE1197" s="33" t="s">
        <v>1143</v>
      </c>
      <c r="AF1197" s="71"/>
      <c r="AG1197" s="22" t="s">
        <v>5138</v>
      </c>
      <c r="AH1197" s="58"/>
      <c r="AI1197" s="58"/>
      <c r="AJ1197" s="58"/>
      <c r="AK1197" s="33"/>
      <c r="AL1197" s="36"/>
    </row>
    <row r="1198" spans="1:38" ht="14.45" customHeight="1" x14ac:dyDescent="0.25">
      <c r="A1198" s="17">
        <v>16</v>
      </c>
      <c r="B1198" s="18"/>
      <c r="C1198" s="50" t="s">
        <v>5190</v>
      </c>
      <c r="D1198" s="20" t="s">
        <v>5191</v>
      </c>
      <c r="E1198" s="58" t="s">
        <v>56</v>
      </c>
      <c r="F1198" s="22" t="s">
        <v>238</v>
      </c>
      <c r="G1198" s="23" t="s">
        <v>3872</v>
      </c>
      <c r="H1198" s="22" t="s">
        <v>1138</v>
      </c>
      <c r="I1198" s="22" t="s">
        <v>44</v>
      </c>
      <c r="J1198" s="22" t="s">
        <v>1139</v>
      </c>
      <c r="K1198" s="24"/>
      <c r="L1198" s="22"/>
      <c r="M1198" s="22"/>
      <c r="N1198" s="22"/>
      <c r="O1198" s="22"/>
      <c r="P1198" s="22"/>
      <c r="Q1198" s="22"/>
      <c r="R1198" s="22"/>
      <c r="S1198" s="23" t="s">
        <v>1140</v>
      </c>
      <c r="T1198" s="23"/>
      <c r="U1198" s="23"/>
      <c r="V1198" s="23"/>
      <c r="W1198" s="30">
        <v>45383</v>
      </c>
      <c r="X1198" s="30">
        <v>45383</v>
      </c>
      <c r="Y1198" s="30">
        <v>45383</v>
      </c>
      <c r="Z1198" s="55" t="str">
        <f t="shared" ca="1" si="89"/>
        <v>1 Tahun 6 Bulan 30 Hari</v>
      </c>
      <c r="AA1198" s="55" t="s">
        <v>5192</v>
      </c>
      <c r="AB1198" s="56">
        <v>34854</v>
      </c>
      <c r="AC1198" s="31" t="s">
        <v>5193</v>
      </c>
      <c r="AD1198" s="57" t="str">
        <f t="shared" ca="1" si="87"/>
        <v xml:space="preserve">30 Tahun 4 Bulan </v>
      </c>
      <c r="AE1198" s="33" t="s">
        <v>1143</v>
      </c>
      <c r="AF1198" s="71"/>
      <c r="AG1198" s="22" t="s">
        <v>5138</v>
      </c>
      <c r="AH1198" s="58"/>
      <c r="AI1198" s="58"/>
      <c r="AJ1198" s="58"/>
      <c r="AK1198" s="33"/>
      <c r="AL1198" s="36"/>
    </row>
    <row r="1199" spans="1:38" ht="14.45" customHeight="1" x14ac:dyDescent="0.25">
      <c r="A1199" s="17">
        <v>17</v>
      </c>
      <c r="B1199" s="18"/>
      <c r="C1199" s="50" t="s">
        <v>5194</v>
      </c>
      <c r="D1199" s="20" t="s">
        <v>5195</v>
      </c>
      <c r="E1199" s="58" t="s">
        <v>56</v>
      </c>
      <c r="F1199" s="22" t="s">
        <v>238</v>
      </c>
      <c r="G1199" s="23" t="s">
        <v>3872</v>
      </c>
      <c r="H1199" s="22" t="s">
        <v>1078</v>
      </c>
      <c r="I1199" s="22" t="s">
        <v>44</v>
      </c>
      <c r="J1199" s="22" t="s">
        <v>5185</v>
      </c>
      <c r="K1199" s="24"/>
      <c r="L1199" s="22"/>
      <c r="M1199" s="22"/>
      <c r="N1199" s="22"/>
      <c r="O1199" s="22"/>
      <c r="P1199" s="22"/>
      <c r="Q1199" s="22"/>
      <c r="R1199" s="22"/>
      <c r="S1199" s="23" t="s">
        <v>5180</v>
      </c>
      <c r="T1199" s="23"/>
      <c r="U1199" s="23"/>
      <c r="V1199" s="23"/>
      <c r="W1199" s="30">
        <v>45383</v>
      </c>
      <c r="X1199" s="30">
        <v>45383</v>
      </c>
      <c r="Y1199" s="30">
        <v>45383</v>
      </c>
      <c r="Z1199" s="55" t="str">
        <f t="shared" ca="1" si="89"/>
        <v>1 Tahun 6 Bulan 30 Hari</v>
      </c>
      <c r="AA1199" s="55" t="s">
        <v>5196</v>
      </c>
      <c r="AB1199" s="56">
        <v>35332</v>
      </c>
      <c r="AC1199" s="31" t="s">
        <v>5197</v>
      </c>
      <c r="AD1199" s="57" t="str">
        <f t="shared" ca="1" si="87"/>
        <v xml:space="preserve">29 Tahun 1 Bulan </v>
      </c>
      <c r="AE1199" s="33" t="s">
        <v>1143</v>
      </c>
      <c r="AF1199" s="71"/>
      <c r="AG1199" s="22" t="s">
        <v>5138</v>
      </c>
      <c r="AH1199" s="58"/>
      <c r="AI1199" s="58"/>
      <c r="AJ1199" s="58"/>
      <c r="AK1199" s="33" t="s">
        <v>308</v>
      </c>
      <c r="AL1199" s="36"/>
    </row>
    <row r="1200" spans="1:38" ht="14.45" customHeight="1" x14ac:dyDescent="0.25">
      <c r="A1200" s="17">
        <v>18</v>
      </c>
      <c r="B1200" s="18"/>
      <c r="C1200" s="50" t="s">
        <v>6103</v>
      </c>
      <c r="D1200" s="20" t="s">
        <v>6104</v>
      </c>
      <c r="E1200" s="21" t="s">
        <v>40</v>
      </c>
      <c r="F1200" s="22" t="s">
        <v>5691</v>
      </c>
      <c r="G1200" s="33" t="s">
        <v>3872</v>
      </c>
      <c r="H1200" s="22" t="s">
        <v>5692</v>
      </c>
      <c r="I1200" s="22" t="s">
        <v>155</v>
      </c>
      <c r="J1200" s="22" t="s">
        <v>5687</v>
      </c>
      <c r="K1200" s="22"/>
      <c r="L1200" s="22"/>
      <c r="M1200" s="22"/>
      <c r="N1200" s="22"/>
      <c r="O1200" s="22"/>
      <c r="P1200" s="22"/>
      <c r="Q1200" s="22"/>
      <c r="R1200" s="22"/>
      <c r="S1200" s="23" t="s">
        <v>5145</v>
      </c>
      <c r="T1200" s="23"/>
      <c r="U1200" s="23"/>
      <c r="V1200" s="23"/>
      <c r="W1200" s="77">
        <v>45931</v>
      </c>
      <c r="X1200" s="30">
        <v>39424</v>
      </c>
      <c r="Y1200" s="30">
        <v>39424</v>
      </c>
      <c r="Z1200" s="31" t="str">
        <f t="shared" ca="1" si="89"/>
        <v>17 Tahun 10 Bulan 23 Hari</v>
      </c>
      <c r="AA1200" s="31" t="s">
        <v>76</v>
      </c>
      <c r="AB1200" s="32">
        <v>31190</v>
      </c>
      <c r="AC1200" s="31" t="s">
        <v>6105</v>
      </c>
      <c r="AD1200" s="22" t="str">
        <f t="shared" ca="1" si="87"/>
        <v xml:space="preserve">40 Tahun 5 Bulan </v>
      </c>
      <c r="AE1200" s="33" t="s">
        <v>5151</v>
      </c>
      <c r="AF1200" s="34"/>
      <c r="AG1200" s="22" t="s">
        <v>5138</v>
      </c>
      <c r="AH1200" s="58"/>
      <c r="AI1200" s="58"/>
      <c r="AJ1200" s="58"/>
      <c r="AK1200" s="33" t="s">
        <v>308</v>
      </c>
      <c r="AL1200" s="36"/>
    </row>
    <row r="1201" spans="1:39" ht="14.45" customHeight="1" x14ac:dyDescent="0.25">
      <c r="A1201" s="17">
        <v>19</v>
      </c>
      <c r="B1201" s="18"/>
      <c r="C1201" s="50" t="s">
        <v>6106</v>
      </c>
      <c r="D1201" s="20" t="s">
        <v>6107</v>
      </c>
      <c r="E1201" s="21" t="s">
        <v>40</v>
      </c>
      <c r="F1201" s="22" t="s">
        <v>5691</v>
      </c>
      <c r="G1201" s="33" t="s">
        <v>3872</v>
      </c>
      <c r="H1201" s="22" t="s">
        <v>5692</v>
      </c>
      <c r="I1201" s="22" t="s">
        <v>155</v>
      </c>
      <c r="J1201" s="22" t="s">
        <v>5687</v>
      </c>
      <c r="K1201" s="22"/>
      <c r="L1201" s="22"/>
      <c r="M1201" s="22"/>
      <c r="N1201" s="22"/>
      <c r="O1201" s="22"/>
      <c r="P1201" s="22"/>
      <c r="Q1201" s="22"/>
      <c r="R1201" s="22"/>
      <c r="S1201" s="23" t="s">
        <v>5145</v>
      </c>
      <c r="T1201" s="23"/>
      <c r="U1201" s="23"/>
      <c r="V1201" s="23"/>
      <c r="W1201" s="77">
        <v>45931</v>
      </c>
      <c r="X1201" s="30">
        <v>39722</v>
      </c>
      <c r="Y1201" s="30">
        <v>39722</v>
      </c>
      <c r="Z1201" s="31" t="str">
        <f t="shared" ca="1" si="89"/>
        <v>17 Tahun 0 Bulan 30 Hari</v>
      </c>
      <c r="AA1201" s="31" t="s">
        <v>76</v>
      </c>
      <c r="AB1201" s="32">
        <v>29839</v>
      </c>
      <c r="AC1201" s="31" t="s">
        <v>6108</v>
      </c>
      <c r="AD1201" s="22" t="str">
        <f t="shared" ca="1" si="87"/>
        <v xml:space="preserve">44 Tahun 1 Bulan </v>
      </c>
      <c r="AE1201" s="33" t="s">
        <v>5151</v>
      </c>
      <c r="AF1201" s="34"/>
      <c r="AG1201" s="22" t="s">
        <v>5138</v>
      </c>
      <c r="AH1201" s="58"/>
      <c r="AI1201" s="58"/>
      <c r="AJ1201" s="58"/>
      <c r="AK1201" s="33" t="s">
        <v>308</v>
      </c>
      <c r="AL1201" s="36"/>
    </row>
    <row r="1202" spans="1:39" ht="14.45" customHeight="1" x14ac:dyDescent="0.25">
      <c r="A1202" s="17">
        <v>20</v>
      </c>
      <c r="B1202" s="18"/>
      <c r="C1202" s="50" t="s">
        <v>6109</v>
      </c>
      <c r="D1202" s="20" t="s">
        <v>6110</v>
      </c>
      <c r="E1202" s="21" t="s">
        <v>40</v>
      </c>
      <c r="F1202" s="22" t="s">
        <v>5691</v>
      </c>
      <c r="G1202" s="33" t="s">
        <v>3872</v>
      </c>
      <c r="H1202" s="22" t="s">
        <v>5692</v>
      </c>
      <c r="I1202" s="22" t="s">
        <v>155</v>
      </c>
      <c r="J1202" s="22" t="s">
        <v>5687</v>
      </c>
      <c r="K1202" s="22"/>
      <c r="L1202" s="22"/>
      <c r="M1202" s="22"/>
      <c r="N1202" s="22"/>
      <c r="O1202" s="22"/>
      <c r="P1202" s="22"/>
      <c r="Q1202" s="22"/>
      <c r="R1202" s="22"/>
      <c r="S1202" s="23" t="s">
        <v>5145</v>
      </c>
      <c r="T1202" s="23"/>
      <c r="U1202" s="23"/>
      <c r="V1202" s="23"/>
      <c r="W1202" s="77">
        <v>45931</v>
      </c>
      <c r="X1202" s="30">
        <v>39722</v>
      </c>
      <c r="Y1202" s="30">
        <v>39722</v>
      </c>
      <c r="Z1202" s="31" t="str">
        <f t="shared" ca="1" si="89"/>
        <v>17 Tahun 0 Bulan 30 Hari</v>
      </c>
      <c r="AA1202" s="31" t="s">
        <v>76</v>
      </c>
      <c r="AB1202" s="32">
        <v>30900</v>
      </c>
      <c r="AC1202" s="31" t="s">
        <v>6021</v>
      </c>
      <c r="AD1202" s="22" t="str">
        <f t="shared" ca="1" si="87"/>
        <v xml:space="preserve">41 Tahun 2 Bulan </v>
      </c>
      <c r="AE1202" s="33" t="s">
        <v>5151</v>
      </c>
      <c r="AF1202" s="34"/>
      <c r="AG1202" s="22" t="s">
        <v>5138</v>
      </c>
      <c r="AH1202" s="58"/>
      <c r="AI1202" s="58"/>
      <c r="AJ1202" s="58"/>
      <c r="AK1202" s="33" t="s">
        <v>308</v>
      </c>
      <c r="AL1202" s="36"/>
    </row>
    <row r="1203" spans="1:39" ht="14.45" customHeight="1" x14ac:dyDescent="0.25">
      <c r="A1203" s="17">
        <v>21</v>
      </c>
      <c r="B1203" s="18"/>
      <c r="C1203" s="50" t="s">
        <v>6111</v>
      </c>
      <c r="D1203" s="20" t="s">
        <v>6112</v>
      </c>
      <c r="E1203" s="21" t="s">
        <v>40</v>
      </c>
      <c r="F1203" s="22" t="s">
        <v>5691</v>
      </c>
      <c r="G1203" s="33" t="s">
        <v>3872</v>
      </c>
      <c r="H1203" s="22" t="s">
        <v>5692</v>
      </c>
      <c r="I1203" s="22" t="s">
        <v>155</v>
      </c>
      <c r="J1203" s="22" t="s">
        <v>5693</v>
      </c>
      <c r="K1203" s="22"/>
      <c r="L1203" s="22"/>
      <c r="M1203" s="22"/>
      <c r="N1203" s="22"/>
      <c r="O1203" s="22"/>
      <c r="P1203" s="22"/>
      <c r="Q1203" s="22"/>
      <c r="R1203" s="22"/>
      <c r="S1203" s="23" t="s">
        <v>286</v>
      </c>
      <c r="T1203" s="23"/>
      <c r="U1203" s="23"/>
      <c r="V1203" s="23"/>
      <c r="W1203" s="77">
        <v>45931</v>
      </c>
      <c r="X1203" s="30">
        <v>39965</v>
      </c>
      <c r="Y1203" s="30">
        <v>39965</v>
      </c>
      <c r="Z1203" s="31" t="str">
        <f t="shared" ca="1" si="89"/>
        <v>16 Tahun 4 Bulan 30 Hari</v>
      </c>
      <c r="AA1203" s="31" t="s">
        <v>76</v>
      </c>
      <c r="AB1203" s="32">
        <v>31244</v>
      </c>
      <c r="AC1203" s="31" t="s">
        <v>6113</v>
      </c>
      <c r="AD1203" s="22" t="str">
        <f t="shared" ca="1" si="87"/>
        <v xml:space="preserve">40 Tahun 3 Bulan </v>
      </c>
      <c r="AE1203" s="33" t="s">
        <v>5201</v>
      </c>
      <c r="AF1203" s="34"/>
      <c r="AG1203" s="22" t="s">
        <v>5138</v>
      </c>
      <c r="AH1203" s="58"/>
      <c r="AI1203" s="58"/>
      <c r="AJ1203" s="58"/>
      <c r="AK1203" s="33" t="s">
        <v>308</v>
      </c>
      <c r="AL1203" s="36"/>
    </row>
    <row r="1204" spans="1:39" ht="14.45" customHeight="1" x14ac:dyDescent="0.25">
      <c r="A1204" s="17">
        <v>1</v>
      </c>
      <c r="B1204" s="18"/>
      <c r="C1204" s="50" t="s">
        <v>6114</v>
      </c>
      <c r="D1204" s="20" t="s">
        <v>6115</v>
      </c>
      <c r="E1204" s="21" t="s">
        <v>40</v>
      </c>
      <c r="F1204" s="22" t="s">
        <v>5691</v>
      </c>
      <c r="G1204" s="33" t="s">
        <v>3872</v>
      </c>
      <c r="H1204" s="22" t="s">
        <v>5692</v>
      </c>
      <c r="I1204" s="22" t="s">
        <v>155</v>
      </c>
      <c r="J1204" s="22" t="s">
        <v>5693</v>
      </c>
      <c r="K1204" s="22"/>
      <c r="L1204" s="22"/>
      <c r="M1204" s="22"/>
      <c r="N1204" s="22"/>
      <c r="O1204" s="22"/>
      <c r="P1204" s="22"/>
      <c r="Q1204" s="22"/>
      <c r="R1204" s="22"/>
      <c r="S1204" s="23" t="s">
        <v>5202</v>
      </c>
      <c r="T1204" s="23"/>
      <c r="U1204" s="23"/>
      <c r="V1204" s="23"/>
      <c r="W1204" s="77">
        <v>45931</v>
      </c>
      <c r="X1204" s="30">
        <v>39965</v>
      </c>
      <c r="Y1204" s="30">
        <v>39965</v>
      </c>
      <c r="Z1204" s="31" t="str">
        <f t="shared" ca="1" si="89"/>
        <v>16 Tahun 4 Bulan 30 Hari</v>
      </c>
      <c r="AA1204" s="31" t="s">
        <v>76</v>
      </c>
      <c r="AB1204" s="32">
        <v>30431</v>
      </c>
      <c r="AC1204" s="31" t="s">
        <v>6116</v>
      </c>
      <c r="AD1204" s="22" t="str">
        <f t="shared" ca="1" si="87"/>
        <v xml:space="preserve">42 Tahun 6 Bulan </v>
      </c>
      <c r="AE1204" s="33" t="s">
        <v>5203</v>
      </c>
      <c r="AF1204" s="34"/>
      <c r="AG1204" s="22" t="s">
        <v>5138</v>
      </c>
      <c r="AH1204" s="58"/>
      <c r="AI1204" s="58"/>
      <c r="AJ1204" s="58"/>
      <c r="AK1204" s="33"/>
      <c r="AL1204" s="36"/>
    </row>
    <row r="1205" spans="1:39" ht="14.45" customHeight="1" x14ac:dyDescent="0.25">
      <c r="A1205" s="17">
        <v>2</v>
      </c>
      <c r="B1205" s="18"/>
      <c r="C1205" s="50" t="s">
        <v>5204</v>
      </c>
      <c r="D1205" s="20" t="s">
        <v>5205</v>
      </c>
      <c r="E1205" s="21" t="s">
        <v>40</v>
      </c>
      <c r="F1205" s="22" t="s">
        <v>66</v>
      </c>
      <c r="G1205" s="33" t="s">
        <v>3872</v>
      </c>
      <c r="H1205" s="22" t="s">
        <v>3872</v>
      </c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3" t="s">
        <v>5145</v>
      </c>
      <c r="T1205" s="23"/>
      <c r="U1205" s="23"/>
      <c r="V1205" s="23"/>
      <c r="W1205" s="22"/>
      <c r="X1205" s="30">
        <v>40360</v>
      </c>
      <c r="Y1205" s="30">
        <v>40360</v>
      </c>
      <c r="Z1205" s="31" t="str">
        <f t="shared" ca="1" si="89"/>
        <v>15 Tahun 3 Bulan 30 Hari</v>
      </c>
      <c r="AA1205" s="31" t="s">
        <v>76</v>
      </c>
      <c r="AB1205" s="32">
        <v>29890</v>
      </c>
      <c r="AC1205" s="32" t="s">
        <v>5206</v>
      </c>
      <c r="AD1205" s="22" t="str">
        <f t="shared" ca="1" si="87"/>
        <v xml:space="preserve">44 Tahun 0 Bulan </v>
      </c>
      <c r="AE1205" s="33" t="s">
        <v>5151</v>
      </c>
      <c r="AF1205" s="34"/>
      <c r="AG1205" s="22" t="s">
        <v>5138</v>
      </c>
      <c r="AH1205" s="22"/>
      <c r="AI1205" s="22"/>
      <c r="AJ1205" s="22"/>
      <c r="AK1205" s="33"/>
      <c r="AL1205" s="36"/>
    </row>
    <row r="1206" spans="1:39" ht="14.45" customHeight="1" x14ac:dyDescent="0.25">
      <c r="A1206" s="17">
        <v>3</v>
      </c>
      <c r="B1206" s="18"/>
      <c r="C1206" s="50" t="s">
        <v>6117</v>
      </c>
      <c r="D1206" s="20" t="s">
        <v>6118</v>
      </c>
      <c r="E1206" s="22" t="s">
        <v>40</v>
      </c>
      <c r="F1206" s="22" t="s">
        <v>5691</v>
      </c>
      <c r="G1206" s="33" t="s">
        <v>3872</v>
      </c>
      <c r="H1206" s="22" t="s">
        <v>5692</v>
      </c>
      <c r="I1206" s="22" t="s">
        <v>155</v>
      </c>
      <c r="J1206" s="22" t="s">
        <v>5687</v>
      </c>
      <c r="K1206" s="30"/>
      <c r="L1206" s="22"/>
      <c r="M1206" s="22"/>
      <c r="N1206" s="22"/>
      <c r="O1206" s="22"/>
      <c r="P1206" s="22"/>
      <c r="Q1206" s="22"/>
      <c r="R1206" s="22"/>
      <c r="S1206" s="33" t="s">
        <v>5207</v>
      </c>
      <c r="T1206" s="33"/>
      <c r="U1206" s="33"/>
      <c r="V1206" s="33"/>
      <c r="W1206" s="30">
        <v>45931</v>
      </c>
      <c r="X1206" s="30">
        <v>42095</v>
      </c>
      <c r="Y1206" s="30">
        <v>42114</v>
      </c>
      <c r="Z1206" s="31" t="str">
        <f t="shared" ca="1" si="89"/>
        <v>10 Tahun 6 Bulan 30 Hari</v>
      </c>
      <c r="AA1206" s="31" t="s">
        <v>563</v>
      </c>
      <c r="AB1206" s="32">
        <v>31662</v>
      </c>
      <c r="AC1206" s="31" t="s">
        <v>6119</v>
      </c>
      <c r="AD1206" s="22" t="str">
        <f t="shared" ca="1" si="87"/>
        <v xml:space="preserve">39 Tahun 1 Bulan </v>
      </c>
      <c r="AE1206" s="33" t="s">
        <v>5201</v>
      </c>
      <c r="AF1206" s="114"/>
      <c r="AG1206" s="22" t="s">
        <v>5138</v>
      </c>
      <c r="AH1206" s="22"/>
      <c r="AI1206" s="22"/>
      <c r="AJ1206" s="22"/>
      <c r="AK1206" s="33"/>
      <c r="AL1206" s="36"/>
    </row>
    <row r="1207" spans="1:39" ht="14.45" customHeight="1" x14ac:dyDescent="0.25">
      <c r="A1207" s="17">
        <v>4</v>
      </c>
      <c r="B1207" s="18"/>
      <c r="C1207" s="50" t="s">
        <v>6120</v>
      </c>
      <c r="D1207" s="20" t="s">
        <v>6121</v>
      </c>
      <c r="E1207" s="22" t="s">
        <v>56</v>
      </c>
      <c r="F1207" s="22" t="s">
        <v>238</v>
      </c>
      <c r="G1207" s="33" t="s">
        <v>3872</v>
      </c>
      <c r="H1207" s="22" t="s">
        <v>239</v>
      </c>
      <c r="I1207" s="22" t="s">
        <v>155</v>
      </c>
      <c r="J1207" s="22" t="s">
        <v>5687</v>
      </c>
      <c r="K1207" s="30"/>
      <c r="L1207" s="22"/>
      <c r="M1207" s="22"/>
      <c r="N1207" s="22"/>
      <c r="O1207" s="22"/>
      <c r="P1207" s="22"/>
      <c r="Q1207" s="22"/>
      <c r="R1207" s="22"/>
      <c r="S1207" s="33" t="s">
        <v>6122</v>
      </c>
      <c r="T1207" s="33"/>
      <c r="U1207" s="33"/>
      <c r="V1207" s="33"/>
      <c r="W1207" s="30">
        <v>45931</v>
      </c>
      <c r="X1207" s="30">
        <v>42370</v>
      </c>
      <c r="Y1207" s="30">
        <v>42401</v>
      </c>
      <c r="Z1207" s="31" t="str">
        <f t="shared" ca="1" si="89"/>
        <v>9 Tahun 9 Bulan 30 Hari</v>
      </c>
      <c r="AA1207" s="31" t="s">
        <v>76</v>
      </c>
      <c r="AB1207" s="32">
        <v>30639</v>
      </c>
      <c r="AC1207" s="31" t="s">
        <v>6123</v>
      </c>
      <c r="AD1207" s="22" t="str">
        <f t="shared" ca="1" si="87"/>
        <v xml:space="preserve">41 Tahun 11 Bulan </v>
      </c>
      <c r="AE1207" s="33" t="s">
        <v>5201</v>
      </c>
      <c r="AF1207" s="34"/>
      <c r="AG1207" s="22" t="s">
        <v>5138</v>
      </c>
      <c r="AH1207" s="22"/>
      <c r="AI1207" s="22"/>
      <c r="AJ1207" s="22"/>
      <c r="AK1207" s="33"/>
      <c r="AL1207" s="36"/>
    </row>
    <row r="1208" spans="1:39" ht="14.45" customHeight="1" x14ac:dyDescent="0.25">
      <c r="A1208" s="17">
        <v>5</v>
      </c>
      <c r="B1208" s="18"/>
      <c r="C1208" s="50" t="s">
        <v>6124</v>
      </c>
      <c r="D1208" s="20" t="s">
        <v>6125</v>
      </c>
      <c r="E1208" s="22" t="s">
        <v>40</v>
      </c>
      <c r="F1208" s="22" t="s">
        <v>238</v>
      </c>
      <c r="G1208" s="33" t="s">
        <v>3872</v>
      </c>
      <c r="H1208" s="22" t="s">
        <v>1078</v>
      </c>
      <c r="I1208" s="22" t="s">
        <v>155</v>
      </c>
      <c r="J1208" s="22" t="s">
        <v>5693</v>
      </c>
      <c r="K1208" s="30"/>
      <c r="L1208" s="22"/>
      <c r="M1208" s="22"/>
      <c r="N1208" s="22"/>
      <c r="O1208" s="22"/>
      <c r="P1208" s="22"/>
      <c r="Q1208" s="22"/>
      <c r="R1208" s="22"/>
      <c r="S1208" s="33" t="s">
        <v>5209</v>
      </c>
      <c r="T1208" s="33"/>
      <c r="U1208" s="33"/>
      <c r="V1208" s="33"/>
      <c r="W1208" s="30">
        <v>45931</v>
      </c>
      <c r="X1208" s="30">
        <v>45261</v>
      </c>
      <c r="Y1208" s="30">
        <v>45261</v>
      </c>
      <c r="Z1208" s="31" t="str">
        <f t="shared" ca="1" si="89"/>
        <v>1 Tahun 10 Bulan 30 Hari</v>
      </c>
      <c r="AA1208" s="31" t="s">
        <v>76</v>
      </c>
      <c r="AB1208" s="32">
        <v>31607</v>
      </c>
      <c r="AC1208" s="31" t="s">
        <v>6126</v>
      </c>
      <c r="AD1208" s="22" t="str">
        <f t="shared" ca="1" si="87"/>
        <v xml:space="preserve">39 Tahun 3 Bulan </v>
      </c>
      <c r="AE1208" s="33" t="s">
        <v>5210</v>
      </c>
      <c r="AF1208" s="34"/>
      <c r="AG1208" s="22" t="s">
        <v>5138</v>
      </c>
      <c r="AH1208" s="22"/>
      <c r="AI1208" s="22"/>
      <c r="AJ1208" s="22"/>
      <c r="AK1208" s="33"/>
      <c r="AL1208" s="36"/>
      <c r="AM1208" s="14"/>
    </row>
    <row r="1209" spans="1:39" ht="14.45" customHeight="1" x14ac:dyDescent="0.25">
      <c r="A1209" s="17">
        <v>6</v>
      </c>
      <c r="B1209" s="18"/>
      <c r="C1209" s="50" t="s">
        <v>5211</v>
      </c>
      <c r="D1209" s="20" t="s">
        <v>5212</v>
      </c>
      <c r="E1209" s="21" t="s">
        <v>56</v>
      </c>
      <c r="F1209" s="22" t="s">
        <v>41</v>
      </c>
      <c r="G1209" s="23" t="s">
        <v>42</v>
      </c>
      <c r="H1209" s="22" t="s">
        <v>43</v>
      </c>
      <c r="I1209" s="22" t="s">
        <v>44</v>
      </c>
      <c r="J1209" s="22" t="s">
        <v>5213</v>
      </c>
      <c r="K1209" s="24">
        <v>45200</v>
      </c>
      <c r="L1209" s="53" t="s">
        <v>5214</v>
      </c>
      <c r="M1209" s="26">
        <v>43049</v>
      </c>
      <c r="N1209" s="26">
        <v>44791</v>
      </c>
      <c r="O1209" s="27" t="s">
        <v>5215</v>
      </c>
      <c r="P1209" s="28" t="s">
        <v>5216</v>
      </c>
      <c r="Q1209" s="29">
        <v>42757</v>
      </c>
      <c r="R1209" s="26">
        <v>44791</v>
      </c>
      <c r="S1209" s="23" t="s">
        <v>5217</v>
      </c>
      <c r="T1209" s="23"/>
      <c r="U1209" s="23"/>
      <c r="V1209" s="23"/>
      <c r="W1209" s="30">
        <v>32933</v>
      </c>
      <c r="X1209" s="30">
        <v>32933</v>
      </c>
      <c r="Y1209" s="30">
        <v>41791</v>
      </c>
      <c r="Z1209" s="31" t="str">
        <f ca="1">DATEDIF(W1209,TODAY(),"y")&amp;" Tahun "&amp;DATEDIF(W1209,TODAY(),"ym")&amp;" Bulan "&amp;DATEDIF(W1209,TODAY(),"md")&amp;" Hari"</f>
        <v>35 Tahun 7 Bulan 30 Hari</v>
      </c>
      <c r="AA1209" s="31" t="s">
        <v>76</v>
      </c>
      <c r="AB1209" s="32">
        <v>24702</v>
      </c>
      <c r="AC1209" s="31" t="s">
        <v>5218</v>
      </c>
      <c r="AD1209" s="22" t="str">
        <f t="shared" ca="1" si="87"/>
        <v xml:space="preserve">58 Tahun 2 Bulan </v>
      </c>
      <c r="AE1209" s="33" t="s">
        <v>4118</v>
      </c>
      <c r="AF1209" s="34"/>
      <c r="AG1209" s="22" t="s">
        <v>5219</v>
      </c>
      <c r="AH1209" s="22"/>
      <c r="AI1209" s="22"/>
      <c r="AJ1209" s="22"/>
      <c r="AK1209" s="33"/>
      <c r="AL1209" s="36"/>
      <c r="AM1209" s="14"/>
    </row>
    <row r="1210" spans="1:39" ht="14.45" customHeight="1" x14ac:dyDescent="0.25">
      <c r="A1210" s="17">
        <v>7</v>
      </c>
      <c r="B1210" s="18"/>
      <c r="C1210" s="50" t="s">
        <v>5220</v>
      </c>
      <c r="D1210" s="20" t="s">
        <v>5221</v>
      </c>
      <c r="E1210" s="21" t="s">
        <v>40</v>
      </c>
      <c r="F1210" s="22" t="s">
        <v>41</v>
      </c>
      <c r="G1210" s="23" t="s">
        <v>42</v>
      </c>
      <c r="H1210" s="22" t="s">
        <v>43</v>
      </c>
      <c r="I1210" s="22" t="s">
        <v>44</v>
      </c>
      <c r="J1210" s="22" t="s">
        <v>5213</v>
      </c>
      <c r="K1210" s="24">
        <v>45200</v>
      </c>
      <c r="L1210" s="53" t="s">
        <v>5222</v>
      </c>
      <c r="M1210" s="26">
        <v>43049</v>
      </c>
      <c r="N1210" s="26">
        <v>44650</v>
      </c>
      <c r="O1210" s="27" t="s">
        <v>5215</v>
      </c>
      <c r="P1210" s="53" t="s">
        <v>5223</v>
      </c>
      <c r="Q1210" s="26">
        <v>43122</v>
      </c>
      <c r="R1210" s="26">
        <v>44650</v>
      </c>
      <c r="S1210" s="23" t="s">
        <v>5224</v>
      </c>
      <c r="T1210" s="23"/>
      <c r="U1210" s="23"/>
      <c r="V1210" s="23"/>
      <c r="W1210" s="30">
        <v>32203</v>
      </c>
      <c r="X1210" s="30">
        <v>32203</v>
      </c>
      <c r="Y1210" s="30">
        <v>41791</v>
      </c>
      <c r="Z1210" s="31" t="str">
        <f ca="1">DATEDIF(W1210,TODAY(),"y")&amp;" Tahun "&amp;DATEDIF(W1210,TODAY(),"ym")&amp;" Bulan "&amp;DATEDIF(W1210,TODAY(),"md")&amp;" Hari"</f>
        <v>37 Tahun 7 Bulan 30 Hari</v>
      </c>
      <c r="AA1210" s="31" t="s">
        <v>2050</v>
      </c>
      <c r="AB1210" s="32">
        <v>24196</v>
      </c>
      <c r="AC1210" s="31" t="s">
        <v>5225</v>
      </c>
      <c r="AD1210" s="22" t="str">
        <f t="shared" ca="1" si="87"/>
        <v xml:space="preserve">59 Tahun 7 Bulan </v>
      </c>
      <c r="AE1210" s="33" t="s">
        <v>5226</v>
      </c>
      <c r="AF1210" s="34"/>
      <c r="AG1210" s="22" t="s">
        <v>5219</v>
      </c>
      <c r="AH1210" s="22"/>
      <c r="AI1210" s="22"/>
      <c r="AJ1210" s="22"/>
      <c r="AK1210" s="33"/>
      <c r="AL1210" s="36"/>
    </row>
    <row r="1211" spans="1:39" ht="14.45" customHeight="1" x14ac:dyDescent="0.25">
      <c r="A1211" s="17">
        <v>8</v>
      </c>
      <c r="B1211" s="18"/>
      <c r="C1211" s="50" t="s">
        <v>5227</v>
      </c>
      <c r="D1211" s="20" t="s">
        <v>5228</v>
      </c>
      <c r="E1211" s="21" t="s">
        <v>40</v>
      </c>
      <c r="F1211" s="22" t="s">
        <v>41</v>
      </c>
      <c r="G1211" s="23" t="s">
        <v>137</v>
      </c>
      <c r="H1211" s="22" t="s">
        <v>138</v>
      </c>
      <c r="I1211" s="22" t="s">
        <v>44</v>
      </c>
      <c r="J1211" s="22" t="s">
        <v>5229</v>
      </c>
      <c r="K1211" s="24">
        <v>42370</v>
      </c>
      <c r="L1211" s="53" t="s">
        <v>5230</v>
      </c>
      <c r="M1211" s="26">
        <v>43049</v>
      </c>
      <c r="N1211" s="26">
        <v>44802</v>
      </c>
      <c r="O1211" s="27" t="s">
        <v>5231</v>
      </c>
      <c r="P1211" s="53" t="s">
        <v>5232</v>
      </c>
      <c r="Q1211" s="26">
        <v>43122</v>
      </c>
      <c r="R1211" s="26">
        <v>44802</v>
      </c>
      <c r="S1211" s="23" t="s">
        <v>5233</v>
      </c>
      <c r="T1211" s="23"/>
      <c r="U1211" s="23"/>
      <c r="V1211" s="23"/>
      <c r="W1211" s="30">
        <v>33664</v>
      </c>
      <c r="X1211" s="30">
        <v>33664</v>
      </c>
      <c r="Y1211" s="30">
        <v>33664</v>
      </c>
      <c r="Z1211" s="31" t="str">
        <f ca="1">DATEDIF(W1211,TODAY(),"y")&amp;" Tahun "&amp;DATEDIF(W1211,TODAY(),"ym")&amp;" Bulan "&amp;DATEDIF(W1211,TODAY(),"md")&amp;" Hari"</f>
        <v>33 Tahun 7 Bulan 30 Hari</v>
      </c>
      <c r="AA1211" s="31" t="s">
        <v>60</v>
      </c>
      <c r="AB1211" s="32">
        <v>25079</v>
      </c>
      <c r="AC1211" s="31" t="s">
        <v>5234</v>
      </c>
      <c r="AD1211" s="22" t="str">
        <f t="shared" ca="1" si="87"/>
        <v xml:space="preserve">57 Tahun 2 Bulan </v>
      </c>
      <c r="AE1211" s="33" t="s">
        <v>5226</v>
      </c>
      <c r="AF1211" s="34"/>
      <c r="AG1211" s="22" t="s">
        <v>5219</v>
      </c>
      <c r="AH1211" s="22"/>
      <c r="AI1211" s="22"/>
      <c r="AJ1211" s="22"/>
      <c r="AK1211" s="33"/>
      <c r="AL1211" s="36"/>
    </row>
    <row r="1212" spans="1:39" ht="14.45" customHeight="1" x14ac:dyDescent="0.25">
      <c r="A1212" s="17">
        <v>9</v>
      </c>
      <c r="B1212" s="18"/>
      <c r="C1212" s="50" t="s">
        <v>5235</v>
      </c>
      <c r="D1212" s="20" t="s">
        <v>5236</v>
      </c>
      <c r="E1212" s="21" t="s">
        <v>56</v>
      </c>
      <c r="F1212" s="22" t="s">
        <v>41</v>
      </c>
      <c r="G1212" s="23" t="s">
        <v>137</v>
      </c>
      <c r="H1212" s="22" t="s">
        <v>138</v>
      </c>
      <c r="I1212" s="22" t="s">
        <v>44</v>
      </c>
      <c r="J1212" s="22" t="s">
        <v>5229</v>
      </c>
      <c r="K1212" s="24">
        <v>42461</v>
      </c>
      <c r="L1212" s="28" t="s">
        <v>5237</v>
      </c>
      <c r="M1212" s="29">
        <v>43032</v>
      </c>
      <c r="N1212" s="26">
        <v>44690</v>
      </c>
      <c r="O1212" s="27" t="s">
        <v>5231</v>
      </c>
      <c r="P1212" s="53" t="s">
        <v>5238</v>
      </c>
      <c r="Q1212" s="26">
        <v>43040</v>
      </c>
      <c r="R1212" s="26">
        <v>44690</v>
      </c>
      <c r="S1212" s="33" t="s">
        <v>5239</v>
      </c>
      <c r="T1212" s="23"/>
      <c r="U1212" s="23"/>
      <c r="V1212" s="23"/>
      <c r="W1212" s="30">
        <v>33239</v>
      </c>
      <c r="X1212" s="30">
        <v>33239</v>
      </c>
      <c r="Y1212" s="30">
        <v>41791</v>
      </c>
      <c r="Z1212" s="31" t="str">
        <f ca="1">DATEDIF(W1212,TODAY(),"y")&amp;" Tahun "&amp;DATEDIF(W1212,TODAY(),"ym")&amp;" Bulan "&amp;DATEDIF(W1212,TODAY(),"md")&amp;" Hari"</f>
        <v>34 Tahun 9 Bulan 30 Hari</v>
      </c>
      <c r="AA1212" s="31" t="s">
        <v>570</v>
      </c>
      <c r="AB1212" s="32">
        <v>25697</v>
      </c>
      <c r="AC1212" s="32" t="s">
        <v>5240</v>
      </c>
      <c r="AD1212" s="22" t="str">
        <f t="shared" ca="1" si="87"/>
        <v xml:space="preserve">55 Tahun 5 Bulan </v>
      </c>
      <c r="AE1212" s="33" t="s">
        <v>5226</v>
      </c>
      <c r="AF1212" s="34"/>
      <c r="AG1212" s="22" t="s">
        <v>5219</v>
      </c>
      <c r="AH1212" s="22"/>
      <c r="AI1212" s="22"/>
      <c r="AJ1212" s="22"/>
      <c r="AK1212" s="33"/>
      <c r="AL1212" s="36"/>
    </row>
    <row r="1213" spans="1:39" ht="14.45" customHeight="1" x14ac:dyDescent="0.25">
      <c r="A1213" s="17">
        <v>10</v>
      </c>
      <c r="B1213" s="76"/>
      <c r="C1213" s="50" t="s">
        <v>5241</v>
      </c>
      <c r="D1213" s="20" t="s">
        <v>5242</v>
      </c>
      <c r="E1213" s="52" t="s">
        <v>40</v>
      </c>
      <c r="F1213" s="58" t="s">
        <v>41</v>
      </c>
      <c r="G1213" s="23" t="s">
        <v>102</v>
      </c>
      <c r="H1213" s="22" t="s">
        <v>103</v>
      </c>
      <c r="I1213" s="22" t="s">
        <v>155</v>
      </c>
      <c r="J1213" s="22" t="s">
        <v>156</v>
      </c>
      <c r="K1213" s="24">
        <v>45748</v>
      </c>
      <c r="L1213" s="22"/>
      <c r="M1213" s="22"/>
      <c r="N1213" s="22"/>
      <c r="O1213" s="22"/>
      <c r="P1213" s="22"/>
      <c r="Q1213" s="22"/>
      <c r="R1213" s="22"/>
      <c r="S1213" s="23" t="s">
        <v>5243</v>
      </c>
      <c r="T1213" s="23"/>
      <c r="U1213" s="23"/>
      <c r="V1213" s="23"/>
      <c r="W1213" s="30">
        <v>39083</v>
      </c>
      <c r="X1213" s="30">
        <v>34516</v>
      </c>
      <c r="Y1213" s="30">
        <v>34516</v>
      </c>
      <c r="Z1213" s="55" t="str">
        <f ca="1">DATEDIF(W1213,TODAY(),"y")&amp;" Tahun "&amp;DATEDIF(W1213,TODAY(),"ym")&amp;" Bulan "&amp;DATEDIF(W1213,TODAY(),"md")&amp;" Hari"</f>
        <v>18 Tahun 9 Bulan 30 Hari</v>
      </c>
      <c r="AA1213" s="55" t="s">
        <v>76</v>
      </c>
      <c r="AB1213" s="56">
        <v>26235</v>
      </c>
      <c r="AC1213" s="31" t="s">
        <v>5244</v>
      </c>
      <c r="AD1213" s="57" t="str">
        <f t="shared" ca="1" si="87"/>
        <v xml:space="preserve">54 Tahun 0 Bulan </v>
      </c>
      <c r="AE1213" s="33" t="s">
        <v>242</v>
      </c>
      <c r="AF1213" s="71"/>
      <c r="AG1213" s="22" t="s">
        <v>5219</v>
      </c>
      <c r="AH1213" s="22"/>
      <c r="AI1213" s="22"/>
      <c r="AJ1213" s="22"/>
      <c r="AK1213" s="33"/>
      <c r="AL1213" s="36"/>
    </row>
    <row r="1214" spans="1:39" ht="14.45" customHeight="1" x14ac:dyDescent="0.25">
      <c r="A1214" s="17">
        <v>11</v>
      </c>
      <c r="B1214" s="18"/>
      <c r="C1214" s="50" t="s">
        <v>5245</v>
      </c>
      <c r="D1214" s="20" t="s">
        <v>5246</v>
      </c>
      <c r="E1214" s="21" t="s">
        <v>40</v>
      </c>
      <c r="F1214" s="22" t="s">
        <v>238</v>
      </c>
      <c r="G1214" s="33" t="s">
        <v>3872</v>
      </c>
      <c r="H1214" s="22" t="s">
        <v>1078</v>
      </c>
      <c r="I1214" s="22" t="s">
        <v>44</v>
      </c>
      <c r="J1214" s="22" t="s">
        <v>5247</v>
      </c>
      <c r="K1214" s="22"/>
      <c r="L1214" s="53" t="s">
        <v>5248</v>
      </c>
      <c r="M1214" s="26">
        <v>43049</v>
      </c>
      <c r="N1214" s="26">
        <v>44685</v>
      </c>
      <c r="O1214" s="27" t="s">
        <v>5231</v>
      </c>
      <c r="P1214" s="53" t="s">
        <v>5249</v>
      </c>
      <c r="Q1214" s="26">
        <v>43122</v>
      </c>
      <c r="R1214" s="26">
        <v>44685</v>
      </c>
      <c r="S1214" s="33" t="s">
        <v>5250</v>
      </c>
      <c r="T1214" s="33"/>
      <c r="U1214" s="33"/>
      <c r="V1214" s="33"/>
      <c r="W1214" s="77">
        <v>45047</v>
      </c>
      <c r="X1214" s="30">
        <v>39965</v>
      </c>
      <c r="Y1214" s="30">
        <v>39965</v>
      </c>
      <c r="Z1214" s="31" t="str">
        <f t="shared" ref="Z1214:Z1219" ca="1" si="90">DATEDIF(X1214,TODAY(),"y")&amp;" Tahun "&amp;DATEDIF(X1214,TODAY(),"ym")&amp;" Bulan "&amp;DATEDIF(X1214,TODAY(),"md")&amp;" Hari"</f>
        <v>16 Tahun 4 Bulan 30 Hari</v>
      </c>
      <c r="AA1214" s="31" t="s">
        <v>312</v>
      </c>
      <c r="AB1214" s="32">
        <v>28979</v>
      </c>
      <c r="AC1214" s="31" t="s">
        <v>5251</v>
      </c>
      <c r="AD1214" s="22" t="str">
        <f t="shared" ca="1" si="87"/>
        <v xml:space="preserve">46 Tahun 5 Bulan </v>
      </c>
      <c r="AE1214" s="33" t="s">
        <v>5226</v>
      </c>
      <c r="AF1214" s="34"/>
      <c r="AG1214" s="22" t="s">
        <v>5219</v>
      </c>
      <c r="AH1214" s="58"/>
      <c r="AI1214" s="58"/>
      <c r="AJ1214" s="58"/>
      <c r="AK1214" s="33"/>
      <c r="AL1214" s="36"/>
    </row>
    <row r="1215" spans="1:39" ht="14.45" customHeight="1" x14ac:dyDescent="0.25">
      <c r="A1215" s="17">
        <v>12</v>
      </c>
      <c r="B1215" s="18"/>
      <c r="C1215" s="50" t="s">
        <v>5252</v>
      </c>
      <c r="D1215" s="20" t="s">
        <v>5253</v>
      </c>
      <c r="E1215" s="21" t="s">
        <v>56</v>
      </c>
      <c r="F1215" s="22" t="s">
        <v>238</v>
      </c>
      <c r="G1215" s="33" t="s">
        <v>3872</v>
      </c>
      <c r="H1215" s="22" t="s">
        <v>1078</v>
      </c>
      <c r="I1215" s="22" t="s">
        <v>44</v>
      </c>
      <c r="J1215" s="22" t="s">
        <v>5247</v>
      </c>
      <c r="K1215" s="22"/>
      <c r="L1215" s="53" t="s">
        <v>5254</v>
      </c>
      <c r="M1215" s="26">
        <v>43049</v>
      </c>
      <c r="N1215" s="26">
        <v>44657</v>
      </c>
      <c r="O1215" s="27" t="s">
        <v>5231</v>
      </c>
      <c r="P1215" s="53" t="s">
        <v>5255</v>
      </c>
      <c r="Q1215" s="26">
        <v>43122</v>
      </c>
      <c r="R1215" s="26">
        <v>44657</v>
      </c>
      <c r="S1215" s="33" t="s">
        <v>5250</v>
      </c>
      <c r="T1215" s="33"/>
      <c r="U1215" s="33"/>
      <c r="V1215" s="33"/>
      <c r="W1215" s="77">
        <v>45047</v>
      </c>
      <c r="X1215" s="30">
        <v>40330</v>
      </c>
      <c r="Y1215" s="30">
        <v>40334</v>
      </c>
      <c r="Z1215" s="31" t="str">
        <f t="shared" ca="1" si="90"/>
        <v>15 Tahun 4 Bulan 30 Hari</v>
      </c>
      <c r="AA1215" s="31" t="s">
        <v>76</v>
      </c>
      <c r="AB1215" s="32">
        <v>31143</v>
      </c>
      <c r="AC1215" s="31" t="s">
        <v>5256</v>
      </c>
      <c r="AD1215" s="22" t="str">
        <f t="shared" ca="1" si="87"/>
        <v xml:space="preserve">40 Tahun 6 Bulan </v>
      </c>
      <c r="AE1215" s="33" t="s">
        <v>5226</v>
      </c>
      <c r="AF1215" s="34"/>
      <c r="AG1215" s="22" t="s">
        <v>5219</v>
      </c>
      <c r="AH1215" s="58"/>
      <c r="AI1215" s="58"/>
      <c r="AJ1215" s="58"/>
      <c r="AK1215" s="33"/>
      <c r="AL1215" s="36"/>
    </row>
    <row r="1216" spans="1:39" ht="14.45" customHeight="1" x14ac:dyDescent="0.25">
      <c r="A1216" s="17">
        <v>14</v>
      </c>
      <c r="B1216" s="18"/>
      <c r="C1216" s="50" t="s">
        <v>5257</v>
      </c>
      <c r="D1216" s="20" t="s">
        <v>5258</v>
      </c>
      <c r="E1216" s="21" t="s">
        <v>56</v>
      </c>
      <c r="F1216" s="22" t="s">
        <v>66</v>
      </c>
      <c r="G1216" s="23" t="s">
        <v>3872</v>
      </c>
      <c r="H1216" s="22" t="s">
        <v>3872</v>
      </c>
      <c r="I1216" s="22"/>
      <c r="J1216" s="22"/>
      <c r="K1216" s="22"/>
      <c r="L1216" s="25" t="s">
        <v>5259</v>
      </c>
      <c r="M1216" s="29">
        <v>74799</v>
      </c>
      <c r="N1216" s="26">
        <v>43573</v>
      </c>
      <c r="O1216" s="27" t="s">
        <v>5226</v>
      </c>
      <c r="P1216" s="25" t="s">
        <v>5260</v>
      </c>
      <c r="Q1216" s="29">
        <v>42086</v>
      </c>
      <c r="R1216" s="26">
        <v>43573</v>
      </c>
      <c r="S1216" s="33" t="s">
        <v>1084</v>
      </c>
      <c r="T1216" s="33"/>
      <c r="U1216" s="33"/>
      <c r="V1216" s="33"/>
      <c r="W1216" s="22"/>
      <c r="X1216" s="30">
        <v>41030</v>
      </c>
      <c r="Y1216" s="30">
        <v>41791</v>
      </c>
      <c r="Z1216" s="31" t="str">
        <f t="shared" ca="1" si="90"/>
        <v>13 Tahun 5 Bulan 30 Hari</v>
      </c>
      <c r="AA1216" s="31" t="s">
        <v>5136</v>
      </c>
      <c r="AB1216" s="32">
        <v>29694</v>
      </c>
      <c r="AC1216" s="31" t="s">
        <v>5261</v>
      </c>
      <c r="AD1216" s="22" t="str">
        <f t="shared" ca="1" si="87"/>
        <v xml:space="preserve">44 Tahun 6 Bulan </v>
      </c>
      <c r="AE1216" s="33" t="s">
        <v>5226</v>
      </c>
      <c r="AF1216" s="34"/>
      <c r="AG1216" s="22" t="s">
        <v>5219</v>
      </c>
      <c r="AH1216" s="58"/>
      <c r="AI1216" s="58"/>
      <c r="AJ1216" s="58"/>
      <c r="AK1216" s="33" t="s">
        <v>485</v>
      </c>
      <c r="AL1216" s="36"/>
    </row>
    <row r="1217" spans="1:39" ht="14.45" customHeight="1" x14ac:dyDescent="0.25">
      <c r="A1217" s="17">
        <v>15</v>
      </c>
      <c r="B1217" s="18"/>
      <c r="C1217" s="50" t="s">
        <v>5263</v>
      </c>
      <c r="D1217" s="20" t="s">
        <v>5264</v>
      </c>
      <c r="E1217" s="22" t="s">
        <v>56</v>
      </c>
      <c r="F1217" s="22" t="s">
        <v>238</v>
      </c>
      <c r="G1217" s="23" t="s">
        <v>3872</v>
      </c>
      <c r="H1217" s="22" t="s">
        <v>239</v>
      </c>
      <c r="I1217" s="22" t="s">
        <v>44</v>
      </c>
      <c r="J1217" s="22" t="s">
        <v>5265</v>
      </c>
      <c r="K1217" s="30"/>
      <c r="L1217" s="22"/>
      <c r="M1217" s="22"/>
      <c r="N1217" s="22"/>
      <c r="O1217" s="22"/>
      <c r="P1217" s="22"/>
      <c r="Q1217" s="22"/>
      <c r="R1217" s="22"/>
      <c r="S1217" s="23" t="s">
        <v>5266</v>
      </c>
      <c r="T1217" s="23"/>
      <c r="U1217" s="23"/>
      <c r="V1217" s="23"/>
      <c r="W1217" s="30">
        <v>45047</v>
      </c>
      <c r="X1217" s="30">
        <v>42370</v>
      </c>
      <c r="Y1217" s="30">
        <v>44197</v>
      </c>
      <c r="Z1217" s="31" t="str">
        <f t="shared" ca="1" si="90"/>
        <v>9 Tahun 9 Bulan 30 Hari</v>
      </c>
      <c r="AA1217" s="31" t="s">
        <v>141</v>
      </c>
      <c r="AB1217" s="32">
        <v>34030</v>
      </c>
      <c r="AC1217" s="32" t="s">
        <v>5267</v>
      </c>
      <c r="AD1217" s="22" t="str">
        <f t="shared" ca="1" si="87"/>
        <v xml:space="preserve">32 Tahun 7 Bulan </v>
      </c>
      <c r="AE1217" s="33" t="s">
        <v>5268</v>
      </c>
      <c r="AF1217" s="34"/>
      <c r="AG1217" s="22" t="s">
        <v>5219</v>
      </c>
      <c r="AH1217" s="58"/>
      <c r="AI1217" s="58"/>
      <c r="AJ1217" s="58"/>
      <c r="AK1217" s="33" t="s">
        <v>485</v>
      </c>
      <c r="AL1217" s="36"/>
    </row>
    <row r="1218" spans="1:39" ht="14.45" customHeight="1" x14ac:dyDescent="0.25">
      <c r="A1218" s="17">
        <v>16</v>
      </c>
      <c r="B1218" s="18"/>
      <c r="C1218" s="50" t="s">
        <v>5269</v>
      </c>
      <c r="D1218" s="20">
        <v>2023120734</v>
      </c>
      <c r="E1218" s="22" t="s">
        <v>40</v>
      </c>
      <c r="F1218" s="22" t="s">
        <v>1063</v>
      </c>
      <c r="G1218" s="23" t="s">
        <v>3872</v>
      </c>
      <c r="H1218" s="22" t="s">
        <v>3872</v>
      </c>
      <c r="I1218" s="22"/>
      <c r="J1218" s="22"/>
      <c r="K1218" s="30"/>
      <c r="L1218" s="22"/>
      <c r="M1218" s="22"/>
      <c r="N1218" s="22"/>
      <c r="O1218" s="22"/>
      <c r="P1218" s="22"/>
      <c r="Q1218" s="22"/>
      <c r="R1218" s="22"/>
      <c r="S1218" s="23" t="s">
        <v>5209</v>
      </c>
      <c r="T1218" s="23"/>
      <c r="U1218" s="23"/>
      <c r="V1218" s="23"/>
      <c r="W1218" s="30"/>
      <c r="X1218" s="30">
        <v>45261</v>
      </c>
      <c r="Y1218" s="30">
        <v>45261</v>
      </c>
      <c r="Z1218" s="31" t="str">
        <f t="shared" ca="1" si="90"/>
        <v>1 Tahun 10 Bulan 30 Hari</v>
      </c>
      <c r="AA1218" s="31" t="s">
        <v>76</v>
      </c>
      <c r="AB1218" s="32">
        <v>29230</v>
      </c>
      <c r="AC1218" s="32" t="s">
        <v>5270</v>
      </c>
      <c r="AD1218" s="22" t="str">
        <f t="shared" ca="1" si="87"/>
        <v xml:space="preserve">45 Tahun 9 Bulan </v>
      </c>
      <c r="AE1218" s="33" t="s">
        <v>1069</v>
      </c>
      <c r="AF1218" s="34"/>
      <c r="AG1218" s="22" t="s">
        <v>5219</v>
      </c>
      <c r="AH1218" s="58"/>
      <c r="AI1218" s="58"/>
      <c r="AJ1218" s="58"/>
      <c r="AK1218" s="33"/>
      <c r="AL1218" s="36"/>
      <c r="AM1218" s="14"/>
    </row>
    <row r="1219" spans="1:39" ht="14.45" customHeight="1" x14ac:dyDescent="0.25">
      <c r="A1219" s="17">
        <v>17</v>
      </c>
      <c r="B1219" s="18"/>
      <c r="C1219" s="50" t="s">
        <v>5271</v>
      </c>
      <c r="D1219" s="20" t="s">
        <v>5272</v>
      </c>
      <c r="E1219" s="22" t="s">
        <v>40</v>
      </c>
      <c r="F1219" s="22" t="s">
        <v>41</v>
      </c>
      <c r="G1219" s="23" t="s">
        <v>42</v>
      </c>
      <c r="H1219" s="22" t="s">
        <v>43</v>
      </c>
      <c r="I1219" s="22" t="s">
        <v>44</v>
      </c>
      <c r="J1219" s="22" t="s">
        <v>92</v>
      </c>
      <c r="K1219" s="24">
        <v>45870</v>
      </c>
      <c r="L1219" s="25" t="s">
        <v>5273</v>
      </c>
      <c r="M1219" s="26">
        <v>42676</v>
      </c>
      <c r="N1219" s="26">
        <v>44514</v>
      </c>
      <c r="O1219" s="27" t="s">
        <v>94</v>
      </c>
      <c r="P1219" s="28" t="s">
        <v>5274</v>
      </c>
      <c r="Q1219" s="29">
        <v>42927</v>
      </c>
      <c r="R1219" s="26">
        <v>44514</v>
      </c>
      <c r="S1219" s="33" t="s">
        <v>170</v>
      </c>
      <c r="T1219" s="33"/>
      <c r="U1219" s="33"/>
      <c r="V1219" s="33"/>
      <c r="W1219" s="30">
        <v>40634</v>
      </c>
      <c r="X1219" s="30">
        <v>42826</v>
      </c>
      <c r="Y1219" s="30">
        <v>42826</v>
      </c>
      <c r="Z1219" s="31" t="str">
        <f t="shared" ca="1" si="90"/>
        <v>8 Tahun 6 Bulan 30 Hari</v>
      </c>
      <c r="AA1219" s="31" t="s">
        <v>5275</v>
      </c>
      <c r="AB1219" s="32">
        <v>29904</v>
      </c>
      <c r="AC1219" s="31" t="s">
        <v>5276</v>
      </c>
      <c r="AD1219" s="22" t="str">
        <f t="shared" ca="1" si="87"/>
        <v xml:space="preserve">43 Tahun 11 Bulan </v>
      </c>
      <c r="AE1219" s="33" t="s">
        <v>4118</v>
      </c>
      <c r="AF1219" s="34"/>
      <c r="AG1219" s="22" t="s">
        <v>5277</v>
      </c>
      <c r="AH1219" s="22"/>
      <c r="AI1219" s="22"/>
      <c r="AJ1219" s="22"/>
      <c r="AK1219" s="33" t="s">
        <v>5199</v>
      </c>
      <c r="AL1219" s="36"/>
      <c r="AM1219" s="14"/>
    </row>
    <row r="1220" spans="1:39" ht="14.45" customHeight="1" x14ac:dyDescent="0.25">
      <c r="A1220" s="17">
        <v>18</v>
      </c>
      <c r="B1220" s="18"/>
      <c r="C1220" s="50" t="s">
        <v>5279</v>
      </c>
      <c r="D1220" s="20" t="s">
        <v>5280</v>
      </c>
      <c r="E1220" s="52" t="s">
        <v>40</v>
      </c>
      <c r="F1220" s="60" t="s">
        <v>41</v>
      </c>
      <c r="G1220" s="23" t="s">
        <v>193</v>
      </c>
      <c r="H1220" s="60" t="s">
        <v>194</v>
      </c>
      <c r="I1220" s="60" t="s">
        <v>155</v>
      </c>
      <c r="J1220" s="60" t="s">
        <v>3022</v>
      </c>
      <c r="K1220" s="24">
        <v>45017</v>
      </c>
      <c r="L1220" s="60"/>
      <c r="M1220" s="60"/>
      <c r="N1220" s="60"/>
      <c r="O1220" s="60"/>
      <c r="P1220" s="60"/>
      <c r="Q1220" s="60"/>
      <c r="R1220" s="60"/>
      <c r="S1220" s="23" t="s">
        <v>3023</v>
      </c>
      <c r="T1220" s="23"/>
      <c r="U1220" s="23"/>
      <c r="V1220" s="23"/>
      <c r="W1220" s="30">
        <v>39083</v>
      </c>
      <c r="X1220" s="30">
        <v>35704</v>
      </c>
      <c r="Y1220" s="22"/>
      <c r="Z1220" s="55" t="str">
        <f ca="1">DATEDIF(W1220,TODAY(),"y")&amp;" Tahun "&amp;DATEDIF(W1220,TODAY(),"ym")&amp;" Bulan "&amp;DATEDIF(W1220,TODAY(),"md")&amp;" Hari"</f>
        <v>18 Tahun 9 Bulan 30 Hari</v>
      </c>
      <c r="AA1220" s="55" t="s">
        <v>76</v>
      </c>
      <c r="AB1220" s="56">
        <v>25368</v>
      </c>
      <c r="AC1220" s="31" t="s">
        <v>5281</v>
      </c>
      <c r="AD1220" s="57" t="str">
        <f t="shared" ca="1" si="87"/>
        <v xml:space="preserve">56 Tahun 4 Bulan </v>
      </c>
      <c r="AE1220" s="33" t="s">
        <v>5282</v>
      </c>
      <c r="AF1220" s="34"/>
      <c r="AG1220" s="22" t="s">
        <v>5277</v>
      </c>
      <c r="AH1220" s="22"/>
      <c r="AI1220" s="22"/>
      <c r="AJ1220" s="22"/>
      <c r="AK1220" s="33"/>
      <c r="AL1220" s="36"/>
      <c r="AM1220" s="14"/>
    </row>
    <row r="1221" spans="1:39" ht="14.45" customHeight="1" x14ac:dyDescent="0.25">
      <c r="A1221" s="17">
        <v>19</v>
      </c>
      <c r="B1221" s="18"/>
      <c r="C1221" s="50" t="s">
        <v>5283</v>
      </c>
      <c r="D1221" s="20" t="s">
        <v>5284</v>
      </c>
      <c r="E1221" s="52" t="s">
        <v>40</v>
      </c>
      <c r="F1221" s="60" t="s">
        <v>41</v>
      </c>
      <c r="G1221" s="23" t="s">
        <v>193</v>
      </c>
      <c r="H1221" s="60" t="s">
        <v>194</v>
      </c>
      <c r="I1221" s="60" t="s">
        <v>155</v>
      </c>
      <c r="J1221" s="60" t="s">
        <v>3022</v>
      </c>
      <c r="K1221" s="24">
        <v>45017</v>
      </c>
      <c r="L1221" s="60"/>
      <c r="M1221" s="60"/>
      <c r="N1221" s="60"/>
      <c r="O1221" s="60"/>
      <c r="P1221" s="60"/>
      <c r="Q1221" s="60"/>
      <c r="R1221" s="60"/>
      <c r="S1221" s="23" t="s">
        <v>1339</v>
      </c>
      <c r="T1221" s="23"/>
      <c r="U1221" s="23"/>
      <c r="V1221" s="23"/>
      <c r="W1221" s="30">
        <v>39083</v>
      </c>
      <c r="X1221" s="30">
        <v>35977</v>
      </c>
      <c r="Y1221" s="22"/>
      <c r="Z1221" s="55" t="str">
        <f ca="1">DATEDIF(W1221,TODAY(),"y")&amp;" Tahun "&amp;DATEDIF(W1221,TODAY(),"ym")&amp;" Bulan "&amp;DATEDIF(W1221,TODAY(),"md")&amp;" Hari"</f>
        <v>18 Tahun 9 Bulan 30 Hari</v>
      </c>
      <c r="AA1221" s="55" t="s">
        <v>76</v>
      </c>
      <c r="AB1221" s="56">
        <v>27237</v>
      </c>
      <c r="AC1221" s="31" t="s">
        <v>5285</v>
      </c>
      <c r="AD1221" s="57" t="str">
        <f t="shared" ca="1" si="87"/>
        <v xml:space="preserve">51 Tahun 3 Bulan </v>
      </c>
      <c r="AE1221" s="33" t="s">
        <v>5282</v>
      </c>
      <c r="AF1221" s="34"/>
      <c r="AG1221" s="22" t="s">
        <v>5277</v>
      </c>
      <c r="AH1221" s="22"/>
      <c r="AI1221" s="22"/>
      <c r="AJ1221" s="22"/>
      <c r="AK1221" s="33" t="s">
        <v>5200</v>
      </c>
      <c r="AL1221" s="36"/>
      <c r="AM1221" s="14"/>
    </row>
    <row r="1222" spans="1:39" s="116" customFormat="1" ht="14.45" customHeight="1" x14ac:dyDescent="0.25">
      <c r="A1222" s="17">
        <v>20</v>
      </c>
      <c r="B1222" s="18"/>
      <c r="C1222" s="50" t="s">
        <v>5286</v>
      </c>
      <c r="D1222" s="20" t="s">
        <v>5287</v>
      </c>
      <c r="E1222" s="52" t="s">
        <v>56</v>
      </c>
      <c r="F1222" s="58" t="s">
        <v>41</v>
      </c>
      <c r="G1222" s="23" t="s">
        <v>227</v>
      </c>
      <c r="H1222" s="22" t="s">
        <v>228</v>
      </c>
      <c r="I1222" s="22" t="s">
        <v>155</v>
      </c>
      <c r="J1222" s="22" t="s">
        <v>3022</v>
      </c>
      <c r="K1222" s="24">
        <v>43466</v>
      </c>
      <c r="L1222" s="22"/>
      <c r="M1222" s="22"/>
      <c r="N1222" s="22"/>
      <c r="O1222" s="22"/>
      <c r="P1222" s="22"/>
      <c r="Q1222" s="22"/>
      <c r="R1222" s="22"/>
      <c r="S1222" s="23" t="s">
        <v>1339</v>
      </c>
      <c r="T1222" s="23"/>
      <c r="U1222" s="23"/>
      <c r="V1222" s="23"/>
      <c r="W1222" s="30">
        <v>34394</v>
      </c>
      <c r="X1222" s="30">
        <v>35793</v>
      </c>
      <c r="Y1222" s="22"/>
      <c r="Z1222" s="55" t="str">
        <f ca="1">DATEDIF(W1222,TODAY(),"y")&amp;" Tahun "&amp;DATEDIF(W1222,TODAY(),"ym")&amp;" Bulan "&amp;DATEDIF(W1222,TODAY(),"md")&amp;" Hari"</f>
        <v>31 Tahun 7 Bulan 30 Hari</v>
      </c>
      <c r="AA1222" s="55" t="s">
        <v>3754</v>
      </c>
      <c r="AB1222" s="56">
        <v>25651</v>
      </c>
      <c r="AC1222" s="31" t="s">
        <v>5288</v>
      </c>
      <c r="AD1222" s="57" t="str">
        <f t="shared" ca="1" si="87"/>
        <v xml:space="preserve">55 Tahun 7 Bulan </v>
      </c>
      <c r="AE1222" s="33" t="s">
        <v>5289</v>
      </c>
      <c r="AF1222" s="71"/>
      <c r="AG1222" s="22" t="s">
        <v>5277</v>
      </c>
      <c r="AH1222" s="22"/>
      <c r="AI1222" s="22"/>
      <c r="AJ1222" s="22"/>
      <c r="AK1222" s="33"/>
      <c r="AL1222" s="36"/>
      <c r="AM1222" s="14"/>
    </row>
    <row r="1223" spans="1:39" ht="14.45" customHeight="1" x14ac:dyDescent="0.25">
      <c r="A1223" s="17">
        <v>21</v>
      </c>
      <c r="B1223" s="18"/>
      <c r="C1223" s="50" t="s">
        <v>5290</v>
      </c>
      <c r="D1223" s="42" t="s">
        <v>5291</v>
      </c>
      <c r="E1223" s="58" t="s">
        <v>40</v>
      </c>
      <c r="F1223" s="87" t="s">
        <v>238</v>
      </c>
      <c r="G1223" s="33" t="s">
        <v>3872</v>
      </c>
      <c r="H1223" s="22" t="s">
        <v>1078</v>
      </c>
      <c r="I1223" s="22" t="s">
        <v>44</v>
      </c>
      <c r="J1223" s="22" t="s">
        <v>4133</v>
      </c>
      <c r="K1223" s="30"/>
      <c r="L1223" s="25"/>
      <c r="M1223" s="26"/>
      <c r="N1223" s="26"/>
      <c r="O1223" s="27"/>
      <c r="P1223" s="28"/>
      <c r="Q1223" s="29"/>
      <c r="R1223" s="26"/>
      <c r="S1223" s="23" t="s">
        <v>4134</v>
      </c>
      <c r="T1223" s="33">
        <v>2020</v>
      </c>
      <c r="U1223" s="33"/>
      <c r="V1223" s="33"/>
      <c r="W1223" s="30">
        <v>45047</v>
      </c>
      <c r="X1223" s="30">
        <v>45048</v>
      </c>
      <c r="Y1223" s="30">
        <v>45048</v>
      </c>
      <c r="Z1223" s="55" t="str">
        <f ca="1">DATEDIF(X1223,TODAY(),"y")&amp;" Tahun "&amp;DATEDIF(X1223,TODAY(),"ym")&amp;" Bulan "&amp;DATEDIF(X1223,TODAY(),"md")&amp;" Hari"</f>
        <v>2 Tahun 5 Bulan 29 Hari</v>
      </c>
      <c r="AA1223" s="31" t="s">
        <v>76</v>
      </c>
      <c r="AB1223" s="32">
        <v>29867</v>
      </c>
      <c r="AC1223" s="31" t="s">
        <v>5292</v>
      </c>
      <c r="AD1223" s="57" t="str">
        <f t="shared" ca="1" si="87"/>
        <v xml:space="preserve">44 Tahun 0 Bulan </v>
      </c>
      <c r="AE1223" s="33" t="s">
        <v>5289</v>
      </c>
      <c r="AF1223" s="71"/>
      <c r="AG1223" s="22" t="s">
        <v>5277</v>
      </c>
      <c r="AH1223" s="22"/>
      <c r="AI1223" s="22"/>
      <c r="AJ1223" s="22"/>
      <c r="AK1223" s="33"/>
      <c r="AL1223" s="36"/>
      <c r="AM1223" s="14"/>
    </row>
    <row r="1224" spans="1:39" ht="14.45" customHeight="1" x14ac:dyDescent="0.25">
      <c r="A1224" s="17">
        <v>22</v>
      </c>
      <c r="B1224" s="18"/>
      <c r="C1224" s="50" t="s">
        <v>5293</v>
      </c>
      <c r="D1224" s="42" t="s">
        <v>5294</v>
      </c>
      <c r="E1224" s="58" t="s">
        <v>56</v>
      </c>
      <c r="F1224" s="87" t="s">
        <v>238</v>
      </c>
      <c r="G1224" s="33" t="s">
        <v>3872</v>
      </c>
      <c r="H1224" s="22" t="s">
        <v>1078</v>
      </c>
      <c r="I1224" s="22" t="s">
        <v>44</v>
      </c>
      <c r="J1224" s="22" t="s">
        <v>1079</v>
      </c>
      <c r="K1224" s="30"/>
      <c r="L1224" s="25"/>
      <c r="M1224" s="26"/>
      <c r="N1224" s="26"/>
      <c r="O1224" s="27"/>
      <c r="P1224" s="28"/>
      <c r="Q1224" s="29"/>
      <c r="R1224" s="26"/>
      <c r="S1224" s="23" t="s">
        <v>1080</v>
      </c>
      <c r="T1224" s="33"/>
      <c r="U1224" s="33"/>
      <c r="V1224" s="33"/>
      <c r="W1224" s="30">
        <v>45261</v>
      </c>
      <c r="X1224" s="30">
        <v>45261</v>
      </c>
      <c r="Y1224" s="30">
        <v>45261</v>
      </c>
      <c r="Z1224" s="55" t="str">
        <f ca="1">DATEDIF(X1224,TODAY(),"y")&amp;" Tahun "&amp;DATEDIF(X1224,TODAY(),"ym")&amp;" Bulan "&amp;DATEDIF(X1224,TODAY(),"md")&amp;" Hari"</f>
        <v>1 Tahun 10 Bulan 30 Hari</v>
      </c>
      <c r="AA1224" s="31" t="s">
        <v>4388</v>
      </c>
      <c r="AB1224" s="32">
        <v>31652</v>
      </c>
      <c r="AC1224" s="31" t="s">
        <v>5295</v>
      </c>
      <c r="AD1224" s="57" t="str">
        <f t="shared" ca="1" si="87"/>
        <v xml:space="preserve">39 Tahun 2 Bulan </v>
      </c>
      <c r="AE1224" s="33" t="s">
        <v>1069</v>
      </c>
      <c r="AF1224" s="71"/>
      <c r="AG1224" s="22" t="s">
        <v>5277</v>
      </c>
      <c r="AH1224" s="22"/>
      <c r="AI1224" s="22"/>
      <c r="AJ1224" s="22"/>
      <c r="AK1224" s="33"/>
      <c r="AL1224" s="36"/>
      <c r="AM1224" s="14"/>
    </row>
    <row r="1225" spans="1:39" ht="14.45" customHeight="1" x14ac:dyDescent="0.25">
      <c r="A1225" s="17">
        <v>23</v>
      </c>
      <c r="B1225" s="18"/>
      <c r="C1225" s="50" t="s">
        <v>5296</v>
      </c>
      <c r="D1225" s="42" t="s">
        <v>6127</v>
      </c>
      <c r="E1225" s="58" t="s">
        <v>40</v>
      </c>
      <c r="F1225" s="87" t="s">
        <v>5691</v>
      </c>
      <c r="G1225" s="33" t="s">
        <v>3872</v>
      </c>
      <c r="H1225" s="22" t="s">
        <v>5692</v>
      </c>
      <c r="I1225" s="22" t="s">
        <v>155</v>
      </c>
      <c r="J1225" s="22" t="s">
        <v>5693</v>
      </c>
      <c r="K1225" s="30"/>
      <c r="L1225" s="25"/>
      <c r="M1225" s="26"/>
      <c r="N1225" s="26"/>
      <c r="O1225" s="27"/>
      <c r="P1225" s="28"/>
      <c r="Q1225" s="29"/>
      <c r="R1225" s="26"/>
      <c r="S1225" s="23" t="s">
        <v>1355</v>
      </c>
      <c r="T1225" s="33"/>
      <c r="U1225" s="33"/>
      <c r="V1225" s="33"/>
      <c r="W1225" s="30">
        <v>45931</v>
      </c>
      <c r="X1225" s="30">
        <v>45261</v>
      </c>
      <c r="Y1225" s="30">
        <v>45261</v>
      </c>
      <c r="Z1225" s="55" t="str">
        <f ca="1">DATEDIF(X1225,TODAY(),"y")&amp;" Tahun "&amp;DATEDIF(X1225,TODAY(),"ym")&amp;" Bulan "&amp;DATEDIF(X1225,TODAY(),"md")&amp;" Hari"</f>
        <v>1 Tahun 10 Bulan 30 Hari</v>
      </c>
      <c r="AA1225" s="31" t="s">
        <v>76</v>
      </c>
      <c r="AB1225" s="32">
        <v>30785</v>
      </c>
      <c r="AC1225" s="31" t="s">
        <v>6128</v>
      </c>
      <c r="AD1225" s="57" t="str">
        <f t="shared" ca="1" si="87"/>
        <v xml:space="preserve">41 Tahun 6 Bulan </v>
      </c>
      <c r="AE1225" s="33" t="s">
        <v>1341</v>
      </c>
      <c r="AF1225" s="71"/>
      <c r="AG1225" s="22" t="s">
        <v>5277</v>
      </c>
      <c r="AH1225" s="22"/>
      <c r="AI1225" s="22"/>
      <c r="AJ1225" s="22"/>
      <c r="AK1225" s="33"/>
      <c r="AL1225" s="36"/>
      <c r="AM1225" s="14"/>
    </row>
    <row r="1226" spans="1:39" ht="14.45" customHeight="1" x14ac:dyDescent="0.25">
      <c r="A1226" s="17">
        <v>24</v>
      </c>
      <c r="B1226" s="18"/>
      <c r="C1226" s="50" t="s">
        <v>5297</v>
      </c>
      <c r="D1226" s="42">
        <v>2023120755</v>
      </c>
      <c r="E1226" s="58" t="s">
        <v>40</v>
      </c>
      <c r="F1226" s="87" t="s">
        <v>1063</v>
      </c>
      <c r="G1226" s="33" t="s">
        <v>3872</v>
      </c>
      <c r="H1226" s="22" t="s">
        <v>3872</v>
      </c>
      <c r="I1226" s="22"/>
      <c r="J1226" s="22"/>
      <c r="K1226" s="30"/>
      <c r="L1226" s="25"/>
      <c r="M1226" s="26"/>
      <c r="N1226" s="26"/>
      <c r="O1226" s="27"/>
      <c r="P1226" s="28"/>
      <c r="Q1226" s="29"/>
      <c r="R1226" s="26"/>
      <c r="S1226" s="23" t="s">
        <v>1068</v>
      </c>
      <c r="T1226" s="33"/>
      <c r="U1226" s="33"/>
      <c r="V1226" s="33"/>
      <c r="W1226" s="30"/>
      <c r="X1226" s="30">
        <v>45261</v>
      </c>
      <c r="Y1226" s="30">
        <v>45261</v>
      </c>
      <c r="Z1226" s="55" t="str">
        <f ca="1">DATEDIF(X1226,TODAY(),"y")&amp;" Tahun "&amp;DATEDIF(X1226,TODAY(),"ym")&amp;" Bulan "&amp;DATEDIF(X1226,TODAY(),"md")&amp;" Hari"</f>
        <v>1 Tahun 10 Bulan 30 Hari</v>
      </c>
      <c r="AA1226" s="31" t="s">
        <v>76</v>
      </c>
      <c r="AB1226" s="32">
        <v>29082</v>
      </c>
      <c r="AC1226" s="31" t="s">
        <v>5298</v>
      </c>
      <c r="AD1226" s="57" t="str">
        <f t="shared" ca="1" si="87"/>
        <v xml:space="preserve">46 Tahun 2 Bulan </v>
      </c>
      <c r="AE1226" s="33" t="s">
        <v>1341</v>
      </c>
      <c r="AF1226" s="71"/>
      <c r="AG1226" s="22" t="s">
        <v>5277</v>
      </c>
      <c r="AH1226" s="22"/>
      <c r="AI1226" s="22"/>
      <c r="AJ1226" s="22"/>
      <c r="AK1226" s="33"/>
      <c r="AL1226" s="36"/>
    </row>
    <row r="1227" spans="1:39" ht="14.45" customHeight="1" x14ac:dyDescent="0.25">
      <c r="A1227" s="17">
        <v>25</v>
      </c>
      <c r="B1227" s="18"/>
      <c r="C1227" s="50" t="s">
        <v>6129</v>
      </c>
      <c r="D1227" s="20" t="s">
        <v>5299</v>
      </c>
      <c r="E1227" s="52" t="s">
        <v>40</v>
      </c>
      <c r="F1227" s="22" t="s">
        <v>41</v>
      </c>
      <c r="G1227" s="23" t="s">
        <v>137</v>
      </c>
      <c r="H1227" s="22" t="s">
        <v>138</v>
      </c>
      <c r="I1227" s="22" t="s">
        <v>44</v>
      </c>
      <c r="J1227" s="22" t="s">
        <v>161</v>
      </c>
      <c r="K1227" s="24">
        <v>44188</v>
      </c>
      <c r="L1227" s="23"/>
      <c r="M1227" s="26"/>
      <c r="N1227" s="26"/>
      <c r="O1227" s="23"/>
      <c r="P1227" s="23"/>
      <c r="Q1227" s="22"/>
      <c r="R1227" s="43"/>
      <c r="S1227" s="23" t="s">
        <v>1391</v>
      </c>
      <c r="T1227" s="23"/>
      <c r="U1227" s="23"/>
      <c r="V1227" s="23"/>
      <c r="W1227" s="30">
        <v>38353</v>
      </c>
      <c r="X1227" s="30">
        <v>38390</v>
      </c>
      <c r="Y1227" s="30">
        <v>43966</v>
      </c>
      <c r="Z1227" s="55" t="str">
        <f ca="1">DATEDIF(W1227,TODAY(),"y")&amp;" Tahun "&amp;DATEDIF(W1227,TODAY(),"ym")&amp;" Bulan "&amp;DATEDIF(W1227,TODAY(),"md")&amp;" Hari"</f>
        <v>20 Tahun 9 Bulan 30 Hari</v>
      </c>
      <c r="AA1227" s="31" t="s">
        <v>697</v>
      </c>
      <c r="AB1227" s="32">
        <v>29835</v>
      </c>
      <c r="AC1227" s="32" t="s">
        <v>5300</v>
      </c>
      <c r="AD1227" s="57" t="str">
        <f t="shared" ca="1" si="87"/>
        <v xml:space="preserve">44 Tahun 1 Bulan </v>
      </c>
      <c r="AE1227" s="33" t="s">
        <v>5301</v>
      </c>
      <c r="AF1227" s="34"/>
      <c r="AG1227" s="58" t="s">
        <v>5302</v>
      </c>
      <c r="AH1227" s="22"/>
      <c r="AI1227" s="22"/>
      <c r="AJ1227" s="22"/>
      <c r="AK1227" s="33"/>
      <c r="AL1227" s="36"/>
    </row>
    <row r="1228" spans="1:39" ht="14.45" customHeight="1" x14ac:dyDescent="0.25">
      <c r="A1228" s="17">
        <v>26</v>
      </c>
      <c r="B1228" s="18"/>
      <c r="C1228" s="50" t="s">
        <v>5304</v>
      </c>
      <c r="D1228" s="20" t="s">
        <v>5305</v>
      </c>
      <c r="E1228" s="21" t="s">
        <v>40</v>
      </c>
      <c r="F1228" s="22" t="s">
        <v>41</v>
      </c>
      <c r="G1228" s="23" t="s">
        <v>102</v>
      </c>
      <c r="H1228" s="22" t="s">
        <v>103</v>
      </c>
      <c r="I1228" s="22" t="s">
        <v>155</v>
      </c>
      <c r="J1228" s="22" t="s">
        <v>5306</v>
      </c>
      <c r="K1228" s="24">
        <v>45748</v>
      </c>
      <c r="L1228" s="22"/>
      <c r="M1228" s="22"/>
      <c r="N1228" s="22"/>
      <c r="O1228" s="22"/>
      <c r="P1228" s="22"/>
      <c r="Q1228" s="22"/>
      <c r="R1228" s="22"/>
      <c r="S1228" s="33" t="s">
        <v>2916</v>
      </c>
      <c r="T1228" s="23"/>
      <c r="U1228" s="23"/>
      <c r="V1228" s="23"/>
      <c r="W1228" s="30">
        <v>40513</v>
      </c>
      <c r="X1228" s="30">
        <v>40638</v>
      </c>
      <c r="Y1228" s="30">
        <v>40638</v>
      </c>
      <c r="Z1228" s="31" t="str">
        <f ca="1">DATEDIF(W1228,TODAY(),"y")&amp;" Tahun "&amp;DATEDIF(W1228,TODAY(),"ym")&amp;" Bulan "&amp;DATEDIF(W1228,TODAY(),"md")&amp;" Hari"</f>
        <v>14 Tahun 10 Bulan 30 Hari</v>
      </c>
      <c r="AA1228" s="31" t="s">
        <v>128</v>
      </c>
      <c r="AB1228" s="32">
        <v>31839</v>
      </c>
      <c r="AC1228" s="31" t="s">
        <v>5307</v>
      </c>
      <c r="AD1228" s="22" t="str">
        <f t="shared" ca="1" si="87"/>
        <v xml:space="preserve">38 Tahun 7 Bulan </v>
      </c>
      <c r="AE1228" s="33" t="s">
        <v>242</v>
      </c>
      <c r="AF1228" s="34"/>
      <c r="AG1228" s="58" t="s">
        <v>5302</v>
      </c>
      <c r="AH1228" s="22"/>
      <c r="AI1228" s="22"/>
      <c r="AJ1228" s="22"/>
      <c r="AK1228" s="33"/>
      <c r="AL1228" s="22"/>
    </row>
    <row r="1229" spans="1:39" s="148" customFormat="1" ht="15" x14ac:dyDescent="0.25">
      <c r="A1229" s="17">
        <v>1</v>
      </c>
      <c r="B1229" s="78"/>
      <c r="C1229" s="50" t="s">
        <v>6130</v>
      </c>
      <c r="D1229" s="20" t="s">
        <v>6131</v>
      </c>
      <c r="E1229" s="21" t="s">
        <v>56</v>
      </c>
      <c r="F1229" s="22" t="s">
        <v>238</v>
      </c>
      <c r="G1229" s="23" t="s">
        <v>3872</v>
      </c>
      <c r="H1229" s="22" t="s">
        <v>239</v>
      </c>
      <c r="I1229" s="22" t="s">
        <v>44</v>
      </c>
      <c r="J1229" s="22" t="s">
        <v>4816</v>
      </c>
      <c r="K1229" s="30"/>
      <c r="L1229" s="53"/>
      <c r="M1229" s="26"/>
      <c r="N1229" s="26"/>
      <c r="O1229" s="27"/>
      <c r="P1229" s="53"/>
      <c r="Q1229" s="26"/>
      <c r="R1229" s="29"/>
      <c r="S1229" s="23" t="s">
        <v>4795</v>
      </c>
      <c r="T1229" s="23"/>
      <c r="U1229" s="23"/>
      <c r="V1229" s="23"/>
      <c r="W1229" s="30">
        <v>45931</v>
      </c>
      <c r="X1229" s="30">
        <v>42370</v>
      </c>
      <c r="Y1229" s="30">
        <v>42401</v>
      </c>
      <c r="Z1229" s="31" t="str">
        <f ca="1">DATEDIF(X1229,TODAY(),"y")&amp;" Tahun "&amp;DATEDIF(X1229,TODAY(),"ym")&amp;" Bulan "&amp;DATEDIF(X1229,TODAY(),"md")&amp;" Hari"</f>
        <v>9 Tahun 9 Bulan 30 Hari</v>
      </c>
      <c r="AA1229" s="31" t="s">
        <v>76</v>
      </c>
      <c r="AB1229" s="32">
        <v>29670</v>
      </c>
      <c r="AC1229" s="31" t="s">
        <v>6132</v>
      </c>
      <c r="AD1229" s="22" t="str">
        <f t="shared" ca="1" si="87"/>
        <v xml:space="preserve">44 Tahun 7 Bulan </v>
      </c>
      <c r="AE1229" s="33" t="s">
        <v>5308</v>
      </c>
      <c r="AF1229" s="34"/>
      <c r="AG1229" s="58" t="s">
        <v>5302</v>
      </c>
      <c r="AH1229" s="22"/>
      <c r="AI1229" s="22"/>
      <c r="AJ1229" s="22"/>
      <c r="AK1229" s="33"/>
      <c r="AL1229" s="36"/>
      <c r="AM1229" s="13"/>
    </row>
    <row r="1230" spans="1:39" ht="14.45" customHeight="1" x14ac:dyDescent="0.25">
      <c r="A1230" s="17">
        <v>2</v>
      </c>
      <c r="B1230" s="18"/>
      <c r="C1230" s="132" t="s">
        <v>5309</v>
      </c>
      <c r="D1230" s="20" t="s">
        <v>5310</v>
      </c>
      <c r="E1230" s="22" t="s">
        <v>56</v>
      </c>
      <c r="F1230" s="22" t="s">
        <v>41</v>
      </c>
      <c r="G1230" s="15" t="s">
        <v>102</v>
      </c>
      <c r="H1230" s="22" t="s">
        <v>103</v>
      </c>
      <c r="I1230" s="22" t="s">
        <v>44</v>
      </c>
      <c r="J1230" s="22" t="s">
        <v>4812</v>
      </c>
      <c r="K1230" s="24">
        <v>45323</v>
      </c>
      <c r="L1230" s="53" t="s">
        <v>5311</v>
      </c>
      <c r="M1230" s="26">
        <v>43082</v>
      </c>
      <c r="N1230" s="26">
        <v>44911</v>
      </c>
      <c r="O1230" s="209" t="s">
        <v>4906</v>
      </c>
      <c r="P1230" s="28" t="s">
        <v>5312</v>
      </c>
      <c r="Q1230" s="29">
        <v>42230</v>
      </c>
      <c r="R1230" s="26">
        <v>43085</v>
      </c>
      <c r="S1230" s="23" t="s">
        <v>4920</v>
      </c>
      <c r="T1230" s="23"/>
      <c r="U1230" s="23"/>
      <c r="V1230" s="23"/>
      <c r="W1230" s="30">
        <v>39845</v>
      </c>
      <c r="X1230" s="30">
        <v>41944</v>
      </c>
      <c r="Y1230" s="30">
        <v>41944</v>
      </c>
      <c r="Z1230" s="31" t="str">
        <f ca="1">DATEDIF(W1230,TODAY(),"y")&amp;" Tahun "&amp;DATEDIF(W1230,TODAY(),"ym")&amp;" Bulan "&amp;DATEDIF(W1230,TODAY(),"md")&amp;" Hari"</f>
        <v>16 Tahun 8 Bulan 30 Hari</v>
      </c>
      <c r="AA1230" s="31" t="s">
        <v>76</v>
      </c>
      <c r="AB1230" s="32">
        <v>29936</v>
      </c>
      <c r="AC1230" s="32" t="s">
        <v>5313</v>
      </c>
      <c r="AD1230" s="57" t="str">
        <f t="shared" ca="1" si="87"/>
        <v xml:space="preserve">43 Tahun 10 Bulan </v>
      </c>
      <c r="AE1230" s="33" t="s">
        <v>242</v>
      </c>
      <c r="AF1230" s="34"/>
      <c r="AG1230" s="58" t="s">
        <v>5302</v>
      </c>
      <c r="AH1230" s="22"/>
      <c r="AI1230" s="22"/>
      <c r="AJ1230" s="22"/>
      <c r="AK1230" s="33"/>
      <c r="AL1230" s="36"/>
    </row>
    <row r="1231" spans="1:39" ht="14.45" customHeight="1" x14ac:dyDescent="0.25">
      <c r="A1231" s="17">
        <v>3</v>
      </c>
      <c r="B1231" s="18"/>
      <c r="C1231" s="50" t="s">
        <v>6133</v>
      </c>
      <c r="D1231" s="20" t="s">
        <v>5314</v>
      </c>
      <c r="E1231" s="52" t="s">
        <v>40</v>
      </c>
      <c r="F1231" s="22" t="s">
        <v>41</v>
      </c>
      <c r="G1231" s="23" t="s">
        <v>102</v>
      </c>
      <c r="H1231" s="22" t="s">
        <v>103</v>
      </c>
      <c r="I1231" s="22" t="s">
        <v>44</v>
      </c>
      <c r="J1231" s="22" t="s">
        <v>161</v>
      </c>
      <c r="K1231" s="24">
        <v>45200</v>
      </c>
      <c r="L1231" s="22"/>
      <c r="M1231" s="22"/>
      <c r="N1231" s="22"/>
      <c r="O1231" s="22"/>
      <c r="P1231" s="22"/>
      <c r="Q1231" s="22"/>
      <c r="R1231" s="22"/>
      <c r="S1231" s="23" t="s">
        <v>4795</v>
      </c>
      <c r="T1231" s="23"/>
      <c r="U1231" s="23"/>
      <c r="V1231" s="23"/>
      <c r="W1231" s="30">
        <v>38353</v>
      </c>
      <c r="X1231" s="30">
        <v>37681</v>
      </c>
      <c r="Y1231" s="30">
        <v>43966</v>
      </c>
      <c r="Z1231" s="55" t="str">
        <f ca="1">DATEDIF(W1231,TODAY(),"y")&amp;" Tahun "&amp;DATEDIF(W1231,TODAY(),"ym")&amp;" Bulan "&amp;DATEDIF(W1231,TODAY(),"md")&amp;" Hari"</f>
        <v>20 Tahun 9 Bulan 30 Hari</v>
      </c>
      <c r="AA1231" s="55" t="s">
        <v>563</v>
      </c>
      <c r="AB1231" s="56">
        <v>26593</v>
      </c>
      <c r="AC1231" s="31" t="s">
        <v>5315</v>
      </c>
      <c r="AD1231" s="57" t="str">
        <f t="shared" ca="1" si="87"/>
        <v xml:space="preserve">53 Tahun 0 Bulan </v>
      </c>
      <c r="AE1231" s="33" t="s">
        <v>5316</v>
      </c>
      <c r="AF1231" s="71"/>
      <c r="AG1231" s="58" t="s">
        <v>5302</v>
      </c>
      <c r="AH1231" s="22"/>
      <c r="AI1231" s="22"/>
      <c r="AJ1231" s="22"/>
      <c r="AK1231" s="33"/>
      <c r="AL1231" s="36"/>
    </row>
    <row r="1232" spans="1:39" ht="14.45" customHeight="1" x14ac:dyDescent="0.25">
      <c r="A1232" s="17">
        <v>4</v>
      </c>
      <c r="B1232" s="18"/>
      <c r="C1232" s="50" t="s">
        <v>5319</v>
      </c>
      <c r="D1232" s="20" t="s">
        <v>5320</v>
      </c>
      <c r="E1232" s="52" t="s">
        <v>56</v>
      </c>
      <c r="F1232" s="22" t="s">
        <v>41</v>
      </c>
      <c r="G1232" s="23" t="s">
        <v>227</v>
      </c>
      <c r="H1232" s="22" t="s">
        <v>228</v>
      </c>
      <c r="I1232" s="22" t="s">
        <v>155</v>
      </c>
      <c r="J1232" s="22" t="s">
        <v>1338</v>
      </c>
      <c r="K1232" s="24">
        <v>45017</v>
      </c>
      <c r="L1232" s="22"/>
      <c r="M1232" s="22"/>
      <c r="N1232" s="22"/>
      <c r="O1232" s="22"/>
      <c r="P1232" s="22"/>
      <c r="Q1232" s="22"/>
      <c r="R1232" s="22"/>
      <c r="S1232" s="23" t="s">
        <v>4745</v>
      </c>
      <c r="T1232" s="23"/>
      <c r="U1232" s="23"/>
      <c r="V1232" s="23"/>
      <c r="W1232" s="30">
        <v>40513</v>
      </c>
      <c r="X1232" s="30">
        <v>40273</v>
      </c>
      <c r="Y1232" s="30">
        <v>43887</v>
      </c>
      <c r="Z1232" s="55" t="str">
        <f ca="1">DATEDIF(W1232,TODAY(),"y")&amp;" Tahun "&amp;DATEDIF(W1232,TODAY(),"ym")&amp;" Bulan "&amp;DATEDIF(W1232,TODAY(),"md")&amp;" Hari"</f>
        <v>14 Tahun 10 Bulan 30 Hari</v>
      </c>
      <c r="AA1232" s="55" t="s">
        <v>1540</v>
      </c>
      <c r="AB1232" s="56">
        <v>32486</v>
      </c>
      <c r="AC1232" s="31" t="s">
        <v>5321</v>
      </c>
      <c r="AD1232" s="57" t="str">
        <f t="shared" ca="1" si="87"/>
        <v xml:space="preserve">36 Tahun 10 Bulan </v>
      </c>
      <c r="AE1232" s="33" t="s">
        <v>242</v>
      </c>
      <c r="AF1232" s="79"/>
      <c r="AG1232" s="58" t="s">
        <v>5302</v>
      </c>
      <c r="AH1232" s="22"/>
      <c r="AI1232" s="22"/>
      <c r="AJ1232" s="22"/>
      <c r="AK1232" s="33"/>
      <c r="AL1232" s="36"/>
    </row>
    <row r="1233" spans="1:39" ht="14.45" customHeight="1" x14ac:dyDescent="0.25">
      <c r="A1233" s="17">
        <v>5</v>
      </c>
      <c r="B1233" s="18"/>
      <c r="C1233" s="50" t="s">
        <v>5322</v>
      </c>
      <c r="D1233" s="20" t="s">
        <v>5323</v>
      </c>
      <c r="E1233" s="22" t="s">
        <v>56</v>
      </c>
      <c r="F1233" s="22" t="s">
        <v>238</v>
      </c>
      <c r="G1233" s="23" t="s">
        <v>3872</v>
      </c>
      <c r="H1233" s="22" t="s">
        <v>1078</v>
      </c>
      <c r="I1233" s="22" t="s">
        <v>44</v>
      </c>
      <c r="J1233" s="22" t="s">
        <v>1079</v>
      </c>
      <c r="K1233" s="30"/>
      <c r="L1233" s="22"/>
      <c r="M1233" s="26"/>
      <c r="N1233" s="26"/>
      <c r="O1233" s="22"/>
      <c r="P1233" s="22"/>
      <c r="Q1233" s="23"/>
      <c r="R1233" s="26"/>
      <c r="S1233" s="23" t="s">
        <v>1080</v>
      </c>
      <c r="T1233" s="23"/>
      <c r="U1233" s="23"/>
      <c r="V1233" s="91"/>
      <c r="W1233" s="30">
        <v>45139</v>
      </c>
      <c r="X1233" s="30">
        <v>42370</v>
      </c>
      <c r="Y1233" s="30">
        <v>43864</v>
      </c>
      <c r="Z1233" s="31" t="str">
        <f ca="1">DATEDIF(X1233,TODAY(),"y")&amp;" Tahun "&amp;DATEDIF(X1233,TODAY(),"ym")&amp;" Bulan "&amp;DATEDIF(X1233,TODAY(),"md")&amp;" Hari"</f>
        <v>9 Tahun 9 Bulan 30 Hari</v>
      </c>
      <c r="AA1233" s="31" t="s">
        <v>76</v>
      </c>
      <c r="AB1233" s="32">
        <v>34251</v>
      </c>
      <c r="AC1233" s="32" t="s">
        <v>5324</v>
      </c>
      <c r="AD1233" s="22" t="str">
        <f t="shared" ca="1" si="87"/>
        <v xml:space="preserve">32 Tahun 0 Bulan </v>
      </c>
      <c r="AE1233" s="33" t="s">
        <v>242</v>
      </c>
      <c r="AF1233" s="34"/>
      <c r="AG1233" s="58" t="s">
        <v>5302</v>
      </c>
      <c r="AH1233" s="58"/>
      <c r="AI1233" s="58"/>
      <c r="AJ1233" s="58"/>
      <c r="AK1233" s="33"/>
      <c r="AL1233" s="36"/>
    </row>
    <row r="1234" spans="1:39" ht="14.45" customHeight="1" x14ac:dyDescent="0.25">
      <c r="A1234" s="17">
        <v>6</v>
      </c>
      <c r="B1234" s="18"/>
      <c r="C1234" s="50" t="s">
        <v>5325</v>
      </c>
      <c r="D1234" s="20" t="s">
        <v>5326</v>
      </c>
      <c r="E1234" s="21" t="s">
        <v>56</v>
      </c>
      <c r="F1234" s="22" t="s">
        <v>238</v>
      </c>
      <c r="G1234" s="23" t="s">
        <v>3872</v>
      </c>
      <c r="H1234" s="22" t="s">
        <v>239</v>
      </c>
      <c r="I1234" s="22" t="s">
        <v>44</v>
      </c>
      <c r="J1234" s="22" t="s">
        <v>5327</v>
      </c>
      <c r="K1234" s="30"/>
      <c r="L1234" s="22"/>
      <c r="M1234" s="22"/>
      <c r="N1234" s="22"/>
      <c r="O1234" s="22"/>
      <c r="P1234" s="22"/>
      <c r="Q1234" s="22"/>
      <c r="R1234" s="22"/>
      <c r="S1234" s="23" t="s">
        <v>5243</v>
      </c>
      <c r="T1234" s="23"/>
      <c r="U1234" s="23"/>
      <c r="V1234" s="23"/>
      <c r="W1234" s="30">
        <v>45261</v>
      </c>
      <c r="X1234" s="30">
        <v>42370</v>
      </c>
      <c r="Y1234" s="30">
        <v>42401</v>
      </c>
      <c r="Z1234" s="55" t="str">
        <f ca="1">DATEDIF(X1234,TODAY(),"y")&amp;" Tahun "&amp;DATEDIF(X1234,TODAY(),"ym")&amp;" Bulan "&amp;DATEDIF(X1234,TODAY(),"md")&amp;" Hari"</f>
        <v>9 Tahun 9 Bulan 30 Hari</v>
      </c>
      <c r="AA1234" s="31" t="s">
        <v>76</v>
      </c>
      <c r="AB1234" s="32">
        <v>33664</v>
      </c>
      <c r="AC1234" s="31" t="s">
        <v>5328</v>
      </c>
      <c r="AD1234" s="57" t="str">
        <f t="shared" ca="1" si="87"/>
        <v xml:space="preserve">33 Tahun 7 Bulan </v>
      </c>
      <c r="AE1234" s="33" t="s">
        <v>242</v>
      </c>
      <c r="AF1234" s="71"/>
      <c r="AG1234" s="58" t="s">
        <v>5302</v>
      </c>
      <c r="AH1234" s="22"/>
      <c r="AI1234" s="22"/>
      <c r="AJ1234" s="22"/>
      <c r="AK1234" s="33" t="s">
        <v>314</v>
      </c>
      <c r="AL1234" s="36"/>
    </row>
    <row r="1235" spans="1:39" ht="14.45" customHeight="1" x14ac:dyDescent="0.25">
      <c r="A1235" s="17">
        <v>7</v>
      </c>
      <c r="B1235" s="18"/>
      <c r="C1235" s="50" t="s">
        <v>6134</v>
      </c>
      <c r="D1235" s="20" t="s">
        <v>5330</v>
      </c>
      <c r="E1235" s="21" t="s">
        <v>40</v>
      </c>
      <c r="F1235" s="22" t="s">
        <v>41</v>
      </c>
      <c r="G1235" s="23" t="s">
        <v>102</v>
      </c>
      <c r="H1235" s="22" t="s">
        <v>103</v>
      </c>
      <c r="I1235" s="22" t="s">
        <v>155</v>
      </c>
      <c r="J1235" s="22" t="s">
        <v>5331</v>
      </c>
      <c r="K1235" s="24">
        <v>43922</v>
      </c>
      <c r="L1235" s="22" t="s">
        <v>5332</v>
      </c>
      <c r="M1235" s="22">
        <v>43007</v>
      </c>
      <c r="N1235" s="22">
        <v>44806</v>
      </c>
      <c r="O1235" s="22" t="s">
        <v>1155</v>
      </c>
      <c r="P1235" s="22" t="s">
        <v>5333</v>
      </c>
      <c r="Q1235" s="22">
        <v>43256</v>
      </c>
      <c r="R1235" s="22">
        <v>44806</v>
      </c>
      <c r="S1235" s="23" t="s">
        <v>1167</v>
      </c>
      <c r="T1235" s="23"/>
      <c r="U1235" s="23"/>
      <c r="V1235" s="23"/>
      <c r="W1235" s="30">
        <v>37956</v>
      </c>
      <c r="X1235" s="30">
        <v>37956</v>
      </c>
      <c r="Y1235" s="30"/>
      <c r="Z1235" s="55" t="str">
        <f ca="1">DATEDIF(W1235,TODAY(),"y")&amp;" Tahun "&amp;DATEDIF(W1235,TODAY(),"ym")&amp;" Bulan "&amp;DATEDIF(W1235,TODAY(),"md")&amp;" Hari"</f>
        <v>21 Tahun 10 Bulan 30 Hari</v>
      </c>
      <c r="AA1235" s="31" t="s">
        <v>1183</v>
      </c>
      <c r="AB1235" s="32">
        <v>29466</v>
      </c>
      <c r="AC1235" s="31" t="s">
        <v>5334</v>
      </c>
      <c r="AD1235" s="57" t="str">
        <f t="shared" ca="1" si="87"/>
        <v xml:space="preserve">45 Tahun 1 Bulan </v>
      </c>
      <c r="AE1235" s="33" t="s">
        <v>242</v>
      </c>
      <c r="AF1235" s="71"/>
      <c r="AG1235" s="58" t="s">
        <v>5302</v>
      </c>
      <c r="AH1235" s="22"/>
      <c r="AI1235" s="22"/>
      <c r="AJ1235" s="22"/>
      <c r="AK1235" s="33" t="s">
        <v>314</v>
      </c>
      <c r="AL1235" s="36"/>
    </row>
    <row r="1236" spans="1:39" ht="14.45" customHeight="1" x14ac:dyDescent="0.25">
      <c r="A1236" s="17">
        <v>8</v>
      </c>
      <c r="B1236" s="18"/>
      <c r="C1236" s="50" t="s">
        <v>5335</v>
      </c>
      <c r="D1236" s="20" t="s">
        <v>5336</v>
      </c>
      <c r="E1236" s="52" t="s">
        <v>56</v>
      </c>
      <c r="F1236" s="58" t="s">
        <v>41</v>
      </c>
      <c r="G1236" s="23" t="s">
        <v>42</v>
      </c>
      <c r="H1236" s="22" t="s">
        <v>43</v>
      </c>
      <c r="I1236" s="22" t="s">
        <v>44</v>
      </c>
      <c r="J1236" s="22" t="s">
        <v>148</v>
      </c>
      <c r="K1236" s="24">
        <v>45200</v>
      </c>
      <c r="L1236" s="53" t="s">
        <v>5337</v>
      </c>
      <c r="M1236" s="26">
        <v>43047</v>
      </c>
      <c r="N1236" s="26">
        <v>44773</v>
      </c>
      <c r="O1236" s="27" t="s">
        <v>84</v>
      </c>
      <c r="P1236" s="53" t="s">
        <v>5338</v>
      </c>
      <c r="Q1236" s="26">
        <v>43305</v>
      </c>
      <c r="R1236" s="29">
        <v>44773</v>
      </c>
      <c r="S1236" s="23" t="s">
        <v>84</v>
      </c>
      <c r="T1236" s="23"/>
      <c r="U1236" s="23"/>
      <c r="V1236" s="23"/>
      <c r="W1236" s="30">
        <v>35855</v>
      </c>
      <c r="X1236" s="30">
        <v>35855</v>
      </c>
      <c r="Y1236" s="30">
        <v>44197</v>
      </c>
      <c r="Z1236" s="55" t="str">
        <f ca="1">DATEDIF(W1236,TODAY(),"y")&amp;" Tahun "&amp;DATEDIF(W1236,TODAY(),"ym")&amp;" Bulan "&amp;DATEDIF(W1236,TODAY(),"md")&amp;" Hari"</f>
        <v>27 Tahun 7 Bulan 30 Hari</v>
      </c>
      <c r="AA1236" s="66" t="s">
        <v>1540</v>
      </c>
      <c r="AB1236" s="56">
        <v>27241</v>
      </c>
      <c r="AC1236" s="31" t="s">
        <v>5339</v>
      </c>
      <c r="AD1236" s="57" t="str">
        <f t="shared" ca="1" si="87"/>
        <v xml:space="preserve">51 Tahun 3 Bulan </v>
      </c>
      <c r="AE1236" s="23" t="s">
        <v>5340</v>
      </c>
      <c r="AF1236" s="71"/>
      <c r="AG1236" s="58" t="s">
        <v>5302</v>
      </c>
      <c r="AH1236" s="22"/>
      <c r="AI1236" s="22"/>
      <c r="AJ1236" s="22"/>
      <c r="AK1236" s="33"/>
      <c r="AL1236" s="36"/>
    </row>
    <row r="1237" spans="1:39" ht="14.45" customHeight="1" x14ac:dyDescent="0.25">
      <c r="A1237" s="17">
        <v>9</v>
      </c>
      <c r="B1237" s="18"/>
      <c r="C1237" s="50" t="s">
        <v>5341</v>
      </c>
      <c r="D1237" s="20" t="s">
        <v>5342</v>
      </c>
      <c r="E1237" s="21" t="s">
        <v>40</v>
      </c>
      <c r="F1237" s="22" t="s">
        <v>41</v>
      </c>
      <c r="G1237" s="23" t="s">
        <v>137</v>
      </c>
      <c r="H1237" s="22" t="s">
        <v>138</v>
      </c>
      <c r="I1237" s="22" t="s">
        <v>155</v>
      </c>
      <c r="J1237" s="22" t="s">
        <v>1338</v>
      </c>
      <c r="K1237" s="24">
        <v>45017</v>
      </c>
      <c r="L1237" s="22"/>
      <c r="M1237" s="22"/>
      <c r="N1237" s="22"/>
      <c r="O1237" s="22"/>
      <c r="P1237" s="22"/>
      <c r="Q1237" s="22"/>
      <c r="R1237" s="22"/>
      <c r="S1237" s="23" t="s">
        <v>2916</v>
      </c>
      <c r="T1237" s="23"/>
      <c r="U1237" s="23"/>
      <c r="V1237" s="23"/>
      <c r="W1237" s="30">
        <v>39873</v>
      </c>
      <c r="X1237" s="30">
        <v>42795</v>
      </c>
      <c r="Y1237" s="30">
        <v>43282</v>
      </c>
      <c r="Z1237" s="55" t="str">
        <f ca="1">DATEDIF(W1237,TODAY(),"y")&amp;" Tahun "&amp;DATEDIF(W1237,TODAY(),"ym")&amp;" Bulan "&amp;DATEDIF(W1237,TODAY(),"md")&amp;" Hari"</f>
        <v>16 Tahun 7 Bulan 30 Hari</v>
      </c>
      <c r="AA1237" s="31" t="s">
        <v>1363</v>
      </c>
      <c r="AB1237" s="32">
        <v>30468</v>
      </c>
      <c r="AC1237" s="31" t="s">
        <v>5343</v>
      </c>
      <c r="AD1237" s="57" t="str">
        <f t="shared" ca="1" si="87"/>
        <v xml:space="preserve">42 Tahun 4 Bulan </v>
      </c>
      <c r="AE1237" s="33" t="s">
        <v>242</v>
      </c>
      <c r="AF1237" s="71"/>
      <c r="AG1237" s="58" t="s">
        <v>5302</v>
      </c>
      <c r="AH1237" s="22"/>
      <c r="AI1237" s="22"/>
      <c r="AJ1237" s="22"/>
      <c r="AK1237" s="33" t="s">
        <v>5262</v>
      </c>
      <c r="AL1237" s="36"/>
    </row>
    <row r="1238" spans="1:39" ht="14.45" customHeight="1" x14ac:dyDescent="0.25">
      <c r="A1238" s="17">
        <v>10</v>
      </c>
      <c r="B1238" s="18"/>
      <c r="C1238" s="50" t="s">
        <v>5345</v>
      </c>
      <c r="D1238" s="20" t="s">
        <v>5346</v>
      </c>
      <c r="E1238" s="21" t="s">
        <v>40</v>
      </c>
      <c r="F1238" s="22" t="s">
        <v>238</v>
      </c>
      <c r="G1238" s="23" t="s">
        <v>3872</v>
      </c>
      <c r="H1238" s="22" t="s">
        <v>1078</v>
      </c>
      <c r="I1238" s="22" t="s">
        <v>44</v>
      </c>
      <c r="J1238" s="22" t="s">
        <v>5347</v>
      </c>
      <c r="K1238" s="30"/>
      <c r="L1238" s="22"/>
      <c r="M1238" s="22"/>
      <c r="N1238" s="22"/>
      <c r="O1238" s="22"/>
      <c r="P1238" s="22"/>
      <c r="Q1238" s="22"/>
      <c r="R1238" s="22"/>
      <c r="S1238" s="23" t="s">
        <v>1080</v>
      </c>
      <c r="T1238" s="23"/>
      <c r="U1238" s="23"/>
      <c r="V1238" s="23"/>
      <c r="W1238" s="30">
        <v>45383</v>
      </c>
      <c r="X1238" s="30">
        <v>42370</v>
      </c>
      <c r="Y1238" s="30">
        <v>43282</v>
      </c>
      <c r="Z1238" s="55" t="str">
        <f ca="1">DATEDIF(X1238,TODAY(),"y")&amp;" Tahun "&amp;DATEDIF(X1238,TODAY(),"ym")&amp;" Bulan "&amp;DATEDIF(X1238,TODAY(),"md")&amp;" Hari"</f>
        <v>9 Tahun 9 Bulan 30 Hari</v>
      </c>
      <c r="AA1238" s="31" t="s">
        <v>76</v>
      </c>
      <c r="AB1238" s="32">
        <v>31156</v>
      </c>
      <c r="AC1238" s="31" t="s">
        <v>5348</v>
      </c>
      <c r="AD1238" s="57" t="str">
        <f t="shared" ca="1" si="87"/>
        <v xml:space="preserve">40 Tahun 6 Bulan </v>
      </c>
      <c r="AE1238" s="33" t="s">
        <v>242</v>
      </c>
      <c r="AF1238" s="71"/>
      <c r="AG1238" s="58" t="s">
        <v>5302</v>
      </c>
      <c r="AH1238" s="22"/>
      <c r="AI1238" s="22"/>
      <c r="AJ1238" s="22"/>
      <c r="AK1238" s="33" t="s">
        <v>314</v>
      </c>
      <c r="AL1238" s="22"/>
    </row>
    <row r="1239" spans="1:39" ht="14.45" customHeight="1" x14ac:dyDescent="0.25">
      <c r="A1239" s="17">
        <v>11</v>
      </c>
      <c r="B1239" s="18"/>
      <c r="C1239" s="50" t="s">
        <v>6135</v>
      </c>
      <c r="D1239" s="20" t="s">
        <v>5349</v>
      </c>
      <c r="E1239" s="21" t="s">
        <v>40</v>
      </c>
      <c r="F1239" s="22" t="s">
        <v>192</v>
      </c>
      <c r="G1239" s="23" t="s">
        <v>193</v>
      </c>
      <c r="H1239" s="22" t="s">
        <v>194</v>
      </c>
      <c r="I1239" s="22" t="s">
        <v>155</v>
      </c>
      <c r="J1239" s="22" t="s">
        <v>4816</v>
      </c>
      <c r="K1239" s="24" t="s">
        <v>195</v>
      </c>
      <c r="L1239" s="22"/>
      <c r="M1239" s="22"/>
      <c r="N1239" s="22"/>
      <c r="O1239" s="22"/>
      <c r="P1239" s="22"/>
      <c r="Q1239" s="22"/>
      <c r="R1239" s="22"/>
      <c r="S1239" s="23" t="s">
        <v>4795</v>
      </c>
      <c r="T1239" s="23"/>
      <c r="U1239" s="23"/>
      <c r="V1239" s="23"/>
      <c r="W1239" s="69">
        <v>45809</v>
      </c>
      <c r="X1239" s="69">
        <v>45810</v>
      </c>
      <c r="Y1239" s="69">
        <v>45810</v>
      </c>
      <c r="Z1239" s="31" t="str">
        <f ca="1">DATEDIF(X1239,TODAY(),"y")&amp;" Tahun "&amp;DATEDIF(X1239,TODAY(),"ym")&amp;" Bulan "&amp;DATEDIF(X1239,TODAY(),"md")&amp;" Hari"</f>
        <v>0 Tahun 4 Bulan 29 Hari</v>
      </c>
      <c r="AA1239" s="23" t="s">
        <v>203</v>
      </c>
      <c r="AB1239" s="32">
        <v>36483</v>
      </c>
      <c r="AC1239" s="32" t="s">
        <v>5350</v>
      </c>
      <c r="AD1239" s="22" t="str">
        <f t="shared" ca="1" si="87"/>
        <v xml:space="preserve">25 Tahun 11 Bulan </v>
      </c>
      <c r="AE1239" s="23" t="s">
        <v>4803</v>
      </c>
      <c r="AF1239" s="34"/>
      <c r="AG1239" s="58" t="s">
        <v>5302</v>
      </c>
      <c r="AH1239" s="22"/>
      <c r="AI1239" s="22"/>
      <c r="AJ1239" s="22"/>
      <c r="AK1239" s="33"/>
      <c r="AL1239" s="22"/>
    </row>
    <row r="1240" spans="1:39" ht="14.45" customHeight="1" x14ac:dyDescent="0.25">
      <c r="A1240" s="17">
        <v>12</v>
      </c>
      <c r="B1240" s="18"/>
      <c r="C1240" s="50" t="s">
        <v>6136</v>
      </c>
      <c r="D1240" s="20" t="s">
        <v>5351</v>
      </c>
      <c r="E1240" s="21" t="s">
        <v>40</v>
      </c>
      <c r="F1240" s="22" t="s">
        <v>192</v>
      </c>
      <c r="G1240" s="23" t="s">
        <v>193</v>
      </c>
      <c r="H1240" s="22" t="s">
        <v>194</v>
      </c>
      <c r="I1240" s="22" t="s">
        <v>155</v>
      </c>
      <c r="J1240" s="22" t="s">
        <v>5327</v>
      </c>
      <c r="K1240" s="24" t="s">
        <v>195</v>
      </c>
      <c r="L1240" s="22"/>
      <c r="M1240" s="22"/>
      <c r="N1240" s="22"/>
      <c r="O1240" s="22"/>
      <c r="P1240" s="22"/>
      <c r="Q1240" s="22"/>
      <c r="R1240" s="22"/>
      <c r="S1240" s="23" t="s">
        <v>2916</v>
      </c>
      <c r="T1240" s="23"/>
      <c r="U1240" s="23"/>
      <c r="V1240" s="23"/>
      <c r="W1240" s="69">
        <v>45809</v>
      </c>
      <c r="X1240" s="69">
        <v>45810</v>
      </c>
      <c r="Y1240" s="69">
        <v>45810</v>
      </c>
      <c r="Z1240" s="31" t="str">
        <f ca="1">DATEDIF(X1240,TODAY(),"y")&amp;" Tahun "&amp;DATEDIF(X1240,TODAY(),"ym")&amp;" Bulan "&amp;DATEDIF(X1240,TODAY(),"md")&amp;" Hari"</f>
        <v>0 Tahun 4 Bulan 29 Hari</v>
      </c>
      <c r="AA1240" s="23" t="s">
        <v>1045</v>
      </c>
      <c r="AB1240" s="32">
        <v>34604</v>
      </c>
      <c r="AC1240" s="32" t="s">
        <v>5352</v>
      </c>
      <c r="AD1240" s="22" t="str">
        <f t="shared" ca="1" si="87"/>
        <v xml:space="preserve">31 Tahun 1 Bulan </v>
      </c>
      <c r="AE1240" s="23" t="s">
        <v>5353</v>
      </c>
      <c r="AF1240" s="34"/>
      <c r="AG1240" s="58" t="s">
        <v>5302</v>
      </c>
      <c r="AH1240" s="22"/>
      <c r="AI1240" s="22"/>
      <c r="AJ1240" s="22"/>
      <c r="AK1240" s="33"/>
      <c r="AL1240" s="22"/>
    </row>
    <row r="1241" spans="1:39" ht="14.45" customHeight="1" x14ac:dyDescent="0.25">
      <c r="A1241" s="115">
        <v>1</v>
      </c>
      <c r="B1241" s="18"/>
      <c r="C1241" s="50" t="s">
        <v>6137</v>
      </c>
      <c r="D1241" s="20" t="s">
        <v>5354</v>
      </c>
      <c r="E1241" s="21" t="s">
        <v>56</v>
      </c>
      <c r="F1241" s="22" t="s">
        <v>192</v>
      </c>
      <c r="G1241" s="23" t="s">
        <v>193</v>
      </c>
      <c r="H1241" s="22" t="s">
        <v>194</v>
      </c>
      <c r="I1241" s="22" t="s">
        <v>155</v>
      </c>
      <c r="J1241" s="22" t="s">
        <v>5327</v>
      </c>
      <c r="K1241" s="24" t="s">
        <v>195</v>
      </c>
      <c r="L1241" s="22"/>
      <c r="M1241" s="22"/>
      <c r="N1241" s="22"/>
      <c r="O1241" s="22"/>
      <c r="P1241" s="22"/>
      <c r="Q1241" s="22"/>
      <c r="R1241" s="22"/>
      <c r="S1241" s="23" t="s">
        <v>5355</v>
      </c>
      <c r="T1241" s="23"/>
      <c r="U1241" s="23"/>
      <c r="V1241" s="23"/>
      <c r="W1241" s="69">
        <v>45809</v>
      </c>
      <c r="X1241" s="69">
        <v>45810</v>
      </c>
      <c r="Y1241" s="69">
        <v>45810</v>
      </c>
      <c r="Z1241" s="31" t="str">
        <f ca="1">DATEDIF(X1241,TODAY(),"y")&amp;" Tahun "&amp;DATEDIF(X1241,TODAY(),"ym")&amp;" Bulan "&amp;DATEDIF(X1241,TODAY(),"md")&amp;" Hari"</f>
        <v>0 Tahun 4 Bulan 29 Hari</v>
      </c>
      <c r="AA1241" s="23" t="s">
        <v>4443</v>
      </c>
      <c r="AB1241" s="32">
        <v>35001</v>
      </c>
      <c r="AC1241" s="32" t="s">
        <v>5356</v>
      </c>
      <c r="AD1241" s="22" t="str">
        <f t="shared" ca="1" si="87"/>
        <v xml:space="preserve">30 Tahun 0 Bulan </v>
      </c>
      <c r="AE1241" s="23" t="s">
        <v>5353</v>
      </c>
      <c r="AF1241" s="34"/>
      <c r="AG1241" s="58" t="s">
        <v>5302</v>
      </c>
      <c r="AH1241" s="22"/>
      <c r="AI1241" s="22"/>
      <c r="AJ1241" s="22"/>
      <c r="AK1241" s="33"/>
      <c r="AL1241" s="22" t="s">
        <v>5278</v>
      </c>
      <c r="AM1241" s="14"/>
    </row>
    <row r="1242" spans="1:39" s="148" customFormat="1" ht="15" customHeight="1" x14ac:dyDescent="0.25">
      <c r="A1242" s="115">
        <v>2</v>
      </c>
      <c r="B1242" s="18"/>
      <c r="C1242" s="50" t="s">
        <v>6138</v>
      </c>
      <c r="D1242" s="20" t="s">
        <v>5357</v>
      </c>
      <c r="E1242" s="21" t="s">
        <v>56</v>
      </c>
      <c r="F1242" s="22" t="s">
        <v>192</v>
      </c>
      <c r="G1242" s="23" t="s">
        <v>1547</v>
      </c>
      <c r="H1242" s="22" t="s">
        <v>1548</v>
      </c>
      <c r="I1242" s="22" t="s">
        <v>155</v>
      </c>
      <c r="J1242" s="22" t="s">
        <v>5347</v>
      </c>
      <c r="K1242" s="24" t="s">
        <v>195</v>
      </c>
      <c r="L1242" s="22"/>
      <c r="M1242" s="22"/>
      <c r="N1242" s="22"/>
      <c r="O1242" s="22"/>
      <c r="P1242" s="22"/>
      <c r="Q1242" s="22"/>
      <c r="R1242" s="22"/>
      <c r="S1242" s="23" t="s">
        <v>293</v>
      </c>
      <c r="T1242" s="23"/>
      <c r="U1242" s="23"/>
      <c r="V1242" s="23"/>
      <c r="W1242" s="69">
        <v>45809</v>
      </c>
      <c r="X1242" s="69">
        <v>45810</v>
      </c>
      <c r="Y1242" s="69">
        <v>45810</v>
      </c>
      <c r="Z1242" s="31" t="str">
        <f ca="1">DATEDIF(X1242,TODAY(),"y")&amp;" Tahun "&amp;DATEDIF(X1242,TODAY(),"ym")&amp;" Bulan "&amp;DATEDIF(X1242,TODAY(),"md")&amp;" Hari"</f>
        <v>0 Tahun 4 Bulan 29 Hari</v>
      </c>
      <c r="AA1242" s="23" t="s">
        <v>897</v>
      </c>
      <c r="AB1242" s="32">
        <v>36848</v>
      </c>
      <c r="AC1242" s="32" t="s">
        <v>5358</v>
      </c>
      <c r="AD1242" s="22" t="str">
        <f t="shared" ca="1" si="87"/>
        <v xml:space="preserve">24 Tahun 11 Bulan </v>
      </c>
      <c r="AE1242" s="23" t="s">
        <v>5359</v>
      </c>
      <c r="AF1242" s="34"/>
      <c r="AG1242" s="58" t="s">
        <v>5302</v>
      </c>
      <c r="AH1242" s="22"/>
      <c r="AI1242" s="22"/>
      <c r="AJ1242" s="22"/>
      <c r="AK1242" s="33"/>
      <c r="AL1242" s="36"/>
      <c r="AM1242" s="13"/>
    </row>
    <row r="1243" spans="1:39" ht="14.45" customHeight="1" x14ac:dyDescent="0.25">
      <c r="A1243" s="115">
        <v>3</v>
      </c>
      <c r="B1243" s="18"/>
      <c r="C1243" s="50" t="s">
        <v>5360</v>
      </c>
      <c r="D1243" s="20" t="s">
        <v>5361</v>
      </c>
      <c r="E1243" s="21" t="s">
        <v>40</v>
      </c>
      <c r="F1243" s="22" t="s">
        <v>41</v>
      </c>
      <c r="G1243" s="23" t="s">
        <v>137</v>
      </c>
      <c r="H1243" s="22" t="s">
        <v>138</v>
      </c>
      <c r="I1243" s="22" t="s">
        <v>44</v>
      </c>
      <c r="J1243" s="22" t="s">
        <v>161</v>
      </c>
      <c r="K1243" s="24">
        <v>44188</v>
      </c>
      <c r="L1243" s="73" t="s">
        <v>5362</v>
      </c>
      <c r="M1243" s="26">
        <v>41429</v>
      </c>
      <c r="N1243" s="26">
        <v>43252</v>
      </c>
      <c r="O1243" s="54" t="s">
        <v>84</v>
      </c>
      <c r="P1243" s="23"/>
      <c r="Q1243" s="22"/>
      <c r="R1243" s="43"/>
      <c r="S1243" s="23" t="s">
        <v>84</v>
      </c>
      <c r="T1243" s="23"/>
      <c r="U1243" s="23"/>
      <c r="V1243" s="23"/>
      <c r="W1243" s="30">
        <v>35855</v>
      </c>
      <c r="X1243" s="30">
        <v>35855</v>
      </c>
      <c r="Y1243" s="30">
        <v>43966</v>
      </c>
      <c r="Z1243" s="31" t="str">
        <f ca="1">DATEDIF(W1243,TODAY(),"y")&amp;" Tahun "&amp;DATEDIF(W1243,TODAY(),"ym")&amp;" Bulan "&amp;DATEDIF(W1243,TODAY(),"md")&amp;" Hari"</f>
        <v>27 Tahun 7 Bulan 30 Hari</v>
      </c>
      <c r="AA1243" s="31" t="s">
        <v>76</v>
      </c>
      <c r="AB1243" s="32">
        <v>27181</v>
      </c>
      <c r="AC1243" s="32" t="s">
        <v>5363</v>
      </c>
      <c r="AD1243" s="22" t="str">
        <f t="shared" ca="1" si="87"/>
        <v xml:space="preserve">51 Tahun 4 Bulan </v>
      </c>
      <c r="AE1243" s="23" t="s">
        <v>5364</v>
      </c>
      <c r="AF1243" s="34"/>
      <c r="AG1243" s="58" t="s">
        <v>5365</v>
      </c>
      <c r="AH1243" s="22"/>
      <c r="AI1243" s="22"/>
      <c r="AJ1243" s="22"/>
      <c r="AK1243" s="33"/>
      <c r="AL1243" s="36"/>
    </row>
    <row r="1244" spans="1:39" ht="14.45" customHeight="1" x14ac:dyDescent="0.25">
      <c r="A1244" s="115">
        <v>4</v>
      </c>
      <c r="B1244" s="78"/>
      <c r="C1244" s="50" t="s">
        <v>5366</v>
      </c>
      <c r="D1244" s="20" t="s">
        <v>5367</v>
      </c>
      <c r="E1244" s="21" t="s">
        <v>40</v>
      </c>
      <c r="F1244" s="22" t="s">
        <v>238</v>
      </c>
      <c r="G1244" s="23" t="s">
        <v>3872</v>
      </c>
      <c r="H1244" s="22" t="s">
        <v>239</v>
      </c>
      <c r="I1244" s="22" t="s">
        <v>44</v>
      </c>
      <c r="J1244" s="22" t="s">
        <v>4854</v>
      </c>
      <c r="K1244" s="30"/>
      <c r="L1244" s="53"/>
      <c r="M1244" s="26"/>
      <c r="N1244" s="26"/>
      <c r="O1244" s="27"/>
      <c r="P1244" s="53"/>
      <c r="Q1244" s="26"/>
      <c r="R1244" s="29"/>
      <c r="S1244" s="23" t="s">
        <v>5368</v>
      </c>
      <c r="T1244" s="23"/>
      <c r="U1244" s="23"/>
      <c r="V1244" s="23"/>
      <c r="W1244" s="30">
        <v>45383</v>
      </c>
      <c r="X1244" s="30">
        <v>42370</v>
      </c>
      <c r="Y1244" s="30">
        <v>44256</v>
      </c>
      <c r="Z1244" s="31" t="str">
        <f ca="1">DATEDIF(X1244,TODAY(),"y")&amp;" Tahun "&amp;DATEDIF(X1244,TODAY(),"ym")&amp;" Bulan "&amp;DATEDIF(X1244,TODAY(),"md")&amp;" Hari"</f>
        <v>9 Tahun 9 Bulan 30 Hari</v>
      </c>
      <c r="AA1244" s="31" t="s">
        <v>2508</v>
      </c>
      <c r="AB1244" s="32">
        <v>32994</v>
      </c>
      <c r="AC1244" s="31" t="s">
        <v>5369</v>
      </c>
      <c r="AD1244" s="22" t="str">
        <f t="shared" ca="1" si="87"/>
        <v xml:space="preserve">35 Tahun 5 Bulan </v>
      </c>
      <c r="AE1244" s="33" t="s">
        <v>242</v>
      </c>
      <c r="AF1244" s="34"/>
      <c r="AG1244" s="58" t="s">
        <v>5365</v>
      </c>
      <c r="AH1244" s="58"/>
      <c r="AI1244" s="58"/>
      <c r="AJ1244" s="87"/>
      <c r="AK1244" s="61"/>
      <c r="AL1244" s="36"/>
      <c r="AM1244" s="14"/>
    </row>
    <row r="1245" spans="1:39" ht="14.45" customHeight="1" x14ac:dyDescent="0.25">
      <c r="A1245" s="115">
        <v>5</v>
      </c>
      <c r="B1245" s="18"/>
      <c r="C1245" s="19" t="s">
        <v>5370</v>
      </c>
      <c r="D1245" s="20" t="s">
        <v>5371</v>
      </c>
      <c r="E1245" s="21" t="s">
        <v>40</v>
      </c>
      <c r="F1245" s="22" t="s">
        <v>41</v>
      </c>
      <c r="G1245" s="23" t="s">
        <v>227</v>
      </c>
      <c r="H1245" s="22" t="s">
        <v>228</v>
      </c>
      <c r="I1245" s="22" t="s">
        <v>44</v>
      </c>
      <c r="J1245" s="22" t="s">
        <v>1559</v>
      </c>
      <c r="K1245" s="24">
        <v>45689</v>
      </c>
      <c r="L1245" s="53" t="s">
        <v>5372</v>
      </c>
      <c r="M1245" s="26">
        <v>42290</v>
      </c>
      <c r="N1245" s="26">
        <v>44135</v>
      </c>
      <c r="O1245" s="27" t="s">
        <v>148</v>
      </c>
      <c r="P1245" s="53" t="s">
        <v>5373</v>
      </c>
      <c r="Q1245" s="26">
        <v>43096</v>
      </c>
      <c r="R1245" s="26">
        <v>44135</v>
      </c>
      <c r="S1245" s="23" t="s">
        <v>84</v>
      </c>
      <c r="T1245" s="23"/>
      <c r="U1245" s="23"/>
      <c r="V1245" s="23"/>
      <c r="W1245" s="30">
        <v>40513</v>
      </c>
      <c r="X1245" s="30">
        <v>40664</v>
      </c>
      <c r="Y1245" s="30">
        <v>42125</v>
      </c>
      <c r="Z1245" s="31" t="str">
        <f ca="1">DATEDIF(W1245,TODAY(),"y")&amp;" Tahun "&amp;DATEDIF(W1245,TODAY(),"ym")&amp;" Bulan "&amp;DATEDIF(W1245,TODAY(),"md")&amp;" Hari"</f>
        <v>14 Tahun 10 Bulan 30 Hari</v>
      </c>
      <c r="AA1245" s="31" t="s">
        <v>1540</v>
      </c>
      <c r="AB1245" s="32">
        <v>32812</v>
      </c>
      <c r="AC1245" s="32" t="s">
        <v>5374</v>
      </c>
      <c r="AD1245" s="22" t="str">
        <f t="shared" ca="1" si="87"/>
        <v xml:space="preserve">36 Tahun 0 Bulan </v>
      </c>
      <c r="AE1245" s="33" t="s">
        <v>5375</v>
      </c>
      <c r="AF1245" s="34"/>
      <c r="AG1245" s="58" t="s">
        <v>5365</v>
      </c>
      <c r="AH1245" s="58"/>
      <c r="AI1245" s="58"/>
      <c r="AJ1245" s="58"/>
      <c r="AK1245" s="33" t="s">
        <v>308</v>
      </c>
      <c r="AL1245" s="22"/>
      <c r="AM1245" s="14"/>
    </row>
    <row r="1246" spans="1:39" ht="14.45" customHeight="1" x14ac:dyDescent="0.25">
      <c r="A1246" s="115">
        <v>6</v>
      </c>
      <c r="B1246" s="18"/>
      <c r="C1246" s="50" t="s">
        <v>5376</v>
      </c>
      <c r="D1246" s="20" t="s">
        <v>5377</v>
      </c>
      <c r="E1246" s="52" t="s">
        <v>56</v>
      </c>
      <c r="F1246" s="22" t="s">
        <v>41</v>
      </c>
      <c r="G1246" s="23" t="s">
        <v>227</v>
      </c>
      <c r="H1246" s="22" t="s">
        <v>228</v>
      </c>
      <c r="I1246" s="22" t="s">
        <v>155</v>
      </c>
      <c r="J1246" s="22" t="s">
        <v>280</v>
      </c>
      <c r="K1246" s="24">
        <v>45444</v>
      </c>
      <c r="L1246" s="22"/>
      <c r="M1246" s="22"/>
      <c r="N1246" s="22"/>
      <c r="O1246" s="22"/>
      <c r="P1246" s="22"/>
      <c r="Q1246" s="22"/>
      <c r="R1246" s="22"/>
      <c r="S1246" s="23" t="s">
        <v>202</v>
      </c>
      <c r="T1246" s="23"/>
      <c r="U1246" s="23"/>
      <c r="V1246" s="23"/>
      <c r="W1246" s="30">
        <v>39783</v>
      </c>
      <c r="X1246" s="30">
        <v>37865</v>
      </c>
      <c r="Y1246" s="22"/>
      <c r="Z1246" s="55" t="str">
        <f ca="1">DATEDIF(W1246,TODAY(),"y")&amp;" Tahun "&amp;DATEDIF(W1246,TODAY(),"ym")&amp;" Bulan "&amp;DATEDIF(W1246,TODAY(),"md")&amp;" Hari"</f>
        <v>16 Tahun 10 Bulan 30 Hari</v>
      </c>
      <c r="AA1246" s="55" t="s">
        <v>76</v>
      </c>
      <c r="AB1246" s="56">
        <v>30330</v>
      </c>
      <c r="AC1246" s="31" t="s">
        <v>5378</v>
      </c>
      <c r="AD1246" s="57" t="str">
        <f t="shared" ca="1" si="87"/>
        <v xml:space="preserve">42 Tahun 9 Bulan </v>
      </c>
      <c r="AE1246" s="33" t="s">
        <v>4697</v>
      </c>
      <c r="AF1246" s="71"/>
      <c r="AG1246" s="58" t="s">
        <v>5365</v>
      </c>
      <c r="AH1246" s="58"/>
      <c r="AI1246" s="58"/>
      <c r="AJ1246" s="58"/>
      <c r="AK1246" s="33" t="s">
        <v>4642</v>
      </c>
      <c r="AL1246" s="22"/>
      <c r="AM1246" s="14"/>
    </row>
    <row r="1247" spans="1:39" ht="14.45" customHeight="1" x14ac:dyDescent="0.25">
      <c r="A1247" s="115">
        <v>7</v>
      </c>
      <c r="B1247" s="18"/>
      <c r="C1247" s="50" t="s">
        <v>5379</v>
      </c>
      <c r="D1247" s="20" t="s">
        <v>6139</v>
      </c>
      <c r="E1247" s="21" t="s">
        <v>40</v>
      </c>
      <c r="F1247" s="22" t="s">
        <v>238</v>
      </c>
      <c r="G1247" s="23" t="s">
        <v>3872</v>
      </c>
      <c r="H1247" s="22" t="s">
        <v>1078</v>
      </c>
      <c r="I1247" s="22" t="s">
        <v>44</v>
      </c>
      <c r="J1247" s="22" t="s">
        <v>1079</v>
      </c>
      <c r="K1247" s="22"/>
      <c r="L1247" s="25"/>
      <c r="M1247" s="26"/>
      <c r="N1247" s="26"/>
      <c r="O1247" s="27"/>
      <c r="P1247" s="28"/>
      <c r="Q1247" s="29"/>
      <c r="R1247" s="26"/>
      <c r="S1247" s="23" t="s">
        <v>1355</v>
      </c>
      <c r="T1247" s="23"/>
      <c r="U1247" s="23"/>
      <c r="V1247" s="23"/>
      <c r="W1247" s="77">
        <v>45931</v>
      </c>
      <c r="X1247" s="30">
        <v>45261</v>
      </c>
      <c r="Y1247" s="30">
        <v>45261</v>
      </c>
      <c r="Z1247" s="31" t="str">
        <f ca="1">DATEDIF(X1247,TODAY(),"y")&amp;" Tahun "&amp;DATEDIF(X1247,TODAY(),"ym")&amp;" Bulan "&amp;DATEDIF(X1247,TODAY(),"md")&amp;" Hari"</f>
        <v>1 Tahun 10 Bulan 30 Hari</v>
      </c>
      <c r="AA1247" s="31" t="s">
        <v>76</v>
      </c>
      <c r="AB1247" s="32">
        <v>31696</v>
      </c>
      <c r="AC1247" s="31" t="s">
        <v>6140</v>
      </c>
      <c r="AD1247" s="22" t="str">
        <f t="shared" ref="AD1247:AD1254" ca="1" si="91">DATEDIF(AB1247,TODAY(),"y")&amp;" Tahun "&amp;DATEDIF(AB1247,TODAY(),"ym")&amp;" Bulan "</f>
        <v xml:space="preserve">39 Tahun 0 Bulan </v>
      </c>
      <c r="AE1247" s="33" t="s">
        <v>1069</v>
      </c>
      <c r="AF1247" s="34"/>
      <c r="AG1247" s="58" t="s">
        <v>5365</v>
      </c>
      <c r="AH1247" s="58"/>
      <c r="AI1247" s="58"/>
      <c r="AJ1247" s="58"/>
      <c r="AK1247" s="33"/>
      <c r="AL1247" s="22"/>
      <c r="AM1247" s="14"/>
    </row>
    <row r="1248" spans="1:39" ht="14.45" customHeight="1" x14ac:dyDescent="0.25">
      <c r="A1248" s="115">
        <v>8</v>
      </c>
      <c r="B1248" s="78"/>
      <c r="C1248" s="50" t="s">
        <v>5380</v>
      </c>
      <c r="D1248" s="20" t="s">
        <v>5381</v>
      </c>
      <c r="E1248" s="21" t="s">
        <v>56</v>
      </c>
      <c r="F1248" s="22" t="s">
        <v>41</v>
      </c>
      <c r="G1248" s="23" t="s">
        <v>1547</v>
      </c>
      <c r="H1248" s="22" t="s">
        <v>1548</v>
      </c>
      <c r="I1248" s="22" t="s">
        <v>155</v>
      </c>
      <c r="J1248" s="22" t="s">
        <v>3022</v>
      </c>
      <c r="K1248" s="24">
        <v>45017</v>
      </c>
      <c r="L1248" s="53"/>
      <c r="M1248" s="26"/>
      <c r="N1248" s="26"/>
      <c r="O1248" s="27"/>
      <c r="P1248" s="53"/>
      <c r="Q1248" s="26"/>
      <c r="R1248" s="29"/>
      <c r="S1248" s="23" t="s">
        <v>1339</v>
      </c>
      <c r="T1248" s="23"/>
      <c r="U1248" s="23"/>
      <c r="V1248" s="23"/>
      <c r="W1248" s="30">
        <v>39083</v>
      </c>
      <c r="X1248" s="30">
        <v>35674</v>
      </c>
      <c r="Y1248" s="30">
        <v>43647</v>
      </c>
      <c r="Z1248" s="31" t="str">
        <f ca="1">DATEDIF(W1248,TODAY(),"y")&amp;" Tahun "&amp;DATEDIF(W1248,TODAY(),"ym")&amp;" Bulan "&amp;DATEDIF(W1248,TODAY(),"md")&amp;" Hari"</f>
        <v>18 Tahun 9 Bulan 30 Hari</v>
      </c>
      <c r="AA1248" s="31" t="s">
        <v>76</v>
      </c>
      <c r="AB1248" s="32">
        <v>25830</v>
      </c>
      <c r="AC1248" s="31" t="s">
        <v>5382</v>
      </c>
      <c r="AD1248" s="22" t="str">
        <f t="shared" ca="1" si="91"/>
        <v xml:space="preserve">55 Tahun 1 Bulan </v>
      </c>
      <c r="AE1248" s="33" t="s">
        <v>5383</v>
      </c>
      <c r="AF1248" s="34"/>
      <c r="AG1248" s="58" t="s">
        <v>5365</v>
      </c>
      <c r="AH1248" s="58"/>
      <c r="AI1248" s="58"/>
      <c r="AJ1248" s="58"/>
      <c r="AK1248" s="33"/>
      <c r="AL1248" s="22"/>
      <c r="AM1248" s="14"/>
    </row>
    <row r="1249" spans="1:39" ht="14.45" customHeight="1" x14ac:dyDescent="0.25">
      <c r="A1249" s="17">
        <v>1</v>
      </c>
      <c r="B1249" s="18"/>
      <c r="C1249" s="50" t="s">
        <v>5384</v>
      </c>
      <c r="D1249" s="20" t="s">
        <v>5385</v>
      </c>
      <c r="E1249" s="21" t="s">
        <v>56</v>
      </c>
      <c r="F1249" s="22" t="s">
        <v>41</v>
      </c>
      <c r="G1249" s="23" t="s">
        <v>137</v>
      </c>
      <c r="H1249" s="22" t="s">
        <v>138</v>
      </c>
      <c r="I1249" s="22" t="s">
        <v>155</v>
      </c>
      <c r="J1249" s="22" t="s">
        <v>1064</v>
      </c>
      <c r="K1249" s="24">
        <v>43466</v>
      </c>
      <c r="L1249" s="22"/>
      <c r="M1249" s="23"/>
      <c r="N1249" s="26"/>
      <c r="O1249" s="22"/>
      <c r="P1249" s="22"/>
      <c r="Q1249" s="22"/>
      <c r="R1249" s="22"/>
      <c r="S1249" s="23" t="s">
        <v>1391</v>
      </c>
      <c r="T1249" s="23"/>
      <c r="U1249" s="23"/>
      <c r="V1249" s="23"/>
      <c r="W1249" s="30">
        <v>38808</v>
      </c>
      <c r="X1249" s="30">
        <v>35704</v>
      </c>
      <c r="Y1249" s="30">
        <v>42067</v>
      </c>
      <c r="Z1249" s="31" t="str">
        <f ca="1">DATEDIF(W1249,TODAY(),"y")&amp;" Tahun "&amp;DATEDIF(W1249,TODAY(),"ym")&amp;" Bulan "&amp;DATEDIF(W1249,TODAY(),"md")&amp;" Hari"</f>
        <v>19 Tahun 6 Bulan 30 Hari</v>
      </c>
      <c r="AA1249" s="31" t="s">
        <v>76</v>
      </c>
      <c r="AB1249" s="32">
        <v>25931</v>
      </c>
      <c r="AC1249" s="31" t="s">
        <v>5386</v>
      </c>
      <c r="AD1249" s="22" t="str">
        <f t="shared" ca="1" si="91"/>
        <v xml:space="preserve">54 Tahun 10 Bulan </v>
      </c>
      <c r="AE1249" s="33" t="s">
        <v>4781</v>
      </c>
      <c r="AF1249" s="34"/>
      <c r="AG1249" s="58" t="s">
        <v>5365</v>
      </c>
      <c r="AH1249" s="33" t="s">
        <v>5303</v>
      </c>
      <c r="AI1249" s="22"/>
      <c r="AJ1249" s="22"/>
      <c r="AK1249" s="33"/>
      <c r="AL1249" s="36"/>
    </row>
    <row r="1250" spans="1:39" ht="14.45" customHeight="1" x14ac:dyDescent="0.25">
      <c r="A1250" s="17">
        <v>2</v>
      </c>
      <c r="B1250" s="78"/>
      <c r="C1250" s="50" t="s">
        <v>5387</v>
      </c>
      <c r="D1250" s="20" t="s">
        <v>6141</v>
      </c>
      <c r="E1250" s="21" t="s">
        <v>40</v>
      </c>
      <c r="F1250" s="22" t="s">
        <v>238</v>
      </c>
      <c r="G1250" s="23" t="s">
        <v>3872</v>
      </c>
      <c r="H1250" s="22" t="s">
        <v>1078</v>
      </c>
      <c r="I1250" s="22" t="s">
        <v>44</v>
      </c>
      <c r="J1250" s="22" t="s">
        <v>1079</v>
      </c>
      <c r="K1250" s="30"/>
      <c r="L1250" s="53"/>
      <c r="M1250" s="26"/>
      <c r="N1250" s="26"/>
      <c r="O1250" s="27"/>
      <c r="P1250" s="53"/>
      <c r="Q1250" s="26"/>
      <c r="R1250" s="29"/>
      <c r="S1250" s="23" t="s">
        <v>290</v>
      </c>
      <c r="T1250" s="23"/>
      <c r="U1250" s="23"/>
      <c r="V1250" s="23"/>
      <c r="W1250" s="30">
        <v>45931</v>
      </c>
      <c r="X1250" s="30">
        <v>40330</v>
      </c>
      <c r="Y1250" s="30">
        <v>42740</v>
      </c>
      <c r="Z1250" s="31" t="str">
        <f ca="1">DATEDIF(X1250,TODAY(),"y")&amp;" Tahun "&amp;DATEDIF(X1250,TODAY(),"ym")&amp;" Bulan "&amp;DATEDIF(X1250,TODAY(),"md")&amp;" Hari"</f>
        <v>15 Tahun 4 Bulan 30 Hari</v>
      </c>
      <c r="AA1250" s="31" t="s">
        <v>76</v>
      </c>
      <c r="AB1250" s="32">
        <v>29434</v>
      </c>
      <c r="AC1250" s="31" t="s">
        <v>6142</v>
      </c>
      <c r="AD1250" s="22" t="str">
        <f t="shared" ca="1" si="91"/>
        <v xml:space="preserve">45 Tahun 2 Bulan </v>
      </c>
      <c r="AE1250" s="33" t="s">
        <v>1341</v>
      </c>
      <c r="AF1250" s="34"/>
      <c r="AG1250" s="58" t="s">
        <v>5365</v>
      </c>
      <c r="AH1250" s="33" t="s">
        <v>5303</v>
      </c>
      <c r="AI1250" s="22"/>
      <c r="AJ1250" s="22"/>
      <c r="AK1250" s="33"/>
      <c r="AL1250" s="36"/>
    </row>
    <row r="1251" spans="1:39" ht="14.45" customHeight="1" x14ac:dyDescent="0.25">
      <c r="A1251" s="17">
        <v>3</v>
      </c>
      <c r="B1251" s="78"/>
      <c r="C1251" s="50" t="s">
        <v>6143</v>
      </c>
      <c r="D1251" s="20" t="s">
        <v>6144</v>
      </c>
      <c r="E1251" s="21" t="s">
        <v>40</v>
      </c>
      <c r="F1251" s="22" t="s">
        <v>238</v>
      </c>
      <c r="G1251" s="23" t="s">
        <v>3872</v>
      </c>
      <c r="H1251" s="22" t="s">
        <v>1078</v>
      </c>
      <c r="I1251" s="22" t="s">
        <v>44</v>
      </c>
      <c r="J1251" s="22" t="s">
        <v>1079</v>
      </c>
      <c r="K1251" s="30"/>
      <c r="L1251" s="53"/>
      <c r="M1251" s="26"/>
      <c r="N1251" s="26"/>
      <c r="O1251" s="27"/>
      <c r="P1251" s="53"/>
      <c r="Q1251" s="26"/>
      <c r="R1251" s="29"/>
      <c r="S1251" s="23" t="s">
        <v>1355</v>
      </c>
      <c r="T1251" s="23"/>
      <c r="U1251" s="23"/>
      <c r="V1251" s="23"/>
      <c r="W1251" s="30">
        <v>45931</v>
      </c>
      <c r="X1251" s="30">
        <v>45261</v>
      </c>
      <c r="Y1251" s="30">
        <v>45261</v>
      </c>
      <c r="Z1251" s="31" t="str">
        <f ca="1">DATEDIF(X1251,TODAY(),"y")&amp;" Tahun "&amp;DATEDIF(X1251,TODAY(),"ym")&amp;" Bulan "&amp;DATEDIF(X1251,TODAY(),"md")&amp;" Hari"</f>
        <v>1 Tahun 10 Bulan 30 Hari</v>
      </c>
      <c r="AA1251" s="31" t="s">
        <v>76</v>
      </c>
      <c r="AB1251" s="32">
        <v>30450</v>
      </c>
      <c r="AC1251" s="31" t="s">
        <v>6145</v>
      </c>
      <c r="AD1251" s="22" t="str">
        <f t="shared" ca="1" si="91"/>
        <v xml:space="preserve">42 Tahun 5 Bulan </v>
      </c>
      <c r="AE1251" s="33" t="s">
        <v>1069</v>
      </c>
      <c r="AF1251" s="34"/>
      <c r="AG1251" s="58" t="s">
        <v>5365</v>
      </c>
      <c r="AH1251" s="33" t="s">
        <v>5303</v>
      </c>
      <c r="AI1251" s="22"/>
      <c r="AJ1251" s="22"/>
      <c r="AK1251" s="33"/>
      <c r="AL1251" s="36"/>
      <c r="AM1251" s="14"/>
    </row>
    <row r="1252" spans="1:39" ht="14.45" customHeight="1" x14ac:dyDescent="0.25">
      <c r="A1252" s="17">
        <v>4</v>
      </c>
      <c r="B1252" s="78"/>
      <c r="C1252" s="50" t="s">
        <v>6146</v>
      </c>
      <c r="D1252" s="20" t="s">
        <v>6147</v>
      </c>
      <c r="E1252" s="21" t="s">
        <v>40</v>
      </c>
      <c r="F1252" s="22" t="s">
        <v>238</v>
      </c>
      <c r="G1252" s="23" t="s">
        <v>3872</v>
      </c>
      <c r="H1252" s="22" t="s">
        <v>1078</v>
      </c>
      <c r="I1252" s="22" t="s">
        <v>155</v>
      </c>
      <c r="J1252" s="22" t="s">
        <v>5693</v>
      </c>
      <c r="K1252" s="30"/>
      <c r="L1252" s="53"/>
      <c r="M1252" s="26"/>
      <c r="N1252" s="26"/>
      <c r="O1252" s="27"/>
      <c r="P1252" s="53"/>
      <c r="Q1252" s="26"/>
      <c r="R1252" s="29"/>
      <c r="S1252" s="23" t="s">
        <v>1068</v>
      </c>
      <c r="T1252" s="23"/>
      <c r="U1252" s="23"/>
      <c r="V1252" s="23"/>
      <c r="W1252" s="30">
        <v>45931</v>
      </c>
      <c r="X1252" s="30">
        <v>45261</v>
      </c>
      <c r="Y1252" s="30">
        <v>45261</v>
      </c>
      <c r="Z1252" s="31" t="str">
        <f ca="1">DATEDIF(X1252,TODAY(),"y")&amp;" Tahun "&amp;DATEDIF(X1252,TODAY(),"ym")&amp;" Bulan "&amp;DATEDIF(X1252,TODAY(),"md")&amp;" Hari"</f>
        <v>1 Tahun 10 Bulan 30 Hari</v>
      </c>
      <c r="AA1252" s="31" t="s">
        <v>846</v>
      </c>
      <c r="AB1252" s="32">
        <v>30427</v>
      </c>
      <c r="AC1252" s="31" t="s">
        <v>6148</v>
      </c>
      <c r="AD1252" s="22" t="str">
        <f t="shared" ca="1" si="91"/>
        <v xml:space="preserve">42 Tahun 6 Bulan </v>
      </c>
      <c r="AE1252" s="33" t="s">
        <v>1341</v>
      </c>
      <c r="AF1252" s="34"/>
      <c r="AG1252" s="58" t="s">
        <v>5365</v>
      </c>
      <c r="AH1252" s="33" t="s">
        <v>5303</v>
      </c>
      <c r="AI1252" s="58"/>
      <c r="AJ1252" s="58"/>
      <c r="AK1252" s="33"/>
      <c r="AL1252" s="36"/>
    </row>
    <row r="1253" spans="1:39" ht="14.45" customHeight="1" x14ac:dyDescent="0.25">
      <c r="A1253" s="17">
        <v>5</v>
      </c>
      <c r="B1253" s="78"/>
      <c r="C1253" s="50" t="s">
        <v>5388</v>
      </c>
      <c r="D1253" s="20" t="s">
        <v>5389</v>
      </c>
      <c r="E1253" s="21" t="s">
        <v>56</v>
      </c>
      <c r="F1253" s="22" t="s">
        <v>238</v>
      </c>
      <c r="G1253" s="23" t="s">
        <v>3872</v>
      </c>
      <c r="H1253" s="22" t="s">
        <v>1078</v>
      </c>
      <c r="I1253" s="22" t="s">
        <v>44</v>
      </c>
      <c r="J1253" s="22" t="s">
        <v>4844</v>
      </c>
      <c r="K1253" s="30"/>
      <c r="L1253" s="53"/>
      <c r="M1253" s="26"/>
      <c r="N1253" s="26"/>
      <c r="O1253" s="27"/>
      <c r="P1253" s="53"/>
      <c r="Q1253" s="26"/>
      <c r="R1253" s="29"/>
      <c r="S1253" s="23" t="s">
        <v>5390</v>
      </c>
      <c r="T1253" s="23"/>
      <c r="U1253" s="23"/>
      <c r="V1253" s="23"/>
      <c r="W1253" s="30">
        <v>45139</v>
      </c>
      <c r="X1253" s="30">
        <v>42370</v>
      </c>
      <c r="Y1253" s="30">
        <v>42401</v>
      </c>
      <c r="Z1253" s="31" t="str">
        <f ca="1">DATEDIF(X1253,TODAY(),"y")&amp;" Tahun "&amp;DATEDIF(X1253,TODAY(),"ym")&amp;" Bulan "&amp;DATEDIF(X1253,TODAY(),"md")&amp;" Hari"</f>
        <v>9 Tahun 9 Bulan 30 Hari</v>
      </c>
      <c r="AA1253" s="31" t="s">
        <v>76</v>
      </c>
      <c r="AB1253" s="32">
        <v>34641</v>
      </c>
      <c r="AC1253" s="31" t="s">
        <v>5391</v>
      </c>
      <c r="AD1253" s="22" t="str">
        <f t="shared" ca="1" si="91"/>
        <v xml:space="preserve">30 Tahun 11 Bulan </v>
      </c>
      <c r="AE1253" s="33" t="s">
        <v>242</v>
      </c>
      <c r="AF1253" s="34"/>
      <c r="AG1253" s="58" t="s">
        <v>5365</v>
      </c>
      <c r="AH1253" s="33" t="s">
        <v>5303</v>
      </c>
      <c r="AI1253" s="22"/>
      <c r="AJ1253" s="22"/>
      <c r="AK1253" s="33"/>
      <c r="AL1253" s="22"/>
      <c r="AM1253" s="14"/>
    </row>
    <row r="1254" spans="1:39" ht="14.45" customHeight="1" x14ac:dyDescent="0.25">
      <c r="A1254" s="17">
        <v>6</v>
      </c>
      <c r="B1254" s="18"/>
      <c r="C1254" s="50" t="s">
        <v>6149</v>
      </c>
      <c r="D1254" s="20" t="s">
        <v>5392</v>
      </c>
      <c r="E1254" s="21" t="s">
        <v>56</v>
      </c>
      <c r="F1254" s="22" t="s">
        <v>192</v>
      </c>
      <c r="G1254" s="23" t="s">
        <v>193</v>
      </c>
      <c r="H1254" s="22" t="s">
        <v>194</v>
      </c>
      <c r="I1254" s="22" t="s">
        <v>155</v>
      </c>
      <c r="J1254" s="22" t="s">
        <v>5393</v>
      </c>
      <c r="K1254" s="24" t="s">
        <v>195</v>
      </c>
      <c r="L1254" s="22"/>
      <c r="M1254" s="22"/>
      <c r="N1254" s="22"/>
      <c r="O1254" s="22"/>
      <c r="P1254" s="22"/>
      <c r="Q1254" s="22"/>
      <c r="R1254" s="22"/>
      <c r="S1254" s="23" t="s">
        <v>5394</v>
      </c>
      <c r="T1254" s="23"/>
      <c r="U1254" s="23"/>
      <c r="V1254" s="23"/>
      <c r="W1254" s="69">
        <v>45809</v>
      </c>
      <c r="X1254" s="69">
        <v>45810</v>
      </c>
      <c r="Y1254" s="69">
        <v>45810</v>
      </c>
      <c r="Z1254" s="31" t="str">
        <f ca="1">DATEDIF(X1254,TODAY(),"y")&amp;" Tahun "&amp;DATEDIF(X1254,TODAY(),"ym")&amp;" Bulan "&amp;DATEDIF(X1254,TODAY(),"md")&amp;" Hari"</f>
        <v>0 Tahun 4 Bulan 29 Hari</v>
      </c>
      <c r="AA1254" s="23" t="s">
        <v>3922</v>
      </c>
      <c r="AB1254" s="32">
        <v>35426</v>
      </c>
      <c r="AC1254" s="32" t="s">
        <v>5395</v>
      </c>
      <c r="AD1254" s="22" t="str">
        <f t="shared" ca="1" si="91"/>
        <v xml:space="preserve">28 Tahun 10 Bulan </v>
      </c>
      <c r="AE1254" s="23" t="s">
        <v>5396</v>
      </c>
      <c r="AF1254" s="34"/>
      <c r="AG1254" s="58" t="s">
        <v>5365</v>
      </c>
      <c r="AH1254" s="85" t="s">
        <v>5317</v>
      </c>
      <c r="AI1254" s="58"/>
      <c r="AJ1254" s="58"/>
      <c r="AK1254" s="33"/>
      <c r="AL1254" s="206" t="s">
        <v>5318</v>
      </c>
    </row>
    <row r="1255" spans="1:39" ht="14.45" customHeight="1" x14ac:dyDescent="0.25">
      <c r="A1255" s="17">
        <v>7</v>
      </c>
      <c r="B1255" s="18"/>
      <c r="C1255" s="50" t="s">
        <v>5398</v>
      </c>
      <c r="D1255" s="20" t="s">
        <v>5399</v>
      </c>
      <c r="E1255" s="21" t="s">
        <v>40</v>
      </c>
      <c r="F1255" s="22" t="s">
        <v>41</v>
      </c>
      <c r="G1255" s="23" t="s">
        <v>102</v>
      </c>
      <c r="H1255" s="22" t="s">
        <v>103</v>
      </c>
      <c r="I1255" s="22" t="s">
        <v>155</v>
      </c>
      <c r="J1255" s="22" t="s">
        <v>1064</v>
      </c>
      <c r="K1255" s="24">
        <v>44652</v>
      </c>
      <c r="L1255" s="22"/>
      <c r="M1255" s="22"/>
      <c r="N1255" s="22"/>
      <c r="O1255" s="22"/>
      <c r="P1255" s="22"/>
      <c r="Q1255" s="22"/>
      <c r="R1255" s="22"/>
      <c r="S1255" s="23" t="s">
        <v>290</v>
      </c>
      <c r="T1255" s="23"/>
      <c r="U1255" s="23"/>
      <c r="V1255" s="23"/>
      <c r="W1255" s="30">
        <v>38808</v>
      </c>
      <c r="X1255" s="30">
        <v>35765</v>
      </c>
      <c r="Y1255" s="30">
        <v>41730</v>
      </c>
      <c r="Z1255" s="31" t="str">
        <f ca="1">DATEDIF(W1255,TODAY(),"y")&amp;" Tahun "&amp;DATEDIF(W1255,TODAY(),"ym")&amp;" Bulan "&amp;DATEDIF(W1255,TODAY(),"md")&amp;" Hari"</f>
        <v>19 Tahun 6 Bulan 30 Hari</v>
      </c>
      <c r="AA1255" s="31" t="s">
        <v>128</v>
      </c>
      <c r="AB1255" s="32">
        <v>26459</v>
      </c>
      <c r="AC1255" s="32" t="s">
        <v>5400</v>
      </c>
      <c r="AD1255" s="22" t="str">
        <f ca="1">DATEDIF(AB1255,TODAY(),"y")&amp;" Tahun "&amp;DATEDIF(AB1255,TODAY(),"ym")&amp;" Bulan "</f>
        <v xml:space="preserve">53 Tahun 4 Bulan </v>
      </c>
      <c r="AE1255" s="33" t="s">
        <v>1069</v>
      </c>
      <c r="AF1255" s="34"/>
      <c r="AG1255" s="22" t="s">
        <v>5397</v>
      </c>
      <c r="AH1255" s="85" t="s">
        <v>5317</v>
      </c>
      <c r="AI1255" s="22"/>
      <c r="AJ1255" s="60"/>
      <c r="AK1255" s="61"/>
      <c r="AL1255" s="36"/>
    </row>
    <row r="1256" spans="1:39" ht="14.45" customHeight="1" x14ac:dyDescent="0.25">
      <c r="A1256" s="17">
        <v>8</v>
      </c>
      <c r="B1256" s="123"/>
      <c r="C1256" s="50" t="s">
        <v>5401</v>
      </c>
      <c r="D1256" s="20" t="s">
        <v>5402</v>
      </c>
      <c r="E1256" s="22" t="s">
        <v>40</v>
      </c>
      <c r="F1256" s="22" t="s">
        <v>238</v>
      </c>
      <c r="G1256" s="23" t="s">
        <v>3872</v>
      </c>
      <c r="H1256" s="22" t="s">
        <v>1078</v>
      </c>
      <c r="I1256" s="22" t="s">
        <v>44</v>
      </c>
      <c r="J1256" s="22" t="s">
        <v>1079</v>
      </c>
      <c r="K1256" s="30"/>
      <c r="L1256" s="22"/>
      <c r="M1256" s="26"/>
      <c r="N1256" s="26"/>
      <c r="O1256" s="22"/>
      <c r="P1256" s="22"/>
      <c r="Q1256" s="22"/>
      <c r="R1256" s="22"/>
      <c r="S1256" s="23" t="s">
        <v>1080</v>
      </c>
      <c r="T1256" s="23"/>
      <c r="U1256" s="23"/>
      <c r="V1256" s="23"/>
      <c r="W1256" s="30">
        <v>45261</v>
      </c>
      <c r="X1256" s="30">
        <v>42370</v>
      </c>
      <c r="Y1256" s="30">
        <v>44256</v>
      </c>
      <c r="Z1256" s="31" t="str">
        <f ca="1">DATEDIF(X1256,TODAY(),"y")&amp;" Tahun "&amp;DATEDIF(X1256,TODAY(),"ym")&amp;" Bulan "&amp;DATEDIF(X1256,TODAY(),"md")&amp;" Hari"</f>
        <v>9 Tahun 9 Bulan 30 Hari</v>
      </c>
      <c r="AA1256" s="31" t="s">
        <v>76</v>
      </c>
      <c r="AB1256" s="32">
        <v>34244</v>
      </c>
      <c r="AC1256" s="32" t="s">
        <v>5403</v>
      </c>
      <c r="AD1256" s="22" t="str">
        <f ca="1">DATEDIF(AB1256,TODAY(),"y")&amp;" Tahun "&amp;DATEDIF(AB1256,TODAY(),"ym")&amp;" Bulan "</f>
        <v xml:space="preserve">32 Tahun 0 Bulan </v>
      </c>
      <c r="AE1256" s="33" t="s">
        <v>1069</v>
      </c>
      <c r="AF1256" s="34"/>
      <c r="AG1256" s="22" t="s">
        <v>5397</v>
      </c>
      <c r="AH1256" s="85" t="s">
        <v>5317</v>
      </c>
      <c r="AI1256" s="22"/>
      <c r="AJ1256" s="22"/>
      <c r="AK1256" s="33" t="s">
        <v>314</v>
      </c>
      <c r="AL1256" s="22"/>
    </row>
    <row r="1257" spans="1:39" ht="14.45" customHeight="1" x14ac:dyDescent="0.25">
      <c r="A1257" s="17">
        <v>9</v>
      </c>
      <c r="B1257" s="18"/>
      <c r="C1257" s="50" t="s">
        <v>6183</v>
      </c>
      <c r="D1257" s="20" t="s">
        <v>6150</v>
      </c>
      <c r="E1257" s="58" t="s">
        <v>56</v>
      </c>
      <c r="F1257" s="22" t="s">
        <v>238</v>
      </c>
      <c r="G1257" s="33" t="s">
        <v>3872</v>
      </c>
      <c r="H1257" s="22" t="s">
        <v>1078</v>
      </c>
      <c r="I1257" s="22" t="s">
        <v>44</v>
      </c>
      <c r="J1257" s="22" t="s">
        <v>3187</v>
      </c>
      <c r="K1257" s="30"/>
      <c r="L1257" s="25" t="s">
        <v>5404</v>
      </c>
      <c r="M1257" s="29">
        <v>41974</v>
      </c>
      <c r="N1257" s="26">
        <v>43485</v>
      </c>
      <c r="O1257" s="27" t="s">
        <v>1324</v>
      </c>
      <c r="P1257" s="28" t="s">
        <v>5405</v>
      </c>
      <c r="Q1257" s="29">
        <v>42017</v>
      </c>
      <c r="R1257" s="26">
        <v>43043</v>
      </c>
      <c r="S1257" s="33" t="s">
        <v>3013</v>
      </c>
      <c r="T1257" s="33"/>
      <c r="U1257" s="33"/>
      <c r="V1257" s="33"/>
      <c r="W1257" s="30">
        <v>45931</v>
      </c>
      <c r="X1257" s="30">
        <v>42095</v>
      </c>
      <c r="Y1257" s="30">
        <v>42114</v>
      </c>
      <c r="Z1257" s="55" t="str">
        <f ca="1">DATEDIF(X1257,TODAY(),"y")&amp;" Tahun "&amp;DATEDIF(X1257,TODAY(),"ym")&amp;" Bulan "&amp;DATEDIF(X1257,TODAY(),"md")&amp;" Hari"</f>
        <v>10 Tahun 6 Bulan 30 Hari</v>
      </c>
      <c r="AA1257" s="66" t="s">
        <v>76</v>
      </c>
      <c r="AB1257" s="56">
        <v>33258</v>
      </c>
      <c r="AC1257" s="31" t="s">
        <v>6151</v>
      </c>
      <c r="AD1257" s="57" t="str">
        <f ca="1">DATEDIF(AB1257,TODAY(),"y")&amp;" Tahun "&amp;DATEDIF(AB1257,TODAY(),"ym")&amp;" Bulan "</f>
        <v xml:space="preserve">34 Tahun 9 Bulan </v>
      </c>
      <c r="AE1257" s="33" t="s">
        <v>1069</v>
      </c>
      <c r="AF1257" s="71"/>
      <c r="AG1257" s="22" t="s">
        <v>5397</v>
      </c>
      <c r="AH1257" s="85" t="s">
        <v>5317</v>
      </c>
      <c r="AI1257" s="58"/>
      <c r="AJ1257" s="58"/>
      <c r="AK1257" s="33" t="s">
        <v>243</v>
      </c>
      <c r="AL1257" s="36" t="s">
        <v>5329</v>
      </c>
    </row>
    <row r="1258" spans="1:39" ht="14.45" customHeight="1" x14ac:dyDescent="0.25">
      <c r="A1258" s="17">
        <v>10</v>
      </c>
      <c r="B1258" s="78"/>
      <c r="C1258" s="50" t="s">
        <v>6152</v>
      </c>
      <c r="D1258" s="20" t="s">
        <v>6153</v>
      </c>
      <c r="E1258" s="21" t="s">
        <v>56</v>
      </c>
      <c r="F1258" s="22" t="s">
        <v>238</v>
      </c>
      <c r="G1258" s="23" t="s">
        <v>3872</v>
      </c>
      <c r="H1258" s="22" t="s">
        <v>1078</v>
      </c>
      <c r="I1258" s="22" t="s">
        <v>44</v>
      </c>
      <c r="J1258" s="22" t="s">
        <v>1079</v>
      </c>
      <c r="K1258" s="30"/>
      <c r="L1258" s="53"/>
      <c r="M1258" s="26"/>
      <c r="N1258" s="26"/>
      <c r="O1258" s="27"/>
      <c r="P1258" s="53"/>
      <c r="Q1258" s="26"/>
      <c r="R1258" s="29"/>
      <c r="S1258" s="23" t="s">
        <v>1355</v>
      </c>
      <c r="T1258" s="23"/>
      <c r="U1258" s="23"/>
      <c r="V1258" s="23"/>
      <c r="W1258" s="30">
        <v>45931</v>
      </c>
      <c r="X1258" s="30">
        <v>45261</v>
      </c>
      <c r="Y1258" s="30">
        <v>45261</v>
      </c>
      <c r="Z1258" s="31" t="str">
        <f ca="1">DATEDIF(X1258,TODAY(),"y")&amp;" Tahun "&amp;DATEDIF(X1258,TODAY(),"ym")&amp;" Bulan "&amp;DATEDIF(X1258,TODAY(),"md")&amp;" Hari"</f>
        <v>1 Tahun 10 Bulan 30 Hari</v>
      </c>
      <c r="AA1258" s="31" t="s">
        <v>594</v>
      </c>
      <c r="AB1258" s="32">
        <v>30221</v>
      </c>
      <c r="AC1258" s="31" t="s">
        <v>6154</v>
      </c>
      <c r="AD1258" s="22" t="str">
        <f ca="1">DATEDIF(AB1258,TODAY(),"y")&amp;" Tahun "&amp;DATEDIF(AB1258,TODAY(),"ym")&amp;" Bulan "</f>
        <v xml:space="preserve">43 Tahun 1 Bulan </v>
      </c>
      <c r="AE1258" s="33" t="s">
        <v>1069</v>
      </c>
      <c r="AF1258" s="34"/>
      <c r="AG1258" s="22" t="s">
        <v>5397</v>
      </c>
      <c r="AH1258" s="85" t="s">
        <v>5317</v>
      </c>
      <c r="AI1258" s="58"/>
      <c r="AJ1258" s="58"/>
      <c r="AK1258" s="33"/>
      <c r="AL1258" s="36"/>
    </row>
    <row r="1259" spans="1:39" s="321" customFormat="1" ht="14.45" customHeight="1" x14ac:dyDescent="0.25">
      <c r="A1259" s="314"/>
      <c r="B1259" s="315"/>
      <c r="C1259" s="50" t="s">
        <v>113</v>
      </c>
      <c r="D1259" s="20" t="s">
        <v>114</v>
      </c>
      <c r="E1259" s="23" t="s">
        <v>115</v>
      </c>
      <c r="F1259" s="22" t="s">
        <v>116</v>
      </c>
      <c r="G1259" s="23" t="s">
        <v>115</v>
      </c>
      <c r="H1259" s="22" t="s">
        <v>116</v>
      </c>
      <c r="I1259" s="22" t="s">
        <v>45</v>
      </c>
      <c r="J1259" s="22" t="s">
        <v>45</v>
      </c>
      <c r="K1259" s="305"/>
      <c r="L1259" s="306"/>
      <c r="M1259" s="307"/>
      <c r="N1259" s="307"/>
      <c r="O1259" s="308"/>
      <c r="P1259" s="306"/>
      <c r="Q1259" s="307"/>
      <c r="R1259" s="309"/>
      <c r="S1259" s="304"/>
      <c r="T1259" s="304"/>
      <c r="U1259" s="304"/>
      <c r="V1259" s="304"/>
      <c r="W1259" s="305"/>
      <c r="X1259" s="305"/>
      <c r="Y1259" s="305"/>
      <c r="Z1259" s="310"/>
      <c r="AA1259" s="310"/>
      <c r="AB1259" s="311"/>
      <c r="AC1259" s="310"/>
      <c r="AD1259" s="303"/>
      <c r="AE1259" s="22" t="s">
        <v>45</v>
      </c>
      <c r="AF1259" s="33" t="s">
        <v>122</v>
      </c>
      <c r="AG1259" s="58" t="s">
        <v>89</v>
      </c>
      <c r="AH1259" s="312"/>
      <c r="AI1259" s="303"/>
      <c r="AJ1259" s="303"/>
      <c r="AK1259" s="312"/>
      <c r="AL1259" s="313"/>
      <c r="AM1259" s="320"/>
    </row>
    <row r="1260" spans="1:39" s="321" customFormat="1" ht="14.45" customHeight="1" x14ac:dyDescent="0.25">
      <c r="A1260" s="323" t="s">
        <v>6188</v>
      </c>
      <c r="B1260" s="323"/>
      <c r="C1260" s="323"/>
      <c r="D1260" s="317"/>
      <c r="E1260" s="302"/>
      <c r="F1260" s="303"/>
      <c r="G1260" s="318"/>
      <c r="H1260" s="314"/>
      <c r="I1260" s="303"/>
      <c r="J1260" s="314"/>
      <c r="K1260" s="305"/>
      <c r="L1260" s="306"/>
      <c r="M1260" s="307"/>
      <c r="N1260" s="307"/>
      <c r="O1260" s="308"/>
      <c r="P1260" s="306"/>
      <c r="Q1260" s="307"/>
      <c r="R1260" s="309"/>
      <c r="S1260" s="304"/>
      <c r="T1260" s="304"/>
      <c r="U1260" s="304"/>
      <c r="V1260" s="304"/>
      <c r="W1260" s="305"/>
      <c r="X1260" s="305"/>
      <c r="Y1260" s="305"/>
      <c r="Z1260" s="310"/>
      <c r="AA1260" s="310"/>
      <c r="AB1260" s="311"/>
      <c r="AC1260" s="310"/>
      <c r="AD1260" s="303"/>
      <c r="AE1260" s="316"/>
      <c r="AF1260" s="319"/>
      <c r="AG1260" s="314"/>
      <c r="AH1260" s="312"/>
      <c r="AI1260" s="303"/>
      <c r="AJ1260" s="303"/>
      <c r="AK1260" s="312"/>
      <c r="AL1260" s="313"/>
      <c r="AM1260" s="320"/>
    </row>
    <row r="1261" spans="1:39" s="321" customFormat="1" ht="14.45" customHeight="1" x14ac:dyDescent="0.25">
      <c r="A1261" s="314"/>
      <c r="B1261" s="315"/>
      <c r="C1261" s="19" t="s">
        <v>38</v>
      </c>
      <c r="D1261" s="20" t="s">
        <v>39</v>
      </c>
      <c r="E1261" s="23" t="s">
        <v>42</v>
      </c>
      <c r="F1261" s="22" t="s">
        <v>43</v>
      </c>
      <c r="G1261" s="23" t="s">
        <v>42</v>
      </c>
      <c r="H1261" s="22" t="s">
        <v>43</v>
      </c>
      <c r="I1261" s="34" t="s">
        <v>52</v>
      </c>
      <c r="J1261" s="22" t="s">
        <v>45</v>
      </c>
      <c r="K1261" s="305"/>
      <c r="L1261" s="306"/>
      <c r="M1261" s="307"/>
      <c r="N1261" s="307"/>
      <c r="O1261" s="308"/>
      <c r="P1261" s="306"/>
      <c r="Q1261" s="307"/>
      <c r="R1261" s="309"/>
      <c r="S1261" s="304"/>
      <c r="T1261" s="304"/>
      <c r="U1261" s="304"/>
      <c r="V1261" s="304"/>
      <c r="W1261" s="305"/>
      <c r="X1261" s="305"/>
      <c r="Y1261" s="305"/>
      <c r="Z1261" s="310"/>
      <c r="AA1261" s="310"/>
      <c r="AB1261" s="311"/>
      <c r="AC1261" s="310"/>
      <c r="AD1261" s="303"/>
      <c r="AE1261" s="33" t="s">
        <v>5679</v>
      </c>
      <c r="AF1261" s="34" t="s">
        <v>52</v>
      </c>
      <c r="AG1261" s="35" t="s">
        <v>53</v>
      </c>
      <c r="AH1261" s="312"/>
      <c r="AI1261" s="303"/>
      <c r="AJ1261" s="303"/>
      <c r="AK1261" s="312"/>
      <c r="AL1261" s="313"/>
      <c r="AM1261" s="320"/>
    </row>
    <row r="1262" spans="1:39" s="321" customFormat="1" ht="14.45" customHeight="1" x14ac:dyDescent="0.25">
      <c r="A1262" s="314"/>
      <c r="B1262" s="315"/>
      <c r="C1262" s="19" t="s">
        <v>54</v>
      </c>
      <c r="D1262" s="20" t="s">
        <v>55</v>
      </c>
      <c r="E1262" s="23" t="s">
        <v>42</v>
      </c>
      <c r="F1262" s="22" t="s">
        <v>43</v>
      </c>
      <c r="G1262" s="23" t="s">
        <v>42</v>
      </c>
      <c r="H1262" s="22" t="s">
        <v>43</v>
      </c>
      <c r="I1262" s="34" t="s">
        <v>63</v>
      </c>
      <c r="J1262" s="22" t="s">
        <v>45</v>
      </c>
      <c r="K1262" s="305"/>
      <c r="L1262" s="306"/>
      <c r="M1262" s="307"/>
      <c r="N1262" s="307"/>
      <c r="O1262" s="308"/>
      <c r="P1262" s="306"/>
      <c r="Q1262" s="307"/>
      <c r="R1262" s="309"/>
      <c r="S1262" s="304"/>
      <c r="T1262" s="304"/>
      <c r="U1262" s="304"/>
      <c r="V1262" s="304"/>
      <c r="W1262" s="305"/>
      <c r="X1262" s="305"/>
      <c r="Y1262" s="305"/>
      <c r="Z1262" s="310"/>
      <c r="AA1262" s="310"/>
      <c r="AB1262" s="311"/>
      <c r="AC1262" s="310"/>
      <c r="AD1262" s="303"/>
      <c r="AE1262" s="33" t="s">
        <v>62</v>
      </c>
      <c r="AF1262" s="34" t="s">
        <v>63</v>
      </c>
      <c r="AG1262" s="35" t="s">
        <v>53</v>
      </c>
      <c r="AH1262" s="312"/>
      <c r="AI1262" s="303"/>
      <c r="AJ1262" s="303"/>
      <c r="AK1262" s="312"/>
      <c r="AL1262" s="313"/>
      <c r="AM1262" s="320"/>
    </row>
    <row r="1263" spans="1:39" s="321" customFormat="1" ht="14.45" customHeight="1" x14ac:dyDescent="0.25">
      <c r="A1263" s="314"/>
      <c r="B1263" s="315"/>
      <c r="C1263" s="19" t="s">
        <v>64</v>
      </c>
      <c r="D1263" s="20" t="s">
        <v>65</v>
      </c>
      <c r="E1263" s="33" t="s">
        <v>5680</v>
      </c>
      <c r="F1263" s="35" t="s">
        <v>3872</v>
      </c>
      <c r="G1263" s="33" t="s">
        <v>3872</v>
      </c>
      <c r="H1263" s="35" t="s">
        <v>3872</v>
      </c>
      <c r="I1263" s="41"/>
      <c r="J1263" s="35" t="s">
        <v>68</v>
      </c>
      <c r="K1263" s="305"/>
      <c r="L1263" s="306"/>
      <c r="M1263" s="307"/>
      <c r="N1263" s="307"/>
      <c r="O1263" s="308"/>
      <c r="P1263" s="306"/>
      <c r="Q1263" s="307"/>
      <c r="R1263" s="309"/>
      <c r="S1263" s="304"/>
      <c r="T1263" s="304"/>
      <c r="U1263" s="304"/>
      <c r="V1263" s="304"/>
      <c r="W1263" s="305"/>
      <c r="X1263" s="305"/>
      <c r="Y1263" s="305"/>
      <c r="Z1263" s="310"/>
      <c r="AA1263" s="310"/>
      <c r="AB1263" s="311"/>
      <c r="AC1263" s="310"/>
      <c r="AD1263" s="303"/>
      <c r="AE1263" s="40" t="s">
        <v>68</v>
      </c>
      <c r="AF1263" s="41"/>
      <c r="AG1263" s="35" t="s">
        <v>53</v>
      </c>
      <c r="AH1263" s="312"/>
      <c r="AI1263" s="303"/>
      <c r="AJ1263" s="303"/>
      <c r="AK1263" s="312"/>
      <c r="AL1263" s="313"/>
      <c r="AM1263" s="320"/>
    </row>
    <row r="1264" spans="1:39" ht="14.45" customHeight="1" x14ac:dyDescent="0.25">
      <c r="C1264" s="19" t="s">
        <v>72</v>
      </c>
      <c r="D1264" s="20" t="s">
        <v>73</v>
      </c>
      <c r="E1264" s="33" t="s">
        <v>42</v>
      </c>
      <c r="F1264" s="22" t="s">
        <v>43</v>
      </c>
      <c r="G1264" s="33" t="s">
        <v>42</v>
      </c>
      <c r="H1264" s="22" t="s">
        <v>43</v>
      </c>
      <c r="I1264" s="44" t="s">
        <v>79</v>
      </c>
      <c r="J1264" s="22" t="s">
        <v>74</v>
      </c>
      <c r="L1264" s="149"/>
      <c r="M1264" s="145"/>
      <c r="N1264" s="145"/>
      <c r="O1264" s="146"/>
      <c r="P1264" s="150"/>
      <c r="Q1264" s="147"/>
      <c r="R1264" s="145"/>
      <c r="S1264" s="15"/>
      <c r="T1264" s="15"/>
      <c r="U1264" s="15"/>
      <c r="V1264" s="15"/>
      <c r="W1264" s="10"/>
      <c r="X1264" s="10"/>
      <c r="Y1264" s="10"/>
      <c r="AB1264" s="48"/>
      <c r="AC1264" s="48"/>
      <c r="AD1264" s="6"/>
      <c r="AE1264" s="34" t="s">
        <v>78</v>
      </c>
      <c r="AF1264" s="44" t="s">
        <v>79</v>
      </c>
      <c r="AG1264" s="35" t="s">
        <v>53</v>
      </c>
    </row>
    <row r="1265" spans="1:39" ht="14.45" customHeight="1" x14ac:dyDescent="0.2">
      <c r="C1265" s="264" t="s">
        <v>5511</v>
      </c>
      <c r="D1265" s="45"/>
      <c r="J1265" s="264" t="s">
        <v>5529</v>
      </c>
      <c r="L1265" s="149"/>
      <c r="M1265" s="145"/>
      <c r="N1265" s="145"/>
      <c r="O1265" s="146"/>
      <c r="P1265" s="150"/>
      <c r="Q1265" s="147"/>
      <c r="R1265" s="145"/>
      <c r="S1265" s="15"/>
      <c r="T1265" s="15"/>
      <c r="U1265" s="15"/>
      <c r="V1265" s="15"/>
      <c r="W1265" s="10"/>
      <c r="X1265" s="10"/>
      <c r="Y1265" s="10"/>
      <c r="AB1265" s="48"/>
      <c r="AC1265" s="48"/>
      <c r="AD1265" s="6"/>
    </row>
    <row r="1266" spans="1:39" ht="14.45" customHeight="1" x14ac:dyDescent="0.25">
      <c r="A1266" s="6" t="s">
        <v>6187</v>
      </c>
      <c r="C1266" s="300" t="s">
        <v>5483</v>
      </c>
      <c r="D1266" s="301" t="s">
        <v>5484</v>
      </c>
      <c r="E1266" s="259" t="s">
        <v>5485</v>
      </c>
      <c r="F1266" s="259" t="s">
        <v>40</v>
      </c>
      <c r="G1266" s="289" t="s">
        <v>6189</v>
      </c>
      <c r="H1266" s="301" t="s">
        <v>3872</v>
      </c>
      <c r="I1266" s="258"/>
      <c r="J1266" s="300" t="s">
        <v>5487</v>
      </c>
      <c r="K1266" s="258" t="s">
        <v>5488</v>
      </c>
      <c r="L1266" s="258"/>
      <c r="M1266" s="145"/>
      <c r="N1266" s="145"/>
      <c r="O1266" s="146"/>
      <c r="P1266" s="150"/>
      <c r="Q1266" s="147"/>
      <c r="R1266" s="145"/>
      <c r="S1266" s="15"/>
      <c r="T1266" s="15"/>
      <c r="U1266" s="15"/>
      <c r="V1266" s="15"/>
      <c r="W1266" s="10"/>
      <c r="X1266" s="10"/>
      <c r="Y1266" s="10"/>
      <c r="AB1266" s="48"/>
      <c r="AC1266" s="48"/>
      <c r="AD1266" s="6"/>
    </row>
    <row r="1267" spans="1:39" ht="14.45" customHeight="1" x14ac:dyDescent="0.25">
      <c r="C1267" s="300" t="s">
        <v>5495</v>
      </c>
      <c r="D1267" s="301" t="s">
        <v>5496</v>
      </c>
      <c r="E1267" s="261" t="s">
        <v>5491</v>
      </c>
      <c r="F1267" s="259" t="s">
        <v>40</v>
      </c>
      <c r="G1267" s="289" t="s">
        <v>6189</v>
      </c>
      <c r="H1267" s="301" t="s">
        <v>3872</v>
      </c>
      <c r="I1267" s="258"/>
      <c r="J1267" s="300" t="s">
        <v>5493</v>
      </c>
      <c r="K1267" s="260">
        <v>45657</v>
      </c>
      <c r="L1267" s="258" t="s">
        <v>5494</v>
      </c>
      <c r="M1267" s="145"/>
      <c r="N1267" s="145"/>
      <c r="O1267" s="146"/>
      <c r="P1267" s="150"/>
      <c r="Q1267" s="147"/>
      <c r="R1267" s="145"/>
      <c r="S1267" s="15"/>
      <c r="T1267" s="15"/>
      <c r="U1267" s="15"/>
      <c r="V1267" s="15"/>
      <c r="W1267" s="10"/>
      <c r="X1267" s="10"/>
      <c r="Y1267" s="10"/>
      <c r="AB1267" s="48"/>
      <c r="AC1267" s="210" t="s">
        <v>5407</v>
      </c>
      <c r="AD1267" s="6"/>
    </row>
    <row r="1268" spans="1:39" ht="22.5" customHeight="1" x14ac:dyDescent="0.25">
      <c r="A1268" s="10" t="s">
        <v>5500</v>
      </c>
      <c r="B1268" s="6"/>
      <c r="C1268" s="300" t="s">
        <v>5504</v>
      </c>
      <c r="D1268" s="301" t="s">
        <v>5505</v>
      </c>
      <c r="E1268" s="265"/>
      <c r="F1268" s="265"/>
      <c r="G1268" s="289" t="s">
        <v>6189</v>
      </c>
      <c r="H1268" s="301" t="s">
        <v>3872</v>
      </c>
      <c r="I1268" s="266"/>
      <c r="J1268" s="300" t="s">
        <v>693</v>
      </c>
      <c r="K1268" s="8"/>
      <c r="L1268" s="8"/>
      <c r="P1268" s="11"/>
      <c r="Q1268" s="211"/>
      <c r="R1268" s="8"/>
      <c r="U1268" s="212"/>
      <c r="V1268" s="213"/>
      <c r="Z1268" s="6"/>
      <c r="AA1268" s="8"/>
      <c r="AB1268" s="5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</row>
    <row r="1269" spans="1:39" ht="14.45" customHeight="1" x14ac:dyDescent="0.25">
      <c r="A1269" s="214"/>
      <c r="B1269" s="214"/>
      <c r="C1269" s="300" t="s">
        <v>5511</v>
      </c>
      <c r="D1269" s="301" t="s">
        <v>5512</v>
      </c>
      <c r="E1269" s="265"/>
      <c r="F1269" s="265"/>
      <c r="G1269" s="289" t="s">
        <v>6189</v>
      </c>
      <c r="H1269" s="301" t="s">
        <v>3872</v>
      </c>
      <c r="I1269" s="266"/>
      <c r="J1269" s="300" t="s">
        <v>942</v>
      </c>
      <c r="K1269" s="8"/>
      <c r="L1269" s="8"/>
      <c r="P1269" s="11"/>
      <c r="Q1269" s="215"/>
      <c r="R1269" s="8"/>
      <c r="U1269" s="216"/>
      <c r="V1269" s="217"/>
      <c r="Z1269" s="6"/>
      <c r="AA1269" s="8"/>
      <c r="AB1269" s="5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</row>
    <row r="1270" spans="1:39" ht="14.45" customHeight="1" x14ac:dyDescent="0.25">
      <c r="A1270" s="214"/>
      <c r="B1270" s="214"/>
      <c r="C1270" s="300" t="s">
        <v>5519</v>
      </c>
      <c r="D1270" s="301" t="s">
        <v>5520</v>
      </c>
      <c r="E1270" s="265"/>
      <c r="F1270" s="265"/>
      <c r="G1270" s="289" t="s">
        <v>6189</v>
      </c>
      <c r="H1270" s="301" t="s">
        <v>3872</v>
      </c>
      <c r="I1270" s="266"/>
      <c r="J1270" s="300" t="s">
        <v>5522</v>
      </c>
      <c r="K1270" s="8"/>
      <c r="L1270" s="8"/>
      <c r="P1270" s="11"/>
      <c r="Q1270" s="211"/>
      <c r="R1270" s="8"/>
      <c r="U1270" s="212"/>
      <c r="V1270" s="213"/>
      <c r="Z1270" s="6"/>
      <c r="AA1270" s="8"/>
      <c r="AB1270" s="5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</row>
    <row r="1271" spans="1:39" ht="14.45" customHeight="1" x14ac:dyDescent="0.25">
      <c r="A1271" s="214"/>
      <c r="B1271" s="214"/>
      <c r="C1271" s="300" t="s">
        <v>5523</v>
      </c>
      <c r="D1271" s="301" t="s">
        <v>5524</v>
      </c>
      <c r="E1271" s="265"/>
      <c r="F1271" s="265"/>
      <c r="G1271" s="289" t="s">
        <v>6189</v>
      </c>
      <c r="H1271" s="301" t="s">
        <v>3872</v>
      </c>
      <c r="I1271" s="266"/>
      <c r="J1271" s="300" t="s">
        <v>5527</v>
      </c>
      <c r="K1271" s="8"/>
      <c r="L1271" s="8"/>
      <c r="P1271" s="11"/>
      <c r="Q1271" s="11"/>
      <c r="R1271" s="11"/>
      <c r="S1271" s="218" t="s">
        <v>124</v>
      </c>
      <c r="V1271" s="12"/>
      <c r="Z1271" s="6"/>
      <c r="AA1271" s="8"/>
      <c r="AB1271" s="5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</row>
    <row r="1272" spans="1:39" ht="14.45" customHeight="1" x14ac:dyDescent="0.25">
      <c r="A1272" s="214"/>
      <c r="B1272" s="214"/>
      <c r="C1272" s="300" t="s">
        <v>6184</v>
      </c>
      <c r="D1272" s="301" t="s">
        <v>6185</v>
      </c>
      <c r="E1272" s="265"/>
      <c r="F1272" s="265"/>
      <c r="G1272" s="289" t="s">
        <v>6189</v>
      </c>
      <c r="H1272" s="301" t="s">
        <v>3872</v>
      </c>
      <c r="I1272" s="266"/>
      <c r="J1272" s="300" t="s">
        <v>814</v>
      </c>
      <c r="K1272" s="8"/>
      <c r="L1272" s="8"/>
      <c r="P1272" s="11"/>
      <c r="Q1272" s="11"/>
      <c r="R1272" s="11"/>
      <c r="S1272" s="218"/>
      <c r="V1272" s="12"/>
      <c r="Z1272" s="6"/>
      <c r="AA1272" s="8"/>
      <c r="AB1272" s="5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</row>
    <row r="1273" spans="1:39" ht="14.45" customHeight="1" x14ac:dyDescent="0.25">
      <c r="A1273" s="214"/>
      <c r="B1273" s="214"/>
      <c r="C1273" s="300" t="s">
        <v>815</v>
      </c>
      <c r="D1273" s="301" t="s">
        <v>6186</v>
      </c>
      <c r="E1273" s="265"/>
      <c r="F1273" s="265"/>
      <c r="G1273" s="289" t="s">
        <v>6189</v>
      </c>
      <c r="H1273" s="301" t="s">
        <v>3872</v>
      </c>
      <c r="I1273" s="266"/>
      <c r="J1273" s="300" t="s">
        <v>814</v>
      </c>
      <c r="K1273" s="8"/>
      <c r="L1273" s="8"/>
      <c r="P1273" s="11"/>
      <c r="Q1273" s="11"/>
      <c r="R1273" s="11"/>
      <c r="S1273" s="218"/>
      <c r="V1273" s="12"/>
      <c r="Z1273" s="6"/>
      <c r="AA1273" s="8"/>
      <c r="AB1273" s="5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</row>
    <row r="1274" spans="1:39" ht="14.45" customHeight="1" x14ac:dyDescent="0.25">
      <c r="A1274" s="214"/>
      <c r="B1274" s="214"/>
      <c r="C1274" s="297"/>
      <c r="D1274" s="298"/>
      <c r="E1274" s="265"/>
      <c r="F1274" s="265"/>
      <c r="G1274" s="289"/>
      <c r="H1274" s="299"/>
      <c r="I1274" s="266"/>
      <c r="J1274" s="297"/>
      <c r="K1274" s="8"/>
      <c r="L1274" s="8"/>
      <c r="P1274" s="11"/>
      <c r="Q1274" s="11"/>
      <c r="R1274" s="11"/>
      <c r="S1274" s="218"/>
      <c r="V1274" s="12"/>
      <c r="Z1274" s="6"/>
      <c r="AA1274" s="8"/>
      <c r="AB1274" s="5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</row>
    <row r="1275" spans="1:39" ht="14.45" customHeight="1" x14ac:dyDescent="0.25">
      <c r="A1275" s="214"/>
      <c r="B1275" s="214"/>
      <c r="C1275" s="214"/>
      <c r="D1275" s="214"/>
      <c r="E1275" s="214"/>
      <c r="F1275" s="214"/>
      <c r="G1275" s="214"/>
      <c r="H1275" s="214"/>
      <c r="I1275" s="8"/>
      <c r="J1275" s="8"/>
      <c r="K1275" s="8"/>
      <c r="L1275" s="8"/>
      <c r="P1275" s="11"/>
      <c r="Q1275" s="11"/>
      <c r="R1275" s="11"/>
      <c r="S1275" s="210" t="s">
        <v>5408</v>
      </c>
      <c r="V1275" s="12"/>
      <c r="Z1275" s="6"/>
      <c r="AA1275" s="8"/>
      <c r="AB1275" s="5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</row>
    <row r="1276" spans="1:39" ht="14.45" customHeight="1" x14ac:dyDescent="0.25">
      <c r="A1276" s="214" t="s">
        <v>5530</v>
      </c>
      <c r="B1276" s="214"/>
      <c r="C1276" s="214"/>
      <c r="D1276" s="214"/>
      <c r="E1276" s="214"/>
      <c r="F1276" s="214"/>
      <c r="G1276" s="214"/>
      <c r="H1276" s="214"/>
      <c r="I1276" s="8"/>
      <c r="J1276" s="8"/>
      <c r="K1276" s="8"/>
      <c r="L1276" s="8"/>
      <c r="P1276" s="11"/>
      <c r="Q1276" s="11"/>
      <c r="R1276" s="11"/>
      <c r="V1276" s="12"/>
      <c r="Z1276" s="6"/>
      <c r="AA1276" s="8"/>
      <c r="AB1276" s="5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</row>
    <row r="1277" spans="1:39" ht="14.45" customHeight="1" x14ac:dyDescent="0.25">
      <c r="A1277" s="214"/>
      <c r="B1277" s="214"/>
      <c r="C1277" s="267" t="s">
        <v>5531</v>
      </c>
      <c r="D1277" s="288" t="s">
        <v>3872</v>
      </c>
      <c r="E1277" s="214"/>
      <c r="F1277" s="214"/>
      <c r="G1277" s="289" t="s">
        <v>6189</v>
      </c>
      <c r="H1277" s="288" t="s">
        <v>3872</v>
      </c>
      <c r="I1277" s="288" t="s">
        <v>3872</v>
      </c>
      <c r="J1277" s="8" t="s">
        <v>5632</v>
      </c>
      <c r="K1277" s="8"/>
      <c r="L1277" s="8"/>
      <c r="P1277" s="11"/>
      <c r="Q1277" s="11"/>
      <c r="R1277" s="11"/>
      <c r="V1277" s="12"/>
      <c r="Z1277" s="6"/>
      <c r="AA1277" s="8"/>
      <c r="AB1277" s="5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</row>
    <row r="1278" spans="1:39" ht="14.45" customHeight="1" x14ac:dyDescent="0.25">
      <c r="A1278" s="214"/>
      <c r="B1278" s="214"/>
      <c r="C1278" s="267" t="s">
        <v>5532</v>
      </c>
      <c r="D1278" s="288" t="s">
        <v>3872</v>
      </c>
      <c r="E1278" s="214"/>
      <c r="F1278" s="214"/>
      <c r="G1278" s="289" t="s">
        <v>6189</v>
      </c>
      <c r="H1278" s="288" t="s">
        <v>3872</v>
      </c>
      <c r="I1278" s="8"/>
      <c r="J1278" s="267" t="s">
        <v>5634</v>
      </c>
      <c r="K1278" s="8"/>
      <c r="L1278" s="8"/>
      <c r="P1278" s="11"/>
      <c r="Q1278" s="11"/>
      <c r="R1278" s="8"/>
      <c r="V1278" s="12"/>
      <c r="Z1278" s="6"/>
      <c r="AA1278" s="14"/>
      <c r="AB1278" s="5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</row>
    <row r="1279" spans="1:39" ht="14.45" customHeight="1" x14ac:dyDescent="0.25">
      <c r="A1279" s="214"/>
      <c r="B1279" s="214"/>
      <c r="C1279" s="267" t="s">
        <v>5533</v>
      </c>
      <c r="D1279" s="288" t="s">
        <v>3872</v>
      </c>
      <c r="E1279" s="214"/>
      <c r="F1279" s="214"/>
      <c r="G1279" s="289" t="s">
        <v>6189</v>
      </c>
      <c r="H1279" s="288" t="s">
        <v>3872</v>
      </c>
      <c r="I1279" s="8"/>
      <c r="J1279" s="267" t="s">
        <v>5634</v>
      </c>
      <c r="K1279" s="8"/>
      <c r="L1279" s="8"/>
      <c r="P1279" s="11"/>
      <c r="Q1279" s="11"/>
      <c r="R1279" s="8"/>
      <c r="V1279" s="12"/>
      <c r="Z1279" s="6"/>
      <c r="AA1279" s="14"/>
      <c r="AB1279" s="5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</row>
    <row r="1280" spans="1:39" ht="14.45" customHeight="1" x14ac:dyDescent="0.25">
      <c r="A1280" s="219"/>
      <c r="B1280" s="214"/>
      <c r="C1280" s="268" t="s">
        <v>5534</v>
      </c>
      <c r="D1280" s="288" t="s">
        <v>3872</v>
      </c>
      <c r="E1280" s="214"/>
      <c r="F1280" s="214"/>
      <c r="G1280" s="289" t="s">
        <v>6189</v>
      </c>
      <c r="H1280" s="288" t="s">
        <v>3872</v>
      </c>
      <c r="I1280" s="14"/>
      <c r="J1280" s="267" t="s">
        <v>5634</v>
      </c>
      <c r="K1280" s="14"/>
      <c r="L1280" s="14"/>
      <c r="M1280" s="220"/>
      <c r="N1280" s="220"/>
      <c r="O1280" s="220"/>
      <c r="P1280" s="221"/>
      <c r="Q1280" s="14"/>
      <c r="R1280" s="14"/>
      <c r="S1280" s="14"/>
      <c r="T1280" s="14"/>
      <c r="U1280" s="14"/>
      <c r="V1280" s="222"/>
      <c r="W1280" s="220"/>
      <c r="X1280" s="220"/>
      <c r="Y1280" s="220"/>
      <c r="Z1280" s="220"/>
      <c r="AA1280" s="14"/>
      <c r="AB1280" s="5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</row>
    <row r="1281" spans="1:39" ht="14.45" customHeight="1" x14ac:dyDescent="0.25">
      <c r="A1281" s="219"/>
      <c r="B1281" s="214"/>
      <c r="C1281" s="267" t="s">
        <v>5535</v>
      </c>
      <c r="D1281" s="288" t="s">
        <v>3872</v>
      </c>
      <c r="E1281" s="214"/>
      <c r="F1281" s="214"/>
      <c r="G1281" s="289" t="s">
        <v>6189</v>
      </c>
      <c r="H1281" s="288" t="s">
        <v>3872</v>
      </c>
      <c r="I1281" s="14"/>
      <c r="J1281" s="267" t="s">
        <v>5634</v>
      </c>
      <c r="K1281" s="14"/>
      <c r="L1281" s="14"/>
      <c r="M1281" s="220"/>
      <c r="N1281" s="220"/>
      <c r="O1281" s="220"/>
      <c r="P1281" s="221"/>
      <c r="Q1281" s="14"/>
      <c r="R1281" s="14"/>
      <c r="S1281" s="14"/>
      <c r="T1281" s="14"/>
      <c r="U1281" s="14"/>
      <c r="V1281" s="222"/>
      <c r="W1281" s="220"/>
      <c r="X1281" s="220"/>
      <c r="Y1281" s="220"/>
      <c r="Z1281" s="220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</row>
    <row r="1282" spans="1:39" ht="14.45" customHeight="1" x14ac:dyDescent="0.25">
      <c r="A1282" s="219"/>
      <c r="B1282" s="214"/>
      <c r="C1282" s="268" t="s">
        <v>5536</v>
      </c>
      <c r="D1282" s="288" t="s">
        <v>3872</v>
      </c>
      <c r="E1282" s="214"/>
      <c r="F1282" s="214"/>
      <c r="G1282" s="289" t="s">
        <v>6189</v>
      </c>
      <c r="H1282" s="288" t="s">
        <v>3872</v>
      </c>
      <c r="I1282" s="14"/>
      <c r="J1282" s="267" t="s">
        <v>5634</v>
      </c>
      <c r="K1282" s="14"/>
      <c r="L1282" s="14"/>
      <c r="M1282" s="220"/>
      <c r="N1282" s="220"/>
      <c r="O1282" s="220"/>
      <c r="P1282" s="221"/>
      <c r="Q1282" s="14"/>
      <c r="R1282" s="14"/>
      <c r="S1282" s="14"/>
      <c r="T1282" s="14"/>
      <c r="U1282" s="14"/>
      <c r="V1282" s="222"/>
      <c r="W1282" s="220"/>
      <c r="X1282" s="220"/>
      <c r="Y1282" s="220"/>
      <c r="Z1282" s="220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</row>
    <row r="1283" spans="1:39" ht="14.45" customHeight="1" x14ac:dyDescent="0.25">
      <c r="A1283" s="219"/>
      <c r="B1283" s="214"/>
      <c r="C1283" s="267" t="s">
        <v>5537</v>
      </c>
      <c r="D1283" s="288" t="s">
        <v>3872</v>
      </c>
      <c r="E1283" s="214"/>
      <c r="F1283" s="214"/>
      <c r="G1283" s="289" t="s">
        <v>6189</v>
      </c>
      <c r="H1283" s="288" t="s">
        <v>3872</v>
      </c>
      <c r="I1283" s="14"/>
      <c r="J1283" s="267" t="s">
        <v>5634</v>
      </c>
      <c r="K1283" s="14"/>
      <c r="L1283" s="14"/>
      <c r="M1283" s="220"/>
      <c r="N1283" s="220"/>
      <c r="O1283" s="220"/>
      <c r="P1283" s="221"/>
      <c r="Q1283" s="14"/>
      <c r="R1283" s="14"/>
      <c r="S1283" s="14"/>
      <c r="T1283" s="14"/>
      <c r="U1283" s="14"/>
      <c r="V1283" s="222"/>
      <c r="W1283" s="220"/>
      <c r="X1283" s="220"/>
      <c r="Y1283" s="220"/>
      <c r="Z1283" s="220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</row>
    <row r="1284" spans="1:39" ht="14.45" customHeight="1" x14ac:dyDescent="0.25">
      <c r="A1284" s="219"/>
      <c r="B1284" s="214"/>
      <c r="C1284" s="267" t="s">
        <v>5538</v>
      </c>
      <c r="D1284" s="288" t="s">
        <v>3872</v>
      </c>
      <c r="E1284" s="214"/>
      <c r="F1284" s="214"/>
      <c r="G1284" s="289" t="s">
        <v>6189</v>
      </c>
      <c r="H1284" s="288" t="s">
        <v>3872</v>
      </c>
      <c r="I1284" s="14"/>
      <c r="J1284" s="267" t="s">
        <v>5634</v>
      </c>
      <c r="K1284" s="14"/>
      <c r="L1284" s="14"/>
      <c r="M1284" s="220"/>
      <c r="N1284" s="220"/>
      <c r="O1284" s="220"/>
      <c r="P1284" s="221"/>
      <c r="Q1284" s="14"/>
      <c r="R1284" s="14"/>
      <c r="S1284" s="14"/>
      <c r="T1284" s="14"/>
      <c r="U1284" s="14"/>
      <c r="V1284" s="222"/>
      <c r="W1284" s="220"/>
      <c r="X1284" s="220"/>
      <c r="Y1284" s="220"/>
      <c r="Z1284" s="220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</row>
    <row r="1285" spans="1:39" ht="14.45" customHeight="1" x14ac:dyDescent="0.25">
      <c r="A1285" s="219"/>
      <c r="B1285" s="214"/>
      <c r="C1285" s="267" t="s">
        <v>5539</v>
      </c>
      <c r="D1285" s="288" t="s">
        <v>3872</v>
      </c>
      <c r="E1285" s="214"/>
      <c r="F1285" s="214"/>
      <c r="G1285" s="289" t="s">
        <v>6189</v>
      </c>
      <c r="H1285" s="288" t="s">
        <v>3872</v>
      </c>
      <c r="I1285" s="14"/>
      <c r="J1285" s="267" t="s">
        <v>5634</v>
      </c>
      <c r="K1285" s="14"/>
      <c r="L1285" s="14"/>
      <c r="M1285" s="220"/>
      <c r="N1285" s="220"/>
      <c r="O1285" s="220"/>
      <c r="P1285" s="221"/>
      <c r="Q1285" s="14"/>
      <c r="R1285" s="14"/>
      <c r="S1285" s="14"/>
      <c r="T1285" s="14"/>
      <c r="U1285" s="14"/>
      <c r="V1285" s="222"/>
      <c r="W1285" s="220"/>
      <c r="X1285" s="220"/>
      <c r="Y1285" s="220"/>
      <c r="Z1285" s="220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</row>
    <row r="1286" spans="1:39" ht="14.45" customHeight="1" x14ac:dyDescent="0.2">
      <c r="A1286" s="219"/>
      <c r="B1286" s="214"/>
      <c r="C1286" s="269" t="s">
        <v>5540</v>
      </c>
      <c r="D1286" s="288" t="s">
        <v>3872</v>
      </c>
      <c r="E1286" s="214"/>
      <c r="F1286" s="214"/>
      <c r="G1286" s="289" t="s">
        <v>6189</v>
      </c>
      <c r="H1286" s="288" t="s">
        <v>3872</v>
      </c>
      <c r="I1286" s="14"/>
      <c r="J1286" s="267" t="s">
        <v>5634</v>
      </c>
      <c r="K1286" s="14"/>
      <c r="L1286" s="14"/>
      <c r="M1286" s="220"/>
      <c r="N1286" s="220"/>
      <c r="O1286" s="220"/>
      <c r="P1286" s="221"/>
      <c r="Q1286" s="14"/>
      <c r="R1286" s="14"/>
      <c r="S1286" s="14"/>
      <c r="T1286" s="14"/>
      <c r="U1286" s="14"/>
      <c r="V1286" s="222"/>
      <c r="W1286" s="220"/>
      <c r="X1286" s="220"/>
      <c r="Y1286" s="220"/>
      <c r="Z1286" s="220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</row>
    <row r="1287" spans="1:39" ht="14.45" customHeight="1" x14ac:dyDescent="0.25">
      <c r="A1287" s="219"/>
      <c r="B1287" s="214"/>
      <c r="C1287" s="267" t="s">
        <v>5541</v>
      </c>
      <c r="D1287" s="288" t="s">
        <v>3872</v>
      </c>
      <c r="E1287" s="214"/>
      <c r="F1287" s="214"/>
      <c r="G1287" s="289" t="s">
        <v>6189</v>
      </c>
      <c r="H1287" s="288" t="s">
        <v>3872</v>
      </c>
      <c r="I1287" s="14"/>
      <c r="J1287" s="267" t="s">
        <v>5634</v>
      </c>
      <c r="K1287" s="14"/>
      <c r="L1287" s="14"/>
      <c r="M1287" s="220"/>
      <c r="N1287" s="220"/>
      <c r="O1287" s="220"/>
      <c r="P1287" s="221"/>
      <c r="Q1287" s="14"/>
      <c r="R1287" s="14"/>
      <c r="S1287" s="14"/>
      <c r="T1287" s="14"/>
      <c r="U1287" s="14"/>
      <c r="V1287" s="222"/>
      <c r="W1287" s="220"/>
      <c r="X1287" s="220"/>
      <c r="Y1287" s="220"/>
      <c r="Z1287" s="220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</row>
    <row r="1288" spans="1:39" ht="14.45" customHeight="1" x14ac:dyDescent="0.25">
      <c r="A1288" s="219"/>
      <c r="B1288" s="214"/>
      <c r="C1288" s="267" t="s">
        <v>5542</v>
      </c>
      <c r="D1288" s="288" t="s">
        <v>3872</v>
      </c>
      <c r="E1288" s="214"/>
      <c r="F1288" s="214"/>
      <c r="G1288" s="289" t="s">
        <v>6189</v>
      </c>
      <c r="H1288" s="288" t="s">
        <v>3872</v>
      </c>
      <c r="I1288" s="14"/>
      <c r="J1288" s="267" t="s">
        <v>5635</v>
      </c>
      <c r="K1288" s="14"/>
      <c r="L1288" s="14"/>
      <c r="M1288" s="220"/>
      <c r="N1288" s="220"/>
      <c r="O1288" s="220"/>
      <c r="P1288" s="221"/>
      <c r="Q1288" s="14"/>
      <c r="R1288" s="14"/>
      <c r="S1288" s="14"/>
      <c r="T1288" s="14"/>
      <c r="U1288" s="14"/>
      <c r="V1288" s="222"/>
      <c r="W1288" s="220"/>
      <c r="X1288" s="220"/>
      <c r="Y1288" s="220"/>
      <c r="Z1288" s="220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</row>
    <row r="1289" spans="1:39" ht="14.45" customHeight="1" x14ac:dyDescent="0.25">
      <c r="A1289" s="219"/>
      <c r="B1289" s="214"/>
      <c r="C1289" s="268" t="s">
        <v>5543</v>
      </c>
      <c r="D1289" s="288" t="s">
        <v>3872</v>
      </c>
      <c r="E1289" s="214"/>
      <c r="F1289" s="214"/>
      <c r="G1289" s="289" t="s">
        <v>6189</v>
      </c>
      <c r="H1289" s="288" t="s">
        <v>3872</v>
      </c>
      <c r="I1289" s="14"/>
      <c r="J1289" s="267" t="s">
        <v>5635</v>
      </c>
      <c r="K1289" s="14"/>
      <c r="L1289" s="14"/>
      <c r="M1289" s="220"/>
      <c r="N1289" s="220"/>
      <c r="O1289" s="220"/>
      <c r="P1289" s="221"/>
      <c r="Q1289" s="14"/>
      <c r="R1289" s="14"/>
      <c r="S1289" s="14"/>
      <c r="T1289" s="14"/>
      <c r="U1289" s="14"/>
      <c r="V1289" s="222"/>
      <c r="W1289" s="220"/>
      <c r="X1289" s="220"/>
      <c r="Y1289" s="220"/>
      <c r="Z1289" s="220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</row>
    <row r="1290" spans="1:39" ht="14.45" customHeight="1" x14ac:dyDescent="0.25">
      <c r="A1290" s="219"/>
      <c r="B1290" s="214"/>
      <c r="C1290" s="268" t="s">
        <v>5544</v>
      </c>
      <c r="D1290" s="288" t="s">
        <v>3872</v>
      </c>
      <c r="E1290" s="214"/>
      <c r="F1290" s="214"/>
      <c r="G1290" s="289" t="s">
        <v>6189</v>
      </c>
      <c r="H1290" s="288" t="s">
        <v>3872</v>
      </c>
      <c r="I1290" s="14"/>
      <c r="J1290" s="267" t="s">
        <v>5635</v>
      </c>
      <c r="K1290" s="14"/>
      <c r="L1290" s="14"/>
      <c r="M1290" s="220"/>
      <c r="N1290" s="220"/>
      <c r="O1290" s="220"/>
      <c r="P1290" s="221"/>
      <c r="Q1290" s="14"/>
      <c r="R1290" s="14"/>
      <c r="S1290" s="14"/>
      <c r="T1290" s="14"/>
      <c r="U1290" s="14"/>
      <c r="V1290" s="222"/>
      <c r="W1290" s="220"/>
      <c r="X1290" s="220"/>
      <c r="Y1290" s="220"/>
      <c r="Z1290" s="220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</row>
    <row r="1291" spans="1:39" ht="14.45" customHeight="1" x14ac:dyDescent="0.25">
      <c r="A1291" s="10"/>
      <c r="B1291" s="6"/>
      <c r="C1291" s="268" t="s">
        <v>5545</v>
      </c>
      <c r="D1291" s="288" t="s">
        <v>3872</v>
      </c>
      <c r="E1291" s="214"/>
      <c r="F1291" s="214"/>
      <c r="G1291" s="289" t="s">
        <v>6189</v>
      </c>
      <c r="H1291" s="288" t="s">
        <v>3872</v>
      </c>
      <c r="I1291" s="14"/>
      <c r="J1291" s="267" t="s">
        <v>5635</v>
      </c>
      <c r="K1291" s="14"/>
      <c r="L1291" s="14"/>
      <c r="M1291" s="220"/>
      <c r="N1291" s="220"/>
      <c r="O1291" s="220"/>
      <c r="P1291" s="221"/>
      <c r="Q1291" s="14"/>
      <c r="R1291" s="14"/>
      <c r="S1291" s="14"/>
      <c r="T1291" s="14"/>
      <c r="U1291" s="14"/>
      <c r="V1291" s="222"/>
      <c r="W1291" s="220"/>
      <c r="X1291" s="220"/>
      <c r="Y1291" s="220"/>
      <c r="Z1291" s="220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</row>
    <row r="1292" spans="1:39" ht="14.45" customHeight="1" x14ac:dyDescent="0.25">
      <c r="A1292" s="10"/>
      <c r="B1292" s="6"/>
      <c r="C1292" s="268" t="s">
        <v>5546</v>
      </c>
      <c r="D1292" s="288" t="s">
        <v>3872</v>
      </c>
      <c r="E1292" s="214"/>
      <c r="F1292" s="214"/>
      <c r="G1292" s="289" t="s">
        <v>6189</v>
      </c>
      <c r="H1292" s="288" t="s">
        <v>3872</v>
      </c>
      <c r="I1292" s="14"/>
      <c r="J1292" s="267" t="s">
        <v>5636</v>
      </c>
      <c r="K1292" s="14"/>
      <c r="L1292" s="14"/>
      <c r="M1292" s="220"/>
      <c r="N1292" s="220"/>
      <c r="O1292" s="220"/>
      <c r="P1292" s="221"/>
      <c r="Q1292" s="14"/>
      <c r="R1292" s="14"/>
      <c r="S1292" s="14"/>
      <c r="T1292" s="14"/>
      <c r="U1292" s="14"/>
      <c r="V1292" s="222"/>
      <c r="W1292" s="220"/>
      <c r="X1292" s="220"/>
      <c r="Y1292" s="220"/>
      <c r="Z1292" s="220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</row>
    <row r="1293" spans="1:39" ht="14.45" customHeight="1" x14ac:dyDescent="0.25">
      <c r="A1293" s="14"/>
      <c r="C1293" s="267" t="s">
        <v>5547</v>
      </c>
      <c r="D1293" s="288" t="s">
        <v>3872</v>
      </c>
      <c r="E1293" s="214"/>
      <c r="F1293" s="214"/>
      <c r="G1293" s="289" t="s">
        <v>6189</v>
      </c>
      <c r="H1293" s="288" t="s">
        <v>3872</v>
      </c>
      <c r="J1293" s="267" t="s">
        <v>5637</v>
      </c>
      <c r="S1293" s="14"/>
      <c r="T1293" s="14"/>
      <c r="U1293" s="14"/>
      <c r="V1293" s="14"/>
      <c r="W1293" s="220"/>
      <c r="X1293" s="220"/>
      <c r="Y1293" s="220"/>
      <c r="Z1293" s="221"/>
      <c r="AA1293" s="14"/>
      <c r="AB1293" s="14"/>
      <c r="AC1293" s="14"/>
      <c r="AD1293" s="14"/>
      <c r="AE1293" s="14"/>
      <c r="AF1293" s="222"/>
      <c r="AG1293" s="220"/>
      <c r="AH1293" s="220"/>
      <c r="AI1293" s="220"/>
      <c r="AJ1293" s="220"/>
      <c r="AK1293" s="14"/>
      <c r="AL1293" s="14"/>
      <c r="AM1293" s="14"/>
    </row>
    <row r="1294" spans="1:39" ht="14.45" customHeight="1" x14ac:dyDescent="0.25">
      <c r="C1294" s="267" t="s">
        <v>5548</v>
      </c>
      <c r="D1294" s="288" t="s">
        <v>3872</v>
      </c>
      <c r="E1294" s="214"/>
      <c r="F1294" s="214"/>
      <c r="G1294" s="289" t="s">
        <v>6189</v>
      </c>
      <c r="H1294" s="288" t="s">
        <v>3872</v>
      </c>
      <c r="J1294" s="267" t="s">
        <v>5638</v>
      </c>
    </row>
    <row r="1295" spans="1:39" ht="14.45" customHeight="1" x14ac:dyDescent="0.25">
      <c r="C1295" s="268" t="s">
        <v>5549</v>
      </c>
      <c r="D1295" s="288" t="s">
        <v>3872</v>
      </c>
      <c r="E1295" s="214"/>
      <c r="F1295" s="214"/>
      <c r="G1295" s="289" t="s">
        <v>6189</v>
      </c>
      <c r="H1295" s="288" t="s">
        <v>3872</v>
      </c>
      <c r="J1295" s="267" t="s">
        <v>5639</v>
      </c>
    </row>
    <row r="1296" spans="1:39" ht="14.45" customHeight="1" x14ac:dyDescent="0.25">
      <c r="C1296" s="268" t="s">
        <v>5550</v>
      </c>
      <c r="D1296" s="288" t="s">
        <v>3872</v>
      </c>
      <c r="E1296" s="214"/>
      <c r="F1296" s="214"/>
      <c r="G1296" s="289" t="s">
        <v>6189</v>
      </c>
      <c r="H1296" s="288" t="s">
        <v>3872</v>
      </c>
      <c r="J1296" s="267" t="s">
        <v>5639</v>
      </c>
    </row>
    <row r="1297" spans="3:10" ht="14.45" customHeight="1" x14ac:dyDescent="0.25">
      <c r="C1297" s="268" t="s">
        <v>5551</v>
      </c>
      <c r="D1297" s="288" t="s">
        <v>3872</v>
      </c>
      <c r="E1297" s="214"/>
      <c r="F1297" s="214"/>
      <c r="G1297" s="289" t="s">
        <v>6189</v>
      </c>
      <c r="H1297" s="288" t="s">
        <v>3872</v>
      </c>
      <c r="J1297" s="267" t="s">
        <v>5640</v>
      </c>
    </row>
    <row r="1298" spans="3:10" ht="14.45" customHeight="1" x14ac:dyDescent="0.25">
      <c r="C1298" s="268" t="s">
        <v>5552</v>
      </c>
      <c r="D1298" s="288" t="s">
        <v>3872</v>
      </c>
      <c r="E1298" s="214"/>
      <c r="F1298" s="214"/>
      <c r="G1298" s="289" t="s">
        <v>6189</v>
      </c>
      <c r="H1298" s="288" t="s">
        <v>3872</v>
      </c>
      <c r="J1298" s="267" t="s">
        <v>5641</v>
      </c>
    </row>
    <row r="1299" spans="3:10" ht="14.45" customHeight="1" x14ac:dyDescent="0.25">
      <c r="C1299" s="268" t="s">
        <v>5553</v>
      </c>
      <c r="D1299" s="288" t="s">
        <v>3872</v>
      </c>
      <c r="E1299" s="214"/>
      <c r="F1299" s="214"/>
      <c r="G1299" s="289" t="s">
        <v>6189</v>
      </c>
      <c r="H1299" s="288" t="s">
        <v>3872</v>
      </c>
      <c r="J1299" s="267" t="s">
        <v>5641</v>
      </c>
    </row>
    <row r="1300" spans="3:10" ht="14.45" customHeight="1" x14ac:dyDescent="0.2">
      <c r="C1300" s="269" t="s">
        <v>5554</v>
      </c>
      <c r="D1300" s="288" t="s">
        <v>3872</v>
      </c>
      <c r="E1300" s="214"/>
      <c r="F1300" s="214"/>
      <c r="G1300" s="289" t="s">
        <v>6189</v>
      </c>
      <c r="H1300" s="288" t="s">
        <v>3872</v>
      </c>
      <c r="J1300" s="267" t="s">
        <v>5641</v>
      </c>
    </row>
    <row r="1301" spans="3:10" ht="14.45" customHeight="1" x14ac:dyDescent="0.25">
      <c r="C1301" s="267" t="s">
        <v>5555</v>
      </c>
      <c r="D1301" s="288" t="s">
        <v>3872</v>
      </c>
      <c r="E1301" s="214"/>
      <c r="F1301" s="214"/>
      <c r="G1301" s="289" t="s">
        <v>6189</v>
      </c>
      <c r="H1301" s="288" t="s">
        <v>3872</v>
      </c>
      <c r="J1301" s="267" t="s">
        <v>5642</v>
      </c>
    </row>
    <row r="1302" spans="3:10" ht="14.45" customHeight="1" x14ac:dyDescent="0.25">
      <c r="C1302" s="270" t="s">
        <v>5556</v>
      </c>
      <c r="D1302" s="288" t="s">
        <v>3872</v>
      </c>
      <c r="E1302" s="214"/>
      <c r="F1302" s="214"/>
      <c r="G1302" s="289" t="s">
        <v>6189</v>
      </c>
      <c r="H1302" s="288" t="s">
        <v>3872</v>
      </c>
      <c r="J1302" s="267" t="s">
        <v>5642</v>
      </c>
    </row>
    <row r="1303" spans="3:10" ht="14.45" customHeight="1" x14ac:dyDescent="0.25">
      <c r="C1303" s="268" t="s">
        <v>5557</v>
      </c>
      <c r="D1303" s="288" t="s">
        <v>3872</v>
      </c>
      <c r="E1303" s="214"/>
      <c r="F1303" s="214"/>
      <c r="G1303" s="289" t="s">
        <v>6189</v>
      </c>
      <c r="H1303" s="288" t="s">
        <v>3872</v>
      </c>
      <c r="J1303" s="267" t="s">
        <v>5642</v>
      </c>
    </row>
    <row r="1304" spans="3:10" ht="14.45" customHeight="1" x14ac:dyDescent="0.25">
      <c r="C1304" s="268" t="s">
        <v>5558</v>
      </c>
      <c r="D1304" s="288" t="s">
        <v>3872</v>
      </c>
      <c r="E1304" s="214"/>
      <c r="F1304" s="214"/>
      <c r="G1304" s="289" t="s">
        <v>6189</v>
      </c>
      <c r="H1304" s="288" t="s">
        <v>3872</v>
      </c>
      <c r="J1304" s="267" t="s">
        <v>5642</v>
      </c>
    </row>
    <row r="1305" spans="3:10" ht="14.45" customHeight="1" x14ac:dyDescent="0.2">
      <c r="C1305" s="269" t="s">
        <v>5559</v>
      </c>
      <c r="D1305" s="288" t="s">
        <v>3872</v>
      </c>
      <c r="E1305" s="214"/>
      <c r="F1305" s="214"/>
      <c r="G1305" s="289" t="s">
        <v>6189</v>
      </c>
      <c r="H1305" s="288" t="s">
        <v>3872</v>
      </c>
      <c r="J1305" s="267" t="s">
        <v>5643</v>
      </c>
    </row>
    <row r="1306" spans="3:10" ht="14.45" customHeight="1" x14ac:dyDescent="0.25">
      <c r="C1306" s="267" t="s">
        <v>5560</v>
      </c>
      <c r="D1306" s="288" t="s">
        <v>3872</v>
      </c>
      <c r="E1306" s="214"/>
      <c r="F1306" s="214"/>
      <c r="G1306" s="289" t="s">
        <v>6189</v>
      </c>
      <c r="H1306" s="288" t="s">
        <v>3872</v>
      </c>
      <c r="J1306" s="267" t="s">
        <v>5643</v>
      </c>
    </row>
    <row r="1307" spans="3:10" ht="14.45" customHeight="1" x14ac:dyDescent="0.25">
      <c r="C1307" s="267" t="s">
        <v>5561</v>
      </c>
      <c r="D1307" s="288" t="s">
        <v>3872</v>
      </c>
      <c r="E1307" s="214"/>
      <c r="F1307" s="214"/>
      <c r="G1307" s="289" t="s">
        <v>6189</v>
      </c>
      <c r="H1307" s="288" t="s">
        <v>3872</v>
      </c>
      <c r="J1307" s="267" t="s">
        <v>5644</v>
      </c>
    </row>
    <row r="1308" spans="3:10" ht="14.45" customHeight="1" x14ac:dyDescent="0.2">
      <c r="C1308" s="267" t="s">
        <v>5562</v>
      </c>
      <c r="D1308" s="288" t="s">
        <v>3872</v>
      </c>
      <c r="E1308" s="214"/>
      <c r="F1308" s="214"/>
      <c r="G1308" s="289" t="s">
        <v>6189</v>
      </c>
      <c r="H1308" s="288" t="s">
        <v>3872</v>
      </c>
      <c r="J1308" s="285" t="s">
        <v>5645</v>
      </c>
    </row>
    <row r="1309" spans="3:10" ht="14.45" customHeight="1" x14ac:dyDescent="0.25">
      <c r="C1309" s="268" t="s">
        <v>5563</v>
      </c>
      <c r="D1309" s="288" t="s">
        <v>3872</v>
      </c>
      <c r="E1309" s="214"/>
      <c r="F1309" s="214"/>
      <c r="G1309" s="289" t="s">
        <v>6189</v>
      </c>
      <c r="H1309" s="288" t="s">
        <v>3872</v>
      </c>
      <c r="J1309" s="267" t="s">
        <v>5646</v>
      </c>
    </row>
    <row r="1310" spans="3:10" ht="14.45" customHeight="1" x14ac:dyDescent="0.25">
      <c r="C1310" s="268" t="s">
        <v>5564</v>
      </c>
      <c r="D1310" s="288" t="s">
        <v>3872</v>
      </c>
      <c r="E1310" s="214"/>
      <c r="F1310" s="214"/>
      <c r="G1310" s="289" t="s">
        <v>6189</v>
      </c>
      <c r="H1310" s="288" t="s">
        <v>3872</v>
      </c>
      <c r="J1310" s="267" t="s">
        <v>5646</v>
      </c>
    </row>
    <row r="1311" spans="3:10" ht="14.45" customHeight="1" x14ac:dyDescent="0.25">
      <c r="C1311" s="268" t="s">
        <v>5565</v>
      </c>
      <c r="D1311" s="288" t="s">
        <v>3872</v>
      </c>
      <c r="E1311" s="214"/>
      <c r="F1311" s="214"/>
      <c r="G1311" s="289" t="s">
        <v>6189</v>
      </c>
      <c r="H1311" s="288" t="s">
        <v>3872</v>
      </c>
      <c r="J1311" s="267" t="s">
        <v>5646</v>
      </c>
    </row>
    <row r="1312" spans="3:10" ht="14.45" customHeight="1" x14ac:dyDescent="0.25">
      <c r="C1312" s="268" t="s">
        <v>5566</v>
      </c>
      <c r="D1312" s="288" t="s">
        <v>3872</v>
      </c>
      <c r="E1312" s="214"/>
      <c r="F1312" s="214"/>
      <c r="G1312" s="289" t="s">
        <v>6189</v>
      </c>
      <c r="H1312" s="288" t="s">
        <v>3872</v>
      </c>
      <c r="J1312" s="267" t="s">
        <v>5646</v>
      </c>
    </row>
    <row r="1313" spans="3:10" ht="14.45" customHeight="1" x14ac:dyDescent="0.25">
      <c r="C1313" s="271" t="s">
        <v>5567</v>
      </c>
      <c r="D1313" s="288" t="s">
        <v>3872</v>
      </c>
      <c r="E1313" s="214"/>
      <c r="F1313" s="214"/>
      <c r="G1313" s="289" t="s">
        <v>6189</v>
      </c>
      <c r="H1313" s="288" t="s">
        <v>3872</v>
      </c>
      <c r="J1313" s="267" t="s">
        <v>5646</v>
      </c>
    </row>
    <row r="1314" spans="3:10" ht="14.45" customHeight="1" x14ac:dyDescent="0.25">
      <c r="C1314" s="271" t="s">
        <v>5568</v>
      </c>
      <c r="D1314" s="288" t="s">
        <v>3872</v>
      </c>
      <c r="E1314" s="214"/>
      <c r="F1314" s="214"/>
      <c r="G1314" s="289" t="s">
        <v>6189</v>
      </c>
      <c r="H1314" s="288" t="s">
        <v>3872</v>
      </c>
      <c r="J1314" s="267" t="s">
        <v>5646</v>
      </c>
    </row>
    <row r="1315" spans="3:10" ht="14.45" customHeight="1" x14ac:dyDescent="0.25">
      <c r="C1315" s="267" t="s">
        <v>5569</v>
      </c>
      <c r="D1315" s="288" t="s">
        <v>3872</v>
      </c>
      <c r="E1315" s="214"/>
      <c r="F1315" s="214"/>
      <c r="G1315" s="289" t="s">
        <v>6189</v>
      </c>
      <c r="H1315" s="288" t="s">
        <v>3872</v>
      </c>
      <c r="J1315" s="267" t="s">
        <v>5647</v>
      </c>
    </row>
    <row r="1316" spans="3:10" ht="14.45" customHeight="1" x14ac:dyDescent="0.25">
      <c r="C1316" s="267" t="s">
        <v>5570</v>
      </c>
      <c r="D1316" s="288" t="s">
        <v>3872</v>
      </c>
      <c r="E1316" s="214"/>
      <c r="F1316" s="214"/>
      <c r="G1316" s="289" t="s">
        <v>6189</v>
      </c>
      <c r="H1316" s="288" t="s">
        <v>3872</v>
      </c>
      <c r="J1316" s="267" t="s">
        <v>5647</v>
      </c>
    </row>
    <row r="1317" spans="3:10" ht="14.45" customHeight="1" x14ac:dyDescent="0.25">
      <c r="C1317" s="267" t="s">
        <v>5571</v>
      </c>
      <c r="D1317" s="288" t="s">
        <v>3872</v>
      </c>
      <c r="E1317" s="214"/>
      <c r="F1317" s="214"/>
      <c r="G1317" s="289" t="s">
        <v>6189</v>
      </c>
      <c r="H1317" s="288" t="s">
        <v>3872</v>
      </c>
      <c r="J1317" s="267" t="s">
        <v>5647</v>
      </c>
    </row>
    <row r="1318" spans="3:10" ht="14.45" customHeight="1" x14ac:dyDescent="0.2">
      <c r="C1318" s="272" t="s">
        <v>5572</v>
      </c>
      <c r="D1318" s="288" t="s">
        <v>3872</v>
      </c>
      <c r="E1318" s="214"/>
      <c r="F1318" s="214"/>
      <c r="G1318" s="289" t="s">
        <v>6189</v>
      </c>
      <c r="H1318" s="288" t="s">
        <v>3872</v>
      </c>
      <c r="J1318" s="267" t="s">
        <v>5648</v>
      </c>
    </row>
    <row r="1319" spans="3:10" ht="14.45" customHeight="1" x14ac:dyDescent="0.25">
      <c r="C1319" s="267" t="s">
        <v>5573</v>
      </c>
      <c r="D1319" s="288" t="s">
        <v>3872</v>
      </c>
      <c r="E1319" s="214"/>
      <c r="F1319" s="214"/>
      <c r="G1319" s="289" t="s">
        <v>6189</v>
      </c>
      <c r="H1319" s="288" t="s">
        <v>3872</v>
      </c>
      <c r="J1319" s="267" t="s">
        <v>5648</v>
      </c>
    </row>
    <row r="1320" spans="3:10" ht="14.45" customHeight="1" x14ac:dyDescent="0.25">
      <c r="C1320" s="268" t="s">
        <v>5574</v>
      </c>
      <c r="D1320" s="288" t="s">
        <v>3872</v>
      </c>
      <c r="E1320" s="214"/>
      <c r="F1320" s="214"/>
      <c r="G1320" s="289" t="s">
        <v>6189</v>
      </c>
      <c r="H1320" s="288" t="s">
        <v>3872</v>
      </c>
      <c r="J1320" s="267" t="s">
        <v>5648</v>
      </c>
    </row>
    <row r="1321" spans="3:10" ht="14.45" customHeight="1" x14ac:dyDescent="0.25">
      <c r="C1321" s="273" t="s">
        <v>5575</v>
      </c>
      <c r="D1321" s="288" t="s">
        <v>3872</v>
      </c>
      <c r="E1321" s="214"/>
      <c r="F1321" s="214"/>
      <c r="G1321" s="289" t="s">
        <v>6189</v>
      </c>
      <c r="H1321" s="288" t="s">
        <v>3872</v>
      </c>
      <c r="J1321" s="267" t="s">
        <v>5648</v>
      </c>
    </row>
    <row r="1322" spans="3:10" ht="14.45" customHeight="1" x14ac:dyDescent="0.25">
      <c r="C1322" s="267" t="s">
        <v>5576</v>
      </c>
      <c r="D1322" s="288" t="s">
        <v>3872</v>
      </c>
      <c r="E1322" s="214"/>
      <c r="F1322" s="214"/>
      <c r="G1322" s="289" t="s">
        <v>6189</v>
      </c>
      <c r="H1322" s="288" t="s">
        <v>3872</v>
      </c>
      <c r="J1322" s="322" t="s">
        <v>5649</v>
      </c>
    </row>
    <row r="1323" spans="3:10" ht="14.45" customHeight="1" x14ac:dyDescent="0.25">
      <c r="C1323" s="267" t="s">
        <v>5577</v>
      </c>
      <c r="D1323" s="288" t="s">
        <v>3872</v>
      </c>
      <c r="E1323" s="214"/>
      <c r="F1323" s="214"/>
      <c r="G1323" s="289" t="s">
        <v>6189</v>
      </c>
      <c r="H1323" s="288" t="s">
        <v>3872</v>
      </c>
      <c r="J1323" s="322"/>
    </row>
    <row r="1324" spans="3:10" ht="14.45" customHeight="1" x14ac:dyDescent="0.2">
      <c r="C1324" s="269" t="s">
        <v>5578</v>
      </c>
      <c r="D1324" s="288" t="s">
        <v>3872</v>
      </c>
      <c r="E1324" s="214"/>
      <c r="F1324" s="214"/>
      <c r="G1324" s="289" t="s">
        <v>6189</v>
      </c>
      <c r="H1324" s="288" t="s">
        <v>3872</v>
      </c>
      <c r="J1324" s="267" t="s">
        <v>5650</v>
      </c>
    </row>
    <row r="1325" spans="3:10" ht="14.45" customHeight="1" x14ac:dyDescent="0.25">
      <c r="C1325" s="268" t="s">
        <v>5579</v>
      </c>
      <c r="D1325" s="288" t="s">
        <v>3872</v>
      </c>
      <c r="E1325" s="214"/>
      <c r="F1325" s="214"/>
      <c r="G1325" s="289" t="s">
        <v>6189</v>
      </c>
      <c r="H1325" s="288" t="s">
        <v>3872</v>
      </c>
      <c r="J1325" s="267" t="s">
        <v>5650</v>
      </c>
    </row>
    <row r="1326" spans="3:10" ht="14.45" customHeight="1" x14ac:dyDescent="0.25">
      <c r="C1326" s="268" t="s">
        <v>5580</v>
      </c>
      <c r="D1326" s="288" t="s">
        <v>3872</v>
      </c>
      <c r="E1326" s="214"/>
      <c r="F1326" s="214"/>
      <c r="G1326" s="289" t="s">
        <v>6189</v>
      </c>
      <c r="H1326" s="288" t="s">
        <v>3872</v>
      </c>
      <c r="J1326" s="267" t="s">
        <v>5650</v>
      </c>
    </row>
    <row r="1327" spans="3:10" ht="14.45" customHeight="1" x14ac:dyDescent="0.25">
      <c r="C1327" s="267" t="s">
        <v>5581</v>
      </c>
      <c r="D1327" s="288" t="s">
        <v>3872</v>
      </c>
      <c r="E1327" s="214"/>
      <c r="F1327" s="214"/>
      <c r="G1327" s="289" t="s">
        <v>6189</v>
      </c>
      <c r="H1327" s="288" t="s">
        <v>3872</v>
      </c>
      <c r="J1327" s="267" t="s">
        <v>5650</v>
      </c>
    </row>
    <row r="1328" spans="3:10" ht="14.45" customHeight="1" x14ac:dyDescent="0.25">
      <c r="C1328" s="268" t="s">
        <v>5582</v>
      </c>
      <c r="D1328" s="288" t="s">
        <v>3872</v>
      </c>
      <c r="E1328" s="214"/>
      <c r="F1328" s="214"/>
      <c r="G1328" s="289" t="s">
        <v>6189</v>
      </c>
      <c r="H1328" s="288" t="s">
        <v>3872</v>
      </c>
      <c r="J1328" s="267" t="s">
        <v>5650</v>
      </c>
    </row>
    <row r="1329" spans="3:10" ht="14.45" customHeight="1" x14ac:dyDescent="0.25">
      <c r="C1329" s="268" t="s">
        <v>5583</v>
      </c>
      <c r="D1329" s="288" t="s">
        <v>3872</v>
      </c>
      <c r="E1329" s="214"/>
      <c r="F1329" s="214"/>
      <c r="G1329" s="289" t="s">
        <v>6189</v>
      </c>
      <c r="H1329" s="288" t="s">
        <v>3872</v>
      </c>
      <c r="J1329" s="267" t="s">
        <v>5650</v>
      </c>
    </row>
    <row r="1330" spans="3:10" ht="14.45" customHeight="1" x14ac:dyDescent="0.25">
      <c r="C1330" s="268" t="s">
        <v>5584</v>
      </c>
      <c r="D1330" s="288" t="s">
        <v>3872</v>
      </c>
      <c r="E1330" s="214"/>
      <c r="F1330" s="214"/>
      <c r="G1330" s="289" t="s">
        <v>6189</v>
      </c>
      <c r="H1330" s="288" t="s">
        <v>3872</v>
      </c>
      <c r="J1330" s="267" t="s">
        <v>5650</v>
      </c>
    </row>
    <row r="1331" spans="3:10" ht="14.45" customHeight="1" x14ac:dyDescent="0.25">
      <c r="C1331" s="268" t="s">
        <v>5585</v>
      </c>
      <c r="D1331" s="288" t="s">
        <v>3872</v>
      </c>
      <c r="E1331" s="214"/>
      <c r="F1331" s="214"/>
      <c r="G1331" s="289" t="s">
        <v>6189</v>
      </c>
      <c r="H1331" s="288" t="s">
        <v>3872</v>
      </c>
      <c r="J1331" s="267" t="s">
        <v>5650</v>
      </c>
    </row>
    <row r="1332" spans="3:10" ht="14.45" customHeight="1" x14ac:dyDescent="0.25">
      <c r="C1332" s="268" t="s">
        <v>5586</v>
      </c>
      <c r="D1332" s="288" t="s">
        <v>3872</v>
      </c>
      <c r="E1332" s="214"/>
      <c r="F1332" s="214"/>
      <c r="G1332" s="289" t="s">
        <v>6189</v>
      </c>
      <c r="H1332" s="288" t="s">
        <v>3872</v>
      </c>
      <c r="J1332" s="267" t="s">
        <v>5650</v>
      </c>
    </row>
    <row r="1333" spans="3:10" ht="14.45" customHeight="1" x14ac:dyDescent="0.25">
      <c r="C1333" s="274" t="s">
        <v>5587</v>
      </c>
      <c r="D1333" s="288" t="s">
        <v>3872</v>
      </c>
      <c r="E1333" s="214"/>
      <c r="F1333" s="214"/>
      <c r="G1333" s="289" t="s">
        <v>6189</v>
      </c>
      <c r="H1333" s="288" t="s">
        <v>3872</v>
      </c>
      <c r="J1333" s="267" t="s">
        <v>5650</v>
      </c>
    </row>
    <row r="1334" spans="3:10" ht="14.45" customHeight="1" x14ac:dyDescent="0.25">
      <c r="C1334" s="268" t="s">
        <v>5588</v>
      </c>
      <c r="D1334" s="288" t="s">
        <v>3872</v>
      </c>
      <c r="E1334" s="214"/>
      <c r="F1334" s="214"/>
      <c r="G1334" s="289" t="s">
        <v>6189</v>
      </c>
      <c r="H1334" s="288" t="s">
        <v>3872</v>
      </c>
      <c r="J1334" s="267" t="s">
        <v>5650</v>
      </c>
    </row>
    <row r="1335" spans="3:10" ht="14.45" customHeight="1" x14ac:dyDescent="0.25">
      <c r="C1335" s="268" t="s">
        <v>5589</v>
      </c>
      <c r="D1335" s="288" t="s">
        <v>3872</v>
      </c>
      <c r="E1335" s="214"/>
      <c r="F1335" s="214"/>
      <c r="G1335" s="289" t="s">
        <v>6189</v>
      </c>
      <c r="H1335" s="288" t="s">
        <v>3872</v>
      </c>
      <c r="J1335" s="267" t="s">
        <v>5650</v>
      </c>
    </row>
    <row r="1336" spans="3:10" ht="14.45" customHeight="1" x14ac:dyDescent="0.25">
      <c r="C1336" s="275" t="s">
        <v>5590</v>
      </c>
      <c r="D1336" s="288" t="s">
        <v>3872</v>
      </c>
      <c r="E1336" s="214"/>
      <c r="F1336" s="214"/>
      <c r="G1336" s="289" t="s">
        <v>6189</v>
      </c>
      <c r="H1336" s="288" t="s">
        <v>3872</v>
      </c>
      <c r="J1336" s="267" t="s">
        <v>5650</v>
      </c>
    </row>
    <row r="1337" spans="3:10" ht="14.45" customHeight="1" x14ac:dyDescent="0.25">
      <c r="C1337" s="268" t="s">
        <v>5591</v>
      </c>
      <c r="D1337" s="288" t="s">
        <v>3872</v>
      </c>
      <c r="E1337" s="214"/>
      <c r="F1337" s="214"/>
      <c r="G1337" s="289" t="s">
        <v>6189</v>
      </c>
      <c r="H1337" s="288" t="s">
        <v>3872</v>
      </c>
      <c r="J1337" s="267" t="s">
        <v>5651</v>
      </c>
    </row>
    <row r="1338" spans="3:10" ht="14.45" customHeight="1" x14ac:dyDescent="0.2">
      <c r="C1338" s="276" t="s">
        <v>5592</v>
      </c>
      <c r="D1338" s="288" t="s">
        <v>3872</v>
      </c>
      <c r="E1338" s="214"/>
      <c r="F1338" s="214"/>
      <c r="G1338" s="289" t="s">
        <v>6189</v>
      </c>
      <c r="H1338" s="288" t="s">
        <v>3872</v>
      </c>
      <c r="J1338" s="267" t="s">
        <v>5652</v>
      </c>
    </row>
    <row r="1339" spans="3:10" ht="14.45" customHeight="1" x14ac:dyDescent="0.25">
      <c r="C1339" s="267" t="s">
        <v>5593</v>
      </c>
      <c r="D1339" s="288" t="s">
        <v>3872</v>
      </c>
      <c r="E1339" s="214"/>
      <c r="F1339" s="214"/>
      <c r="G1339" s="289" t="s">
        <v>6189</v>
      </c>
      <c r="H1339" s="288" t="s">
        <v>3872</v>
      </c>
      <c r="J1339" s="267" t="s">
        <v>5653</v>
      </c>
    </row>
    <row r="1340" spans="3:10" ht="14.45" customHeight="1" x14ac:dyDescent="0.25">
      <c r="C1340" s="267" t="s">
        <v>5594</v>
      </c>
      <c r="D1340" s="288" t="s">
        <v>3872</v>
      </c>
      <c r="E1340" s="214"/>
      <c r="F1340" s="214"/>
      <c r="G1340" s="289" t="s">
        <v>6189</v>
      </c>
      <c r="H1340" s="288" t="s">
        <v>3872</v>
      </c>
      <c r="J1340" s="286" t="s">
        <v>5654</v>
      </c>
    </row>
    <row r="1341" spans="3:10" ht="14.45" customHeight="1" x14ac:dyDescent="0.25">
      <c r="C1341" s="270" t="s">
        <v>5595</v>
      </c>
      <c r="D1341" s="288" t="s">
        <v>3872</v>
      </c>
      <c r="E1341" s="214"/>
      <c r="F1341" s="214"/>
      <c r="G1341" s="289" t="s">
        <v>6189</v>
      </c>
      <c r="H1341" s="288" t="s">
        <v>3872</v>
      </c>
      <c r="J1341" s="195" t="s">
        <v>5655</v>
      </c>
    </row>
    <row r="1342" spans="3:10" ht="14.45" customHeight="1" x14ac:dyDescent="0.25">
      <c r="C1342" s="267" t="s">
        <v>5596</v>
      </c>
      <c r="D1342" s="288" t="s">
        <v>3872</v>
      </c>
      <c r="E1342" s="214"/>
      <c r="F1342" s="214"/>
      <c r="G1342" s="289" t="s">
        <v>6189</v>
      </c>
      <c r="H1342" s="288" t="s">
        <v>3872</v>
      </c>
      <c r="J1342" s="195" t="s">
        <v>5656</v>
      </c>
    </row>
    <row r="1343" spans="3:10" ht="14.45" customHeight="1" x14ac:dyDescent="0.2">
      <c r="C1343" s="269" t="s">
        <v>5597</v>
      </c>
      <c r="D1343" s="288" t="s">
        <v>3872</v>
      </c>
      <c r="E1343" s="214"/>
      <c r="F1343" s="214"/>
      <c r="G1343" s="289" t="s">
        <v>6189</v>
      </c>
      <c r="H1343" s="288" t="s">
        <v>3872</v>
      </c>
      <c r="J1343" s="267" t="s">
        <v>5657</v>
      </c>
    </row>
    <row r="1344" spans="3:10" ht="14.45" customHeight="1" x14ac:dyDescent="0.2">
      <c r="C1344" s="276" t="s">
        <v>5598</v>
      </c>
      <c r="D1344" s="288" t="s">
        <v>3872</v>
      </c>
      <c r="E1344" s="214"/>
      <c r="F1344" s="214"/>
      <c r="G1344" s="289" t="s">
        <v>6189</v>
      </c>
      <c r="H1344" s="288" t="s">
        <v>3872</v>
      </c>
      <c r="J1344" s="267" t="s">
        <v>5657</v>
      </c>
    </row>
    <row r="1345" spans="3:10" ht="14.45" customHeight="1" x14ac:dyDescent="0.25">
      <c r="C1345" s="268" t="s">
        <v>5599</v>
      </c>
      <c r="D1345" s="288" t="s">
        <v>3872</v>
      </c>
      <c r="E1345" s="214"/>
      <c r="F1345" s="214"/>
      <c r="G1345" s="289" t="s">
        <v>6189</v>
      </c>
      <c r="H1345" s="288" t="s">
        <v>3872</v>
      </c>
      <c r="J1345" s="267" t="s">
        <v>5658</v>
      </c>
    </row>
    <row r="1346" spans="3:10" ht="14.45" customHeight="1" x14ac:dyDescent="0.25">
      <c r="C1346" s="277" t="s">
        <v>5600</v>
      </c>
      <c r="D1346" s="288" t="s">
        <v>3872</v>
      </c>
      <c r="E1346" s="214"/>
      <c r="F1346" s="214"/>
      <c r="G1346" s="289" t="s">
        <v>6189</v>
      </c>
      <c r="H1346" s="288" t="s">
        <v>3872</v>
      </c>
      <c r="J1346" s="267" t="s">
        <v>5658</v>
      </c>
    </row>
    <row r="1347" spans="3:10" ht="14.45" customHeight="1" x14ac:dyDescent="0.2">
      <c r="C1347" s="264" t="s">
        <v>5665</v>
      </c>
      <c r="D1347" s="288" t="s">
        <v>3872</v>
      </c>
      <c r="E1347" s="214"/>
      <c r="F1347" s="214"/>
      <c r="G1347" s="289" t="s">
        <v>6189</v>
      </c>
      <c r="H1347" s="288" t="s">
        <v>3872</v>
      </c>
      <c r="J1347" s="267" t="s">
        <v>5658</v>
      </c>
    </row>
    <row r="1348" spans="3:10" ht="14.45" customHeight="1" x14ac:dyDescent="0.25">
      <c r="C1348" s="267" t="s">
        <v>5601</v>
      </c>
      <c r="D1348" s="288" t="s">
        <v>3872</v>
      </c>
      <c r="E1348" s="214"/>
      <c r="F1348" s="214"/>
      <c r="G1348" s="289" t="s">
        <v>6189</v>
      </c>
      <c r="H1348" s="288" t="s">
        <v>3872</v>
      </c>
      <c r="J1348" s="267" t="s">
        <v>5658</v>
      </c>
    </row>
    <row r="1349" spans="3:10" ht="14.45" customHeight="1" x14ac:dyDescent="0.2">
      <c r="C1349" s="272" t="s">
        <v>5602</v>
      </c>
      <c r="D1349" s="288" t="s">
        <v>3872</v>
      </c>
      <c r="E1349" s="214"/>
      <c r="F1349" s="214"/>
      <c r="G1349" s="289" t="s">
        <v>6189</v>
      </c>
      <c r="H1349" s="288" t="s">
        <v>3872</v>
      </c>
      <c r="J1349" s="267" t="s">
        <v>5658</v>
      </c>
    </row>
    <row r="1350" spans="3:10" ht="14.45" customHeight="1" x14ac:dyDescent="0.25">
      <c r="C1350" s="267" t="s">
        <v>5603</v>
      </c>
      <c r="D1350" s="288" t="s">
        <v>3872</v>
      </c>
      <c r="E1350" s="214"/>
      <c r="F1350" s="214"/>
      <c r="G1350" s="289" t="s">
        <v>6189</v>
      </c>
      <c r="H1350" s="288" t="s">
        <v>3872</v>
      </c>
      <c r="J1350" s="267" t="s">
        <v>5658</v>
      </c>
    </row>
    <row r="1351" spans="3:10" ht="14.45" customHeight="1" x14ac:dyDescent="0.25">
      <c r="C1351" s="267" t="s">
        <v>5604</v>
      </c>
      <c r="D1351" s="288" t="s">
        <v>3872</v>
      </c>
      <c r="E1351" s="214"/>
      <c r="F1351" s="214"/>
      <c r="G1351" s="289" t="s">
        <v>6189</v>
      </c>
      <c r="H1351" s="288" t="s">
        <v>3872</v>
      </c>
      <c r="J1351" s="267" t="s">
        <v>5659</v>
      </c>
    </row>
    <row r="1352" spans="3:10" ht="14.45" customHeight="1" x14ac:dyDescent="0.25">
      <c r="C1352" s="278" t="s">
        <v>5605</v>
      </c>
      <c r="D1352" s="288" t="s">
        <v>3872</v>
      </c>
      <c r="E1352" s="214"/>
      <c r="F1352" s="214"/>
      <c r="G1352" s="289" t="s">
        <v>6189</v>
      </c>
      <c r="H1352" s="288" t="s">
        <v>3872</v>
      </c>
      <c r="J1352" s="267" t="s">
        <v>5659</v>
      </c>
    </row>
    <row r="1353" spans="3:10" ht="14.45" customHeight="1" x14ac:dyDescent="0.2">
      <c r="C1353" s="279" t="s">
        <v>5606</v>
      </c>
      <c r="D1353" s="288" t="s">
        <v>3872</v>
      </c>
      <c r="E1353" s="214"/>
      <c r="F1353" s="214"/>
      <c r="G1353" s="289" t="s">
        <v>6189</v>
      </c>
      <c r="H1353" s="288" t="s">
        <v>3872</v>
      </c>
      <c r="J1353" s="267" t="s">
        <v>5659</v>
      </c>
    </row>
    <row r="1354" spans="3:10" ht="14.45" customHeight="1" x14ac:dyDescent="0.25">
      <c r="C1354" s="268" t="s">
        <v>5607</v>
      </c>
      <c r="D1354" s="288" t="s">
        <v>3872</v>
      </c>
      <c r="E1354" s="214"/>
      <c r="F1354" s="214"/>
      <c r="G1354" s="289" t="s">
        <v>6189</v>
      </c>
      <c r="H1354" s="288" t="s">
        <v>3872</v>
      </c>
      <c r="J1354" s="267" t="s">
        <v>5660</v>
      </c>
    </row>
    <row r="1355" spans="3:10" ht="14.45" customHeight="1" x14ac:dyDescent="0.25">
      <c r="C1355" s="268" t="s">
        <v>5608</v>
      </c>
      <c r="D1355" s="288" t="s">
        <v>3872</v>
      </c>
      <c r="E1355" s="214"/>
      <c r="F1355" s="214"/>
      <c r="G1355" s="289" t="s">
        <v>6189</v>
      </c>
      <c r="H1355" s="288" t="s">
        <v>3872</v>
      </c>
      <c r="J1355" s="267" t="s">
        <v>5661</v>
      </c>
    </row>
    <row r="1356" spans="3:10" ht="14.45" customHeight="1" x14ac:dyDescent="0.25">
      <c r="C1356" s="268" t="s">
        <v>5609</v>
      </c>
      <c r="D1356" s="288" t="s">
        <v>3872</v>
      </c>
      <c r="E1356" s="214"/>
      <c r="F1356" s="214"/>
      <c r="G1356" s="289" t="s">
        <v>6189</v>
      </c>
      <c r="H1356" s="288" t="s">
        <v>3872</v>
      </c>
      <c r="J1356" s="267" t="s">
        <v>5661</v>
      </c>
    </row>
    <row r="1357" spans="3:10" ht="14.45" customHeight="1" x14ac:dyDescent="0.25">
      <c r="C1357" s="267" t="s">
        <v>5610</v>
      </c>
      <c r="D1357" s="288" t="s">
        <v>3872</v>
      </c>
      <c r="E1357" s="214"/>
      <c r="F1357" s="214"/>
      <c r="G1357" s="289" t="s">
        <v>6189</v>
      </c>
      <c r="H1357" s="288" t="s">
        <v>3872</v>
      </c>
      <c r="J1357" s="267" t="s">
        <v>5661</v>
      </c>
    </row>
    <row r="1358" spans="3:10" ht="14.45" customHeight="1" x14ac:dyDescent="0.2">
      <c r="C1358" s="276" t="s">
        <v>5611</v>
      </c>
      <c r="D1358" s="288" t="s">
        <v>3872</v>
      </c>
      <c r="E1358" s="214"/>
      <c r="F1358" s="214"/>
      <c r="G1358" s="289" t="s">
        <v>6189</v>
      </c>
      <c r="H1358" s="288" t="s">
        <v>3872</v>
      </c>
      <c r="J1358" s="267" t="s">
        <v>5661</v>
      </c>
    </row>
    <row r="1359" spans="3:10" ht="14.45" customHeight="1" x14ac:dyDescent="0.25">
      <c r="C1359" s="267" t="s">
        <v>5612</v>
      </c>
      <c r="D1359" s="288" t="s">
        <v>3872</v>
      </c>
      <c r="E1359" s="214"/>
      <c r="F1359" s="214"/>
      <c r="G1359" s="289" t="s">
        <v>6189</v>
      </c>
      <c r="H1359" s="288" t="s">
        <v>3872</v>
      </c>
      <c r="J1359" s="287" t="s">
        <v>5633</v>
      </c>
    </row>
    <row r="1360" spans="3:10" ht="14.45" customHeight="1" x14ac:dyDescent="0.25">
      <c r="C1360" s="267" t="s">
        <v>5613</v>
      </c>
      <c r="D1360" s="288" t="s">
        <v>3872</v>
      </c>
      <c r="E1360" s="214"/>
      <c r="F1360" s="214"/>
      <c r="G1360" s="289" t="s">
        <v>6189</v>
      </c>
      <c r="H1360" s="288" t="s">
        <v>3872</v>
      </c>
      <c r="J1360" s="287" t="s">
        <v>5633</v>
      </c>
    </row>
    <row r="1361" spans="3:10" ht="14.45" customHeight="1" x14ac:dyDescent="0.25">
      <c r="C1361" s="267" t="s">
        <v>5614</v>
      </c>
      <c r="D1361" s="288" t="s">
        <v>3872</v>
      </c>
      <c r="E1361" s="214"/>
      <c r="F1361" s="214"/>
      <c r="G1361" s="289" t="s">
        <v>6189</v>
      </c>
      <c r="H1361" s="288" t="s">
        <v>3872</v>
      </c>
      <c r="J1361" s="287" t="s">
        <v>5633</v>
      </c>
    </row>
    <row r="1362" spans="3:10" ht="14.45" customHeight="1" x14ac:dyDescent="0.25">
      <c r="C1362" s="267" t="s">
        <v>5615</v>
      </c>
      <c r="D1362" s="288" t="s">
        <v>3872</v>
      </c>
      <c r="E1362" s="214"/>
      <c r="F1362" s="214"/>
      <c r="G1362" s="289" t="s">
        <v>6189</v>
      </c>
      <c r="H1362" s="288" t="s">
        <v>3872</v>
      </c>
      <c r="J1362" s="6" t="s">
        <v>4861</v>
      </c>
    </row>
    <row r="1363" spans="3:10" ht="14.45" customHeight="1" x14ac:dyDescent="0.25">
      <c r="C1363" s="267" t="s">
        <v>5616</v>
      </c>
      <c r="D1363" s="288" t="s">
        <v>3872</v>
      </c>
      <c r="E1363" s="214"/>
      <c r="F1363" s="214"/>
      <c r="G1363" s="289" t="s">
        <v>6189</v>
      </c>
      <c r="H1363" s="288" t="s">
        <v>3872</v>
      </c>
      <c r="J1363" s="6" t="s">
        <v>4861</v>
      </c>
    </row>
    <row r="1364" spans="3:10" ht="14.45" customHeight="1" x14ac:dyDescent="0.25">
      <c r="C1364" s="267" t="s">
        <v>5617</v>
      </c>
      <c r="D1364" s="288" t="s">
        <v>3872</v>
      </c>
      <c r="E1364" s="214"/>
      <c r="F1364" s="214"/>
      <c r="G1364" s="289" t="s">
        <v>6189</v>
      </c>
      <c r="H1364" s="288" t="s">
        <v>3872</v>
      </c>
      <c r="J1364" s="6" t="s">
        <v>4861</v>
      </c>
    </row>
    <row r="1365" spans="3:10" ht="14.45" customHeight="1" x14ac:dyDescent="0.25">
      <c r="C1365" s="267" t="s">
        <v>5618</v>
      </c>
      <c r="D1365" s="288" t="s">
        <v>3872</v>
      </c>
      <c r="E1365" s="214"/>
      <c r="F1365" s="214"/>
      <c r="G1365" s="289" t="s">
        <v>6189</v>
      </c>
      <c r="H1365" s="288" t="s">
        <v>3872</v>
      </c>
      <c r="J1365" s="6" t="s">
        <v>4861</v>
      </c>
    </row>
    <row r="1366" spans="3:10" ht="14.45" customHeight="1" x14ac:dyDescent="0.25">
      <c r="C1366" s="267" t="s">
        <v>5619</v>
      </c>
      <c r="D1366" s="288" t="s">
        <v>3872</v>
      </c>
      <c r="E1366" s="214"/>
      <c r="F1366" s="214"/>
      <c r="G1366" s="289" t="s">
        <v>6189</v>
      </c>
      <c r="H1366" s="288" t="s">
        <v>3872</v>
      </c>
      <c r="J1366" s="6" t="s">
        <v>4861</v>
      </c>
    </row>
    <row r="1367" spans="3:10" ht="14.45" customHeight="1" x14ac:dyDescent="0.25">
      <c r="C1367" s="267" t="s">
        <v>5620</v>
      </c>
      <c r="D1367" s="288" t="s">
        <v>3872</v>
      </c>
      <c r="E1367" s="214"/>
      <c r="F1367" s="214"/>
      <c r="G1367" s="289" t="s">
        <v>6189</v>
      </c>
      <c r="H1367" s="288" t="s">
        <v>3872</v>
      </c>
      <c r="J1367" s="6" t="s">
        <v>4861</v>
      </c>
    </row>
    <row r="1368" spans="3:10" ht="14.45" customHeight="1" x14ac:dyDescent="0.25">
      <c r="C1368" s="267" t="s">
        <v>5621</v>
      </c>
      <c r="D1368" s="288" t="s">
        <v>3872</v>
      </c>
      <c r="E1368" s="214"/>
      <c r="F1368" s="214"/>
      <c r="G1368" s="289" t="s">
        <v>6189</v>
      </c>
      <c r="H1368" s="288" t="s">
        <v>3872</v>
      </c>
      <c r="J1368" s="6" t="s">
        <v>4861</v>
      </c>
    </row>
    <row r="1369" spans="3:10" ht="14.45" customHeight="1" x14ac:dyDescent="0.25">
      <c r="C1369" s="280" t="s">
        <v>5622</v>
      </c>
      <c r="D1369" s="288" t="s">
        <v>3872</v>
      </c>
      <c r="E1369" s="214"/>
      <c r="F1369" s="214"/>
      <c r="G1369" s="289" t="s">
        <v>6189</v>
      </c>
      <c r="H1369" s="288" t="s">
        <v>3872</v>
      </c>
      <c r="J1369" s="6" t="s">
        <v>4861</v>
      </c>
    </row>
    <row r="1370" spans="3:10" ht="14.45" customHeight="1" x14ac:dyDescent="0.25">
      <c r="C1370" s="267" t="s">
        <v>5623</v>
      </c>
      <c r="D1370" s="288" t="s">
        <v>3872</v>
      </c>
      <c r="E1370" s="214"/>
      <c r="F1370" s="214"/>
      <c r="G1370" s="289" t="s">
        <v>6189</v>
      </c>
      <c r="H1370" s="288" t="s">
        <v>3872</v>
      </c>
      <c r="J1370" s="267" t="s">
        <v>5662</v>
      </c>
    </row>
    <row r="1371" spans="3:10" ht="14.45" customHeight="1" x14ac:dyDescent="0.25">
      <c r="C1371" s="267" t="s">
        <v>5624</v>
      </c>
      <c r="D1371" s="288" t="s">
        <v>3872</v>
      </c>
      <c r="E1371" s="214"/>
      <c r="F1371" s="214"/>
      <c r="G1371" s="289" t="s">
        <v>6189</v>
      </c>
      <c r="H1371" s="288" t="s">
        <v>3872</v>
      </c>
      <c r="J1371" s="267" t="s">
        <v>5662</v>
      </c>
    </row>
    <row r="1372" spans="3:10" ht="14.45" customHeight="1" x14ac:dyDescent="0.25">
      <c r="C1372" s="267" t="s">
        <v>5625</v>
      </c>
      <c r="D1372" s="288" t="s">
        <v>3872</v>
      </c>
      <c r="E1372" s="214"/>
      <c r="F1372" s="214"/>
      <c r="G1372" s="289" t="s">
        <v>6189</v>
      </c>
      <c r="H1372" s="288" t="s">
        <v>3872</v>
      </c>
      <c r="J1372" s="267" t="s">
        <v>5662</v>
      </c>
    </row>
    <row r="1373" spans="3:10" ht="14.45" customHeight="1" x14ac:dyDescent="0.25">
      <c r="C1373" s="268" t="s">
        <v>5626</v>
      </c>
      <c r="D1373" s="288" t="s">
        <v>3872</v>
      </c>
      <c r="E1373" s="214"/>
      <c r="F1373" s="214"/>
      <c r="G1373" s="289" t="s">
        <v>6189</v>
      </c>
      <c r="H1373" s="288" t="s">
        <v>3872</v>
      </c>
      <c r="J1373" s="267" t="s">
        <v>5662</v>
      </c>
    </row>
    <row r="1374" spans="3:10" ht="14.45" customHeight="1" x14ac:dyDescent="0.2">
      <c r="C1374" s="281" t="s">
        <v>5627</v>
      </c>
      <c r="D1374" s="288" t="s">
        <v>3872</v>
      </c>
      <c r="E1374" s="214"/>
      <c r="F1374" s="214"/>
      <c r="G1374" s="289" t="s">
        <v>6189</v>
      </c>
      <c r="H1374" s="288" t="s">
        <v>3872</v>
      </c>
      <c r="J1374" s="267" t="s">
        <v>5662</v>
      </c>
    </row>
    <row r="1375" spans="3:10" ht="14.45" customHeight="1" x14ac:dyDescent="0.2">
      <c r="C1375" s="276" t="s">
        <v>5628</v>
      </c>
      <c r="D1375" s="288" t="s">
        <v>3872</v>
      </c>
      <c r="E1375" s="214"/>
      <c r="F1375" s="214"/>
      <c r="G1375" s="289" t="s">
        <v>6189</v>
      </c>
      <c r="H1375" s="288" t="s">
        <v>3872</v>
      </c>
      <c r="J1375" s="267" t="s">
        <v>5663</v>
      </c>
    </row>
    <row r="1376" spans="3:10" ht="14.45" customHeight="1" x14ac:dyDescent="0.25">
      <c r="C1376" s="282" t="s">
        <v>5629</v>
      </c>
      <c r="D1376" s="288" t="s">
        <v>3872</v>
      </c>
      <c r="E1376" s="214"/>
      <c r="F1376" s="214"/>
      <c r="G1376" s="289" t="s">
        <v>6189</v>
      </c>
      <c r="H1376" s="288" t="s">
        <v>3872</v>
      </c>
      <c r="J1376" s="267" t="s">
        <v>5663</v>
      </c>
    </row>
    <row r="1377" spans="3:10" ht="14.45" customHeight="1" x14ac:dyDescent="0.25">
      <c r="C1377" s="283" t="s">
        <v>5630</v>
      </c>
      <c r="D1377" s="288" t="s">
        <v>3872</v>
      </c>
      <c r="E1377" s="214"/>
      <c r="F1377" s="214"/>
      <c r="G1377" s="289" t="s">
        <v>6189</v>
      </c>
      <c r="H1377" s="288" t="s">
        <v>3872</v>
      </c>
      <c r="J1377" s="267" t="s">
        <v>5664</v>
      </c>
    </row>
    <row r="1378" spans="3:10" ht="14.45" customHeight="1" x14ac:dyDescent="0.25">
      <c r="C1378" s="284" t="s">
        <v>5631</v>
      </c>
      <c r="D1378" s="288" t="s">
        <v>3872</v>
      </c>
      <c r="E1378" s="214"/>
      <c r="F1378" s="214"/>
      <c r="G1378" s="289" t="s">
        <v>6189</v>
      </c>
      <c r="H1378" s="288" t="s">
        <v>3872</v>
      </c>
      <c r="J1378" s="267" t="s">
        <v>5664</v>
      </c>
    </row>
    <row r="1389" spans="3:10" ht="14.45" customHeight="1" x14ac:dyDescent="0.25">
      <c r="C1389" s="290" t="s">
        <v>5667</v>
      </c>
    </row>
    <row r="1390" spans="3:10" ht="14.45" customHeight="1" x14ac:dyDescent="0.25">
      <c r="C1390" s="290" t="s">
        <v>5668</v>
      </c>
    </row>
    <row r="1391" spans="3:10" ht="14.45" customHeight="1" x14ac:dyDescent="0.25">
      <c r="C1391" s="290" t="s">
        <v>5669</v>
      </c>
    </row>
    <row r="1392" spans="3:10" ht="14.45" customHeight="1" x14ac:dyDescent="0.25">
      <c r="C1392" s="290" t="s">
        <v>5670</v>
      </c>
    </row>
    <row r="1393" spans="3:3" ht="14.45" customHeight="1" x14ac:dyDescent="0.25">
      <c r="C1393" s="290" t="s">
        <v>5671</v>
      </c>
    </row>
    <row r="1394" spans="3:3" ht="14.45" customHeight="1" x14ac:dyDescent="0.25">
      <c r="C1394" s="290" t="s">
        <v>5672</v>
      </c>
    </row>
    <row r="1395" spans="3:3" ht="14.45" customHeight="1" x14ac:dyDescent="0.25">
      <c r="C1395" s="290" t="s">
        <v>5673</v>
      </c>
    </row>
    <row r="1396" spans="3:3" ht="14.45" customHeight="1" x14ac:dyDescent="0.25">
      <c r="C1396" s="290" t="s">
        <v>5674</v>
      </c>
    </row>
    <row r="1397" spans="3:3" ht="14.45" customHeight="1" x14ac:dyDescent="0.25">
      <c r="C1397" s="290" t="s">
        <v>5675</v>
      </c>
    </row>
    <row r="1398" spans="3:3" ht="14.45" customHeight="1" x14ac:dyDescent="0.25">
      <c r="C1398" s="290" t="s">
        <v>5676</v>
      </c>
    </row>
    <row r="1399" spans="3:3" ht="14.45" customHeight="1" x14ac:dyDescent="0.25">
      <c r="C1399" s="290" t="s">
        <v>5677</v>
      </c>
    </row>
    <row r="1400" spans="3:3" ht="14.45" customHeight="1" x14ac:dyDescent="0.25">
      <c r="C1400" s="290" t="s">
        <v>5678</v>
      </c>
    </row>
  </sheetData>
  <autoFilter ref="A1:AL1" xr:uid="{15EE9483-ED47-4323-80CF-5BF380E21BF2}">
    <filterColumn colId="9">
      <filters blank="1"/>
    </filterColumn>
  </autoFilter>
  <mergeCells count="2">
    <mergeCell ref="J1322:J1323"/>
    <mergeCell ref="A1260:C1260"/>
  </mergeCells>
  <conditionalFormatting sqref="R452 R551 R1163:R1164 R1175 R1257:R1263">
    <cfRule type="expression" dxfId="5" priority="4">
      <formula>AND(R452&lt;&gt;"",R452&lt;=TODAY())</formula>
    </cfRule>
    <cfRule type="expression" dxfId="4" priority="5">
      <formula>AND(R452&lt;&gt;"",R452&lt;=TODAY()+90)</formula>
    </cfRule>
    <cfRule type="expression" dxfId="3" priority="6">
      <formula>AND(R452&lt;&gt;"",R452&gt;TODAY()+90)</formula>
    </cfRule>
  </conditionalFormatting>
  <conditionalFormatting sqref="R1082">
    <cfRule type="expression" dxfId="2" priority="1">
      <formula>AND(R1082&lt;&gt;"",R1082&lt;=TODAY())</formula>
    </cfRule>
    <cfRule type="expression" dxfId="1" priority="2">
      <formula>AND(R1082&lt;&gt;"",R1082&lt;=TODAY()+90)</formula>
    </cfRule>
    <cfRule type="expression" dxfId="0" priority="3">
      <formula>AND(R1082&lt;&gt;"",R1082&gt;TODAY()+90)</formula>
    </cfRule>
  </conditionalFormatting>
  <dataValidations count="33">
    <dataValidation type="list" errorStyle="information" allowBlank="1" showInputMessage="1" showErrorMessage="1" errorTitle="Peringatan!!!" error="Masukkan Laki-laki/Perempuan" sqref="E222" xr:uid="{D5134F4D-4644-4F4D-BD0B-3B2EAE64E6BA}">
      <formula1>$C$1150:$C$1151</formula1>
    </dataValidation>
    <dataValidation type="list" errorStyle="information" allowBlank="1" showInputMessage="1" showErrorMessage="1" errorTitle="Peringatan!!!" error="Masukkan Laki-laki/Perempuan" sqref="E291" xr:uid="{3C60DC13-6506-4A6F-A292-301ED6DD67DD}">
      <formula1>$C$1118:$C$1118</formula1>
    </dataValidation>
    <dataValidation type="list" errorStyle="information" allowBlank="1" showInputMessage="1" showErrorMessage="1" errorTitle="Peringatan!!!" error="Masukkan Laki-laki/Perempuan" sqref="E168 E1227:E1234 E1005:E1023 E262:E275 E375:E382 E109:E114 E1061:E1068 E1040:E1047 E1070:E1073 E1081:E1084 E404:E407 E639 E492:E493 E466 E296 E752:E760 E325:E329 E1025:E1034 E999 E844:E845 E824:E829 E866 E872:E877 E912:E916 E1106:E1111 E800 E1126:E1132 E55:E62 E1159 E695 E838:E841 E697:E698 E1170:E1177 E856:E857 E945:E946 E811:E812 E747:E748 E859:E862 E849:E850 E1134:E1135 E649:E651 E815:E817 E820:E822 E1179:E1186 E319 E948:E949 E1037:E1038 E737:E738 E1118 E321:E323 E1120:E1123 E1145:E1146 E1161:E1165 E1167:E1168 E1188:E1208 E965:E971 E2 E313:E316 E277 E852:E854 E331 E1049:E1059 E567:E589 E14:E22 E24:E31 E240:E243 E470:E478 E784:E798 E646 E802:E805 E252:E254 E245:E250 E257:E260 E153:E166 E1075:E1079 E1210:E1217 E1115:E1116 E959:E963 E6:E12 E951:E957 E677:E686 E116:E151 E64:E71 E79:E86 E73:E77 E88:E107 E641:E642 E720:E731 E1266:E1267 E1151 E1137 E807:E808 E886:E909 E653:E668 E741:E745 E1236:E1246 E496:E505 E343:E344 E591 E410:E425 E451:E458 E556:E557 E170:E207 E523:E525 E223:E236 E507:E521 E460:E463 E626 E593:E594 E925:E943 E33:E53 E1001 E1219:E1223 E482:E486 E488:E490 E621:E623 E209:E219 E427:E439 E1086:E1104 E347:E351 E384:E400 E441:E449 E527:E528 E530:E532 E559:E565 E879:E883 E546:E554 E767:E782 E280:E292 E302:E310 E357:E369 E337:E341 E596:E607 E700:E716 E628:E629 E615:E619 E1249:E1258 E1260" xr:uid="{6EA846DB-15BE-44AE-BBF1-9164AFA9AEF9}">
      <formula1>#REF!</formula1>
    </dataValidation>
    <dataValidation type="list" errorStyle="information" allowBlank="1" showInputMessage="1" showErrorMessage="1" errorTitle="Peringatan!!!" error="Masukkan Laki-laki/Perempuan" sqref="E1002" xr:uid="{2C2B5743-ACF9-4F92-A174-FCAEAEB6BA33}">
      <formula1>$C$1144:$C$1145</formula1>
    </dataValidation>
    <dataValidation type="list" errorStyle="information" allowBlank="1" showInputMessage="1" showErrorMessage="1" errorTitle="Peringatan!!!" error="Masukkan Laki-laki/Perempuan" sqref="E1036" xr:uid="{5B6474FF-F7A1-4F07-8A24-DE58E0AA8154}">
      <formula1>$C$1154:$C$1155</formula1>
    </dataValidation>
    <dataValidation type="list" errorStyle="information" allowBlank="1" showInputMessage="1" showErrorMessage="1" errorTitle="Peringatan!!!" error="Masukkan Laki-laki/Perempuan" sqref="E1035" xr:uid="{D88AE4A6-2EF4-4BED-B0CE-9799FEA9DBFB}">
      <formula1>$C$1171:$C$1172</formula1>
    </dataValidation>
    <dataValidation type="list" errorStyle="information" allowBlank="1" showInputMessage="1" showErrorMessage="1" errorTitle="Peringatan!!!" error="Masukkan Laki-laki/Perempuan" sqref="E1224" xr:uid="{E547FCC9-AF4C-4984-8724-7FFE5D8171C4}">
      <formula1>$C$1294:$C$1295</formula1>
    </dataValidation>
    <dataValidation type="list" errorStyle="information" allowBlank="1" showInputMessage="1" showErrorMessage="1" errorTitle="Peringatan!!!" error="Masukkan Laki-laki/Perempuan" sqref="E835" xr:uid="{1ADE3B09-AFC8-4C39-841C-86272AEF8627}">
      <formula1>$C$1041:$C$1082</formula1>
    </dataValidation>
    <dataValidation type="list" errorStyle="information" allowBlank="1" showInputMessage="1" showErrorMessage="1" errorTitle="Peringatan!!!" error="Masukkan Laki-laki/Perempuan" sqref="E221" xr:uid="{DCCB1E30-219A-497B-A745-0ED51C2931BC}">
      <formula1>$C$1111:$C$1113</formula1>
    </dataValidation>
    <dataValidation type="list" errorStyle="information" allowBlank="1" showInputMessage="1" showErrorMessage="1" errorTitle="Peringatan!!!" error="Masukkan Laki-laki/Perempuan" sqref="E1048:E1049" xr:uid="{40844953-75F1-444B-B908-83E0DAB39957}">
      <formula1>$C$1126:$C$1126</formula1>
    </dataValidation>
    <dataValidation type="list" errorStyle="information" allowBlank="1" showInputMessage="1" showErrorMessage="1" errorTitle="Peringatan!!!" error="Masukkan Laki-laki/Perempuan" sqref="E534 E690:E701" xr:uid="{A78F71A6-96D4-4F8C-AD26-7B9FE4538322}">
      <formula1>$C$1209:$C$1209</formula1>
    </dataValidation>
    <dataValidation type="list" errorStyle="information" allowBlank="1" showInputMessage="1" showErrorMessage="1" errorTitle="Peringatan!!!" error="Masukkan Laki-laki/Perempuan" sqref="E1225 E1060 E1087 E566" xr:uid="{24E8AC54-4119-4299-8DE2-FC2695639D73}">
      <formula1>$C$1162:$C$1249</formula1>
    </dataValidation>
    <dataValidation type="list" errorStyle="information" allowBlank="1" showInputMessage="1" showErrorMessage="1" errorTitle="Peringatan!!!" error="Masukkan Laki-laki/Perempuan" sqref="E1024" xr:uid="{5AB8CC4A-9B30-4B97-88CB-DA7150C93041}">
      <formula1>$C$1255:$C$1256</formula1>
    </dataValidation>
    <dataValidation type="list" errorStyle="information" allowBlank="1" showInputMessage="1" showErrorMessage="1" errorTitle="Peringatan!!!" error="Masukkan Laki-laki/Perempuan" sqref="E911" xr:uid="{51DE62C3-780D-4827-825A-04245367343C}">
      <formula1>$C$1104:$C$1105</formula1>
    </dataValidation>
    <dataValidation type="list" errorStyle="information" allowBlank="1" showInputMessage="1" showErrorMessage="1" errorTitle="Peringatan!!!" error="Masukkan Laki-laki/Perempuan" sqref="E533" xr:uid="{FAA4C34D-79B7-44C9-91FD-471CD3BD8616}">
      <formula1>$C$1177:$C$1178</formula1>
    </dataValidation>
    <dataValidation type="list" errorStyle="information" allowBlank="1" showInputMessage="1" showErrorMessage="1" errorTitle="Peringatan!!!" error="Masukkan Laki-laki/Perempuan" sqref="E1247:E1254" xr:uid="{E219DE2F-AF2B-429B-86E8-76F55E40D8D0}">
      <formula1>$C$1153:$C$1154</formula1>
    </dataValidation>
    <dataValidation type="list" errorStyle="information" allowBlank="1" showInputMessage="1" showErrorMessage="1" errorTitle="Peringatan!!!" error="Masukkan Laki-laki/Perempuan" sqref="E608" xr:uid="{B1DCABCB-5D38-44FB-B633-4BEEF207E657}">
      <formula1>$C$1116:$C$1117</formula1>
    </dataValidation>
    <dataValidation type="list" errorStyle="information" allowBlank="1" showInputMessage="1" showErrorMessage="1" errorTitle="Peringatan!!!" error="Masukkan Laki-laki/Perempuan" sqref="E1258 E1260" xr:uid="{89AA17AF-9776-474E-9936-AB744C7F7B00}">
      <formula1>$C$1165:$C$1167</formula1>
    </dataValidation>
    <dataValidation type="list" errorStyle="information" allowBlank="1" showInputMessage="1" showErrorMessage="1" errorTitle="Peringatan!!!" error="Masukkan Laki-laki/Perempuan" sqref="E617:E619 E609:E614" xr:uid="{6892D202-3F3C-4A39-A52E-72F24D151B2E}">
      <formula1>$C$1132:$C$1133</formula1>
    </dataValidation>
    <dataValidation type="list" errorStyle="information" allowBlank="1" showInputMessage="1" showErrorMessage="1" errorTitle="Peringatan!!!" error="Masukkan Laki-laki/Perempuan" sqref="E1226" xr:uid="{91A90006-90AF-4971-BF75-ADD853A5463B}">
      <formula1>$C$1079:$C$1080</formula1>
    </dataValidation>
    <dataValidation type="list" errorStyle="information" allowBlank="1" showInputMessage="1" showErrorMessage="1" errorTitle="Peringatan!!!" error="Masukkan Laki-laki/Perempuan" sqref="E620" xr:uid="{8F817077-8381-4CB4-94D6-D02DD72CEC4C}">
      <formula1>$C$1070:$C$1071</formula1>
    </dataValidation>
    <dataValidation type="list" errorStyle="information" allowBlank="1" showInputMessage="1" showErrorMessage="1" errorTitle="Peringatan!!!" error="Masukkan Laki-laki/Perempuan" sqref="E1000" xr:uid="{4EC77DA4-228B-427F-BAFB-5B99BCC7879E}">
      <formula1>$C$1036:$C$1036</formula1>
    </dataValidation>
    <dataValidation type="list" errorStyle="information" allowBlank="1" showInputMessage="1" showErrorMessage="1" errorTitle="Peringatan!!!" error="Masukkan Laki-laki/Perempuan" sqref="E168" xr:uid="{7C87F6FD-9247-4BB6-B097-3FE97BBA8A20}">
      <formula1>$C$1041:$C$1041</formula1>
    </dataValidation>
    <dataValidation type="list" errorStyle="information" allowBlank="1" showInputMessage="1" showErrorMessage="1" errorTitle="Peringatan!!!" error="Masukkan Laki-laki/Perempuan" sqref="E1112:E1113" xr:uid="{7D66E207-3CE9-47EF-89D0-5EDEFD6D5ABA}">
      <formula1>$C$1045:$C$1103</formula1>
    </dataValidation>
    <dataValidation type="list" errorStyle="information" allowBlank="1" showInputMessage="1" showErrorMessage="1" errorTitle="Peringatan!!!" error="Masukkan Laki-laki/Perempuan" sqref="E5 E773 E283:E291" xr:uid="{20B89DC8-C6AC-462C-9403-692A52EF5A5E}">
      <formula1>$C$875:$C$875</formula1>
    </dataValidation>
    <dataValidation type="list" errorStyle="information" allowBlank="1" showInputMessage="1" showErrorMessage="1" errorTitle="Peringatan!!!" error="Masukkan Laki-laki/Perempuan" sqref="E1156" xr:uid="{3F67403D-E9D3-4750-8EA1-74E43C72F668}">
      <formula1>$C$1334:$C$1335</formula1>
    </dataValidation>
    <dataValidation type="list" errorStyle="information" allowBlank="1" showInputMessage="1" showErrorMessage="1" errorTitle="Peringatan!!!" error="Masukkan Laki-laki/Perempuan" sqref="E1156" xr:uid="{A66AD593-18CE-46EB-915B-3D2D41DC0272}">
      <formula1>$C$1365:$C$1366</formula1>
    </dataValidation>
    <dataValidation type="list" errorStyle="information" allowBlank="1" showInputMessage="1" showErrorMessage="1" errorTitle="Peringatan!!!" error="Masukkan Laki-laki/Perempuan" sqref="E917:E919" xr:uid="{2C3AE4D5-B512-49C1-A288-ACD41C7ED1D5}">
      <formula1>$C$1345:$C$1346</formula1>
    </dataValidation>
    <dataValidation type="list" errorStyle="information" allowBlank="1" showInputMessage="1" showErrorMessage="1" errorTitle="Peringatan!!!" error="Masukkan Laki-laki/Perempuan" sqref="E922" xr:uid="{CEA9B40D-7DBF-4151-B3D9-B166D29335A5}">
      <formula1>$C$1358:$C$1359</formula1>
    </dataValidation>
    <dataValidation type="list" errorStyle="information" allowBlank="1" showInputMessage="1" showErrorMessage="1" errorTitle="Peringatan!!!" error="Masukkan Laki-laki/Perempuan" sqref="E923" xr:uid="{5F9C2F6A-F476-4D10-9DF4-037A18938B6D}">
      <formula1>$C$1377:$C$1378</formula1>
    </dataValidation>
    <dataValidation type="list" errorStyle="information" allowBlank="1" showInputMessage="1" showErrorMessage="1" errorTitle="Peringatan!!!" error="Masukkan Laki-laki/Perempuan" sqref="E1069" xr:uid="{A90CC5DA-269D-4A01-9C2B-844AA0EAFB3A}">
      <formula1>$C$1353:$C$1354</formula1>
    </dataValidation>
    <dataValidation type="list" errorStyle="information" allowBlank="1" showInputMessage="1" showErrorMessage="1" errorTitle="Peringatan!!!" error="Masukkan Laki-laki/Perempuan" sqref="E1045" xr:uid="{38BD0C91-EDE6-4636-8C74-CC57C90F5DEE}">
      <formula1>$C$1284:$C$1285</formula1>
    </dataValidation>
    <dataValidation type="list" errorStyle="information" allowBlank="1" showInputMessage="1" showErrorMessage="1" errorTitle="Peringatan!!!" error="Masukkan Laki-laki/Perempuan" sqref="E1003 E1253:E1254" xr:uid="{E36155FD-49E9-4CE3-A748-50E8CE6C3EFE}">
      <formula1>$C$1126:$C$1127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5558-3105-43B6-B066-4C6ED89DEBA3}">
  <dimension ref="B1:L261"/>
  <sheetViews>
    <sheetView workbookViewId="0">
      <selection sqref="A1:XFD1048576"/>
    </sheetView>
  </sheetViews>
  <sheetFormatPr defaultRowHeight="15" x14ac:dyDescent="0.25"/>
  <cols>
    <col min="2" max="2" width="6.7109375" style="224" customWidth="1"/>
    <col min="3" max="3" width="47.5703125" customWidth="1"/>
    <col min="4" max="10" width="10.5703125" customWidth="1"/>
    <col min="11" max="11" width="7.5703125" customWidth="1"/>
  </cols>
  <sheetData>
    <row r="1" spans="2:12" x14ac:dyDescent="0.25">
      <c r="B1" s="324" t="s">
        <v>5410</v>
      </c>
      <c r="C1" s="324"/>
      <c r="D1" s="324"/>
      <c r="E1" s="324"/>
      <c r="F1" s="324"/>
      <c r="G1" s="324"/>
      <c r="H1" s="324"/>
      <c r="I1" s="324"/>
      <c r="J1" s="324"/>
      <c r="K1" s="223"/>
      <c r="L1" s="224"/>
    </row>
    <row r="2" spans="2:12" x14ac:dyDescent="0.25">
      <c r="B2" s="324" t="s">
        <v>5411</v>
      </c>
      <c r="C2" s="324"/>
      <c r="D2" s="324"/>
      <c r="E2" s="324"/>
      <c r="F2" s="324"/>
      <c r="G2" s="324"/>
      <c r="H2" s="324"/>
      <c r="I2" s="324"/>
      <c r="J2" s="324"/>
      <c r="K2" s="223"/>
      <c r="L2" s="224"/>
    </row>
    <row r="3" spans="2:12" x14ac:dyDescent="0.25">
      <c r="B3" s="325" t="str">
        <f>[1]Peta_Persatker!C1515</f>
        <v>September 2025</v>
      </c>
      <c r="C3" s="325"/>
      <c r="D3" s="325"/>
      <c r="E3" s="325"/>
      <c r="F3" s="325"/>
      <c r="G3" s="325"/>
      <c r="H3" s="325"/>
      <c r="I3" s="325"/>
      <c r="J3" s="325"/>
      <c r="K3" s="225"/>
      <c r="L3" s="224"/>
    </row>
    <row r="4" spans="2:12" ht="15.75" thickBot="1" x14ac:dyDescent="0.3"/>
    <row r="5" spans="2:12" s="223" customFormat="1" x14ac:dyDescent="0.25">
      <c r="B5" s="226" t="s">
        <v>5412</v>
      </c>
      <c r="C5" s="226" t="s">
        <v>5413</v>
      </c>
      <c r="D5" s="226" t="s">
        <v>41</v>
      </c>
      <c r="E5" s="226" t="s">
        <v>192</v>
      </c>
      <c r="F5" s="226" t="s">
        <v>238</v>
      </c>
      <c r="G5" s="227" t="s">
        <v>66</v>
      </c>
      <c r="H5" s="226" t="s">
        <v>1063</v>
      </c>
      <c r="I5" s="226" t="s">
        <v>623</v>
      </c>
      <c r="J5" s="226" t="s">
        <v>5409</v>
      </c>
      <c r="K5" s="228"/>
    </row>
    <row r="6" spans="2:12" x14ac:dyDescent="0.25">
      <c r="B6" s="229" t="s">
        <v>5414</v>
      </c>
      <c r="C6" s="230" t="s">
        <v>5415</v>
      </c>
      <c r="D6" s="231"/>
      <c r="E6" s="231"/>
      <c r="F6" s="231"/>
      <c r="G6" s="231"/>
      <c r="H6" s="231"/>
      <c r="I6" s="231"/>
      <c r="J6" s="231"/>
      <c r="K6" s="232"/>
    </row>
    <row r="7" spans="2:12" s="238" customFormat="1" x14ac:dyDescent="0.25">
      <c r="B7" s="233"/>
      <c r="C7" s="234" t="s">
        <v>489</v>
      </c>
      <c r="D7" s="235"/>
      <c r="E7" s="235"/>
      <c r="F7" s="235"/>
      <c r="G7" s="235"/>
      <c r="H7" s="235"/>
      <c r="I7" s="235"/>
      <c r="J7" s="236"/>
      <c r="K7" s="237"/>
    </row>
    <row r="8" spans="2:12" x14ac:dyDescent="0.25">
      <c r="B8" s="239">
        <v>1</v>
      </c>
      <c r="C8" s="240" t="s">
        <v>491</v>
      </c>
      <c r="D8" s="239">
        <f>SUMPRODUCT(([1]Peta_Persatker!G2:G1510="PNS")*([1]Peta_Persatker!T2:T1510="Dr. Umum"))</f>
        <v>14</v>
      </c>
      <c r="E8" s="239">
        <f>SUMPRODUCT(([1]Peta_Persatker!G2:G1510="CPNS")*([1]Peta_Persatker!T2:T1510="Dr. Umum"))</f>
        <v>7</v>
      </c>
      <c r="F8" s="239">
        <f>SUMPRODUCT(([1]Peta_Persatker!G2:G1510="PPPK")*([1]Peta_Persatker!T2:T1510="Dr. Umum"))</f>
        <v>2</v>
      </c>
      <c r="G8" s="239">
        <f>SUMPRODUCT(([1]Peta_Persatker!G2:G1510="BLU TETAP")*([1]Peta_Persatker!T2:T1510="Dr. Umum"))</f>
        <v>1</v>
      </c>
      <c r="H8" s="239">
        <f>SUMPRODUCT(([1]Peta_Persatker!G2:G1510="KONTRAK")*([1]Peta_Persatker!T2:T1510="Dr. Umum"))</f>
        <v>0</v>
      </c>
      <c r="I8" s="239">
        <f>SUMPRODUCT(([1]Peta_Persatker!G2:G1510="DOKTER TAMU")*([1]Peta_Persatker!T2:T1510="Dr. Umum"))</f>
        <v>5</v>
      </c>
      <c r="J8" s="241">
        <f>SUM(D8:I8)</f>
        <v>29</v>
      </c>
      <c r="K8" s="242"/>
      <c r="L8" s="242"/>
    </row>
    <row r="9" spans="2:12" s="238" customFormat="1" x14ac:dyDescent="0.25">
      <c r="B9" s="233"/>
      <c r="C9" s="234" t="s">
        <v>644</v>
      </c>
      <c r="D9" s="235"/>
      <c r="E9" s="235"/>
      <c r="F9" s="235"/>
      <c r="G9" s="235"/>
      <c r="H9" s="235"/>
      <c r="I9" s="235"/>
      <c r="J9" s="235"/>
      <c r="K9" s="237"/>
      <c r="L9" s="237"/>
    </row>
    <row r="10" spans="2:12" x14ac:dyDescent="0.25">
      <c r="B10" s="239">
        <v>2</v>
      </c>
      <c r="C10" s="240" t="s">
        <v>646</v>
      </c>
      <c r="D10" s="239">
        <f>SUMPRODUCT(([1]Peta_Persatker!G2:G1510="PNS")*([1]Peta_Persatker!T2:T1510="Dr. Gigi"))</f>
        <v>3</v>
      </c>
      <c r="E10" s="239">
        <f>SUMPRODUCT(([1]Peta_Persatker!G2:G1510="CPNS")*([1]Peta_Persatker!T2:T1510="Dr. Gigi"))</f>
        <v>0</v>
      </c>
      <c r="F10" s="239">
        <f>SUMPRODUCT(([1]Peta_Persatker!G2:G1510="PPPK")*([1]Peta_Persatker!T2:T1510="Dr. Gigi"))</f>
        <v>0</v>
      </c>
      <c r="G10" s="239">
        <f>SUMPRODUCT(([1]Peta_Persatker!G2:G1510="BLU TETAP")*([1]Peta_Persatker!T2:T1510="Dr. Gigi"))</f>
        <v>0</v>
      </c>
      <c r="H10" s="239">
        <f>SUMPRODUCT(([1]Peta_Persatker!G2:G1510="KONTRAK")*([1]Peta_Persatker!T2:T1510="Dr. Gigi"))</f>
        <v>0</v>
      </c>
      <c r="I10" s="239">
        <f>SUMPRODUCT(([1]Peta_Persatker!G2:G1510="DOKTER TAMU")*([1]Peta_Persatker!T2:T1510="Dr. Gigi"))</f>
        <v>0</v>
      </c>
      <c r="J10" s="241">
        <f>SUM(D10:I10)</f>
        <v>3</v>
      </c>
      <c r="K10" s="242"/>
      <c r="L10" s="242"/>
    </row>
    <row r="11" spans="2:12" s="238" customFormat="1" x14ac:dyDescent="0.25">
      <c r="B11" s="233"/>
      <c r="C11" s="234" t="s">
        <v>5416</v>
      </c>
      <c r="D11" s="235"/>
      <c r="E11" s="235"/>
      <c r="F11" s="235"/>
      <c r="G11" s="235"/>
      <c r="H11" s="235"/>
      <c r="I11" s="235"/>
      <c r="J11" s="235"/>
      <c r="K11" s="237"/>
      <c r="L11" s="237"/>
    </row>
    <row r="12" spans="2:12" x14ac:dyDescent="0.25">
      <c r="B12" s="239">
        <v>3</v>
      </c>
      <c r="C12" s="240" t="s">
        <v>524</v>
      </c>
      <c r="D12" s="239">
        <f>SUMPRODUCT(([1]Peta_Persatker!G2:G1510="PNS")*([1]Peta_Persatker!T2:T1510="Dr. Sp. Anak"))</f>
        <v>1</v>
      </c>
      <c r="E12" s="239">
        <f>SUMPRODUCT(([1]Peta_Persatker!G2:G1510="CPNS")*([1]Peta_Persatker!T2:T1510="Dr. Sp. Anak"))</f>
        <v>0</v>
      </c>
      <c r="F12" s="239">
        <f>SUMPRODUCT(([1]Peta_Persatker!G2:G1510="PPPK")*([1]Peta_Persatker!T2:T1510="Dr. Sp. Anak"))</f>
        <v>2</v>
      </c>
      <c r="G12" s="239">
        <f>SUMPRODUCT(([1]Peta_Persatker!G2:G1510="BLU TETAP")*([1]Peta_Persatker!T2:T1510="Dr. Sp. Anak"))</f>
        <v>0</v>
      </c>
      <c r="H12" s="239">
        <f>SUMPRODUCT(([1]Peta_Persatker!G2:G1510="KONTRAK")*([1]Peta_Persatker!T2:T1510="Dr. Sp. Anak"))</f>
        <v>0</v>
      </c>
      <c r="I12" s="239">
        <f>SUMPRODUCT(([1]Peta_Persatker!G2:G1510="DOKTER TAMU")*([1]Peta_Persatker!T2:T1510="Dr. Sp. Anak"))</f>
        <v>0</v>
      </c>
      <c r="J12" s="241">
        <f>SUM(D12:I12)</f>
        <v>3</v>
      </c>
      <c r="K12" s="242"/>
      <c r="L12" s="242"/>
    </row>
    <row r="13" spans="2:12" x14ac:dyDescent="0.25">
      <c r="B13" s="239">
        <v>4</v>
      </c>
      <c r="C13" s="240" t="s">
        <v>347</v>
      </c>
      <c r="D13" s="239">
        <f>SUMPRODUCT(([1]Peta_Persatker!G2:G1510="PNS")*([1]Peta_Persatker!T2:T1510="Dr. Sp. Anestesi"))</f>
        <v>2</v>
      </c>
      <c r="E13" s="239">
        <f>SUMPRODUCT(([1]Peta_Persatker!G2:G1510="CPNS")*([1]Peta_Persatker!T2:T1510="Dr. Sp. Anestesi"))</f>
        <v>1</v>
      </c>
      <c r="F13" s="239">
        <f>SUMPRODUCT(([1]Peta_Persatker!G2:G1510="PPPK")*([1]Peta_Persatker!T2:T1510="Dr. Sp. Anestesi"))</f>
        <v>1</v>
      </c>
      <c r="G13" s="239">
        <f>SUMPRODUCT(([1]Peta_Persatker!G2:G1510="BLU TETAP")*([1]Peta_Persatker!T2:T1510="Dr. Sp. Anestesi"))</f>
        <v>0</v>
      </c>
      <c r="H13" s="239">
        <f>SUMPRODUCT(([1]Peta_Persatker!G2:G1510="KONTRAK")*([1]Peta_Persatker!T2:T1510="Dr. Sp. Anestesi"))</f>
        <v>0</v>
      </c>
      <c r="I13" s="239">
        <f>SUMPRODUCT(([1]Peta_Persatker!G2:G1510="DOKTER TAMU")*([1]Peta_Persatker!T2:T1510="Dr. Sp. Anestesi"))</f>
        <v>0</v>
      </c>
      <c r="J13" s="241">
        <f t="shared" ref="J13:J36" si="0">SUM(D13:I13)</f>
        <v>4</v>
      </c>
      <c r="K13" s="242"/>
      <c r="L13" s="242"/>
    </row>
    <row r="14" spans="2:12" x14ac:dyDescent="0.25">
      <c r="B14" s="239">
        <v>5</v>
      </c>
      <c r="C14" s="240" t="s">
        <v>607</v>
      </c>
      <c r="D14" s="239">
        <f>SUMPRODUCT(([1]Peta_Persatker!G2:G1510="PNS")*([1]Peta_Persatker!T2:T1510="Dr. Sp. Bedah"))</f>
        <v>2</v>
      </c>
      <c r="E14" s="239">
        <f>SUMPRODUCT(([1]Peta_Persatker!G2:G1510="CPNS")*([1]Peta_Persatker!T2:T1510="Dr. Sp. Bedah"))</f>
        <v>1</v>
      </c>
      <c r="F14" s="239">
        <f>SUMPRODUCT(([1]Peta_Persatker!G2:G1510="PPPK")*([1]Peta_Persatker!T2:T1510="Dr. Sp. Bedah"))</f>
        <v>0</v>
      </c>
      <c r="G14" s="239">
        <f>SUMPRODUCT(([1]Peta_Persatker!G2:G1510="BLU TETAP")*([1]Peta_Persatker!T2:T1510="Dr. Sp. Bedah"))</f>
        <v>0</v>
      </c>
      <c r="H14" s="239">
        <f>SUMPRODUCT(([1]Peta_Persatker!G2:G1510="KONTRAK")*([1]Peta_Persatker!T2:T1510="Dr. Sp. Bedah"))</f>
        <v>0</v>
      </c>
      <c r="I14" s="239">
        <f>SUMPRODUCT(([1]Peta_Persatker!G2:G1510="DOKTER TAMU")*([1]Peta_Persatker!T2:T1510="Dr. Sp. Bedah"))</f>
        <v>0</v>
      </c>
      <c r="J14" s="241">
        <f t="shared" si="0"/>
        <v>3</v>
      </c>
      <c r="K14" s="242"/>
      <c r="L14" s="242"/>
    </row>
    <row r="15" spans="2:12" x14ac:dyDescent="0.25">
      <c r="B15" s="239">
        <v>6</v>
      </c>
      <c r="C15" s="240" t="s">
        <v>615</v>
      </c>
      <c r="D15" s="239">
        <f>SUMPRODUCT(([1]Peta_Persatker!G2:G1510="PNS")*([1]Peta_Persatker!T2:T1510="Dr. Sp. Bedah Plastik"))</f>
        <v>1</v>
      </c>
      <c r="E15" s="239">
        <f>SUMPRODUCT(([1]Peta_Persatker!G2:G1510="CPNS")*([1]Peta_Persatker!T2:T1510="Dr. Sp. Bedah Plastik"))</f>
        <v>1</v>
      </c>
      <c r="F15" s="239">
        <f>SUMPRODUCT(([1]Peta_Persatker!G2:G1510="PPPK")*([1]Peta_Persatker!T2:T1510="Dr. Sp. Bedah Plastik"))</f>
        <v>0</v>
      </c>
      <c r="G15" s="239">
        <f>SUMPRODUCT(([1]Peta_Persatker!G2:G1510="BLU TETAP")*([1]Peta_Persatker!T2:T1510="Dr. Sp. Bedah Plastik"))</f>
        <v>0</v>
      </c>
      <c r="H15" s="239">
        <f>SUMPRODUCT(([1]Peta_Persatker!G2:G1510="KONTRAK")*([1]Peta_Persatker!T2:T1510="Dr. Sp. Bedah Plastik"))</f>
        <v>0</v>
      </c>
      <c r="I15" s="239">
        <f>SUMPRODUCT(([1]Peta_Persatker!G2:G1510="DOKTER TAMU")*([1]Peta_Persatker!T2:T1510="Dr. Sp. Bedah Plastik"))</f>
        <v>0</v>
      </c>
      <c r="J15" s="241">
        <f t="shared" si="0"/>
        <v>2</v>
      </c>
      <c r="K15" s="242"/>
      <c r="L15" s="242"/>
    </row>
    <row r="16" spans="2:12" x14ac:dyDescent="0.25">
      <c r="B16" s="239">
        <v>7</v>
      </c>
      <c r="C16" s="240" t="s">
        <v>771</v>
      </c>
      <c r="D16" s="239">
        <f>SUMPRODUCT(([1]Peta_Persatker!G2:G1510="PNS")*([1]Peta_Persatker!T2:T1510="Dr. Sp. Bedah Ortopedi"))</f>
        <v>1</v>
      </c>
      <c r="E16" s="239">
        <f>SUMPRODUCT(([1]Peta_Persatker!G2:G1510="CPNS")*([1]Peta_Persatker!T2:T1510="Dr. Sp. Bedah Ortopedi"))</f>
        <v>0</v>
      </c>
      <c r="F16" s="239">
        <f>SUMPRODUCT(([1]Peta_Persatker!G2:G1510="PPPK")*([1]Peta_Persatker!T2:T1510="Dr. Sp. Bedah Ortopedi"))</f>
        <v>0</v>
      </c>
      <c r="G16" s="239">
        <f>SUMPRODUCT(([1]Peta_Persatker!G2:G1510="BLU TETAP")*([1]Peta_Persatker!T2:T1510="Dr. Sp. Bedah Ortopedi"))</f>
        <v>0</v>
      </c>
      <c r="H16" s="239">
        <f>SUMPRODUCT(([1]Peta_Persatker!G2:G1510="KONTRAK")*([1]Peta_Persatker!T2:T1510="Dr. Sp. Bedah Ortopedi"))</f>
        <v>0</v>
      </c>
      <c r="I16" s="239">
        <f>SUMPRODUCT(([1]Peta_Persatker!G2:G1510="DOKTER TAMU")*([1]Peta_Persatker!T2:T1510="Dr. Sp. Bedah Ortopedi"))</f>
        <v>0</v>
      </c>
      <c r="J16" s="241">
        <f t="shared" si="0"/>
        <v>1</v>
      </c>
      <c r="K16" s="242"/>
      <c r="L16" s="242"/>
    </row>
    <row r="17" spans="2:12" x14ac:dyDescent="0.25">
      <c r="B17" s="239">
        <v>8</v>
      </c>
      <c r="C17" s="240" t="s">
        <v>925</v>
      </c>
      <c r="D17" s="239">
        <f>SUMPRODUCT(([1]Peta_Persatker!G2:G1510="PNS")*([1]Peta_Persatker!T2:T1510="Dr. Sp. Bedah Urologi"))</f>
        <v>1</v>
      </c>
      <c r="E17" s="239">
        <f>SUMPRODUCT(([1]Peta_Persatker!G2:G1510="CPNS")*([1]Peta_Persatker!T2:T1510="Dr. Sp. Bedah Urologi"))</f>
        <v>0</v>
      </c>
      <c r="F17" s="239">
        <f>SUMPRODUCT(([1]Peta_Persatker!G2:G1510="PPPK")*([1]Peta_Persatker!T2:T1510="Dr. Sp. Bedah Urologi"))</f>
        <v>0</v>
      </c>
      <c r="G17" s="239">
        <f>SUMPRODUCT(([1]Peta_Persatker!G2:G1510="BLU TETAP")*([1]Peta_Persatker!T2:T1510="Dr. Sp. Bedah Urologi"))</f>
        <v>0</v>
      </c>
      <c r="H17" s="239">
        <f>SUMPRODUCT(([1]Peta_Persatker!G2:G1510="KONTRAK")*([1]Peta_Persatker!T2:T1510="Dr. Sp. Bedah Urologi"))</f>
        <v>0</v>
      </c>
      <c r="I17" s="239">
        <f>SUMPRODUCT(([1]Peta_Persatker!G2:G1510="DOKTER TAMU")*([1]Peta_Persatker!T2:T1510="Dr. Sp. Bedah Urologi"))</f>
        <v>0</v>
      </c>
      <c r="J17" s="241">
        <f t="shared" si="0"/>
        <v>1</v>
      </c>
      <c r="K17" s="242"/>
      <c r="L17" s="242"/>
    </row>
    <row r="18" spans="2:12" x14ac:dyDescent="0.25">
      <c r="B18" s="239">
        <v>9</v>
      </c>
      <c r="C18" s="240" t="s">
        <v>497</v>
      </c>
      <c r="D18" s="239">
        <f>SUMPRODUCT(([1]Peta_Persatker!G2:G1510="PNS")*([1]Peta_Persatker!T2:T1510="Dr. Sp. Bedah Saraf"))</f>
        <v>1</v>
      </c>
      <c r="E18" s="239">
        <f>SUMPRODUCT(([1]Peta_Persatker!G2:G1510="CPNS")*([1]Peta_Persatker!T2:T1510="Dr. Sp. Bedah Saraf"))</f>
        <v>0</v>
      </c>
      <c r="F18" s="239">
        <f>SUMPRODUCT(([1]Peta_Persatker!G2:G1510="PPPK")*([1]Peta_Persatker!T2:T1510="Dr. Sp. Bedah Saraf"))</f>
        <v>0</v>
      </c>
      <c r="G18" s="239">
        <f>SUMPRODUCT(([1]Peta_Persatker!G2:G1510="BLU TETAP")*([1]Peta_Persatker!T2:T1510="Dr. Sp. Bedah Saraf"))</f>
        <v>0</v>
      </c>
      <c r="H18" s="239">
        <f>SUMPRODUCT(([1]Peta_Persatker!G2:G1510="KONTRAK")*([1]Peta_Persatker!T2:T1510="Dr. Sp. Bedah Saraf"))</f>
        <v>0</v>
      </c>
      <c r="I18" s="239">
        <f>SUMPRODUCT(([1]Peta_Persatker!G2:G1510="DOKTER TAMU")*([1]Peta_Persatker!T2:T1510="Dr. Sp. Bedah Saraf"))</f>
        <v>0</v>
      </c>
      <c r="J18" s="241">
        <f t="shared" si="0"/>
        <v>1</v>
      </c>
      <c r="K18" s="242"/>
      <c r="L18" s="242"/>
    </row>
    <row r="19" spans="2:12" x14ac:dyDescent="0.25">
      <c r="B19" s="239">
        <v>10</v>
      </c>
      <c r="C19" s="240" t="s">
        <v>624</v>
      </c>
      <c r="D19" s="239">
        <f>SUMPRODUCT(([1]Peta_Persatker!G3:G1510="PNS")*([1]Peta_Persatker!T3:T1510="dr. Sp. BTKV"))</f>
        <v>0</v>
      </c>
      <c r="E19" s="239">
        <f>SUMPRODUCT(([1]Peta_Persatker!G3:G1510="CPNS")*([1]Peta_Persatker!T3:T1510="dr. Sp. BTKV"))</f>
        <v>0</v>
      </c>
      <c r="F19" s="239">
        <f>SUMPRODUCT(([1]Peta_Persatker!G3:G1510="PPPK")*([1]Peta_Persatker!T3:T1510="dr. Sp. BTKV"))</f>
        <v>0</v>
      </c>
      <c r="G19" s="239">
        <f>SUMPRODUCT(([1]Peta_Persatker!G3:G1510="BLU TETAP")*([1]Peta_Persatker!T3:T1510="dr. Sp. BTKV"))</f>
        <v>0</v>
      </c>
      <c r="H19" s="239">
        <f>SUMPRODUCT(([1]Peta_Persatker!G3:G1510="KONTRAK")*([1]Peta_Persatker!T3:T1510="dr. Sp. BTKV"))</f>
        <v>0</v>
      </c>
      <c r="I19" s="239">
        <f>SUMPRODUCT(([1]Peta_Persatker!G3:G1510="DOKTER TAMU")*([1]Peta_Persatker!T3:T1510="dr. Sp. BTKV"))</f>
        <v>1</v>
      </c>
      <c r="J19" s="241">
        <f t="shared" si="0"/>
        <v>1</v>
      </c>
      <c r="K19" s="242"/>
      <c r="L19" s="242"/>
    </row>
    <row r="20" spans="2:12" x14ac:dyDescent="0.25">
      <c r="B20" s="239">
        <v>11</v>
      </c>
      <c r="C20" s="240" t="s">
        <v>696</v>
      </c>
      <c r="D20" s="239">
        <f>SUMPRODUCT(([1]Peta_Persatker!G2:G1510="PNS")*([1]Peta_Persatker!T2:T1510="Dr. Sp. JP"))</f>
        <v>0</v>
      </c>
      <c r="E20" s="239">
        <f>SUMPRODUCT(([1]Peta_Persatker!G2:G1510="CPNS")*([1]Peta_Persatker!T2:T1510="Dr. Sp. JP"))</f>
        <v>1</v>
      </c>
      <c r="F20" s="239">
        <f>SUMPRODUCT(([1]Peta_Persatker!G2:G1510="PPPK")*([1]Peta_Persatker!T2:T1510="Dr. Sp. JP"))</f>
        <v>0</v>
      </c>
      <c r="G20" s="239">
        <f>SUMPRODUCT(([1]Peta_Persatker!G2:G1510="BLU TETAP")*([1]Peta_Persatker!T2:T1510="Dr. Sp. JP"))</f>
        <v>0</v>
      </c>
      <c r="H20" s="239">
        <f>SUMPRODUCT(([1]Peta_Persatker!G2:G1510="KONTRAK")*([1]Peta_Persatker!T2:T1510="Dr. Sp. JP"))</f>
        <v>0</v>
      </c>
      <c r="I20" s="239">
        <f>SUMPRODUCT(([1]Peta_Persatker!G2:G1510="DOKTER TAMU")*([1]Peta_Persatker!T2:T1510="Dr. Sp. JP"))</f>
        <v>1</v>
      </c>
      <c r="J20" s="241">
        <f t="shared" si="0"/>
        <v>2</v>
      </c>
      <c r="K20" s="242"/>
      <c r="L20" s="242"/>
    </row>
    <row r="21" spans="2:12" x14ac:dyDescent="0.25">
      <c r="B21" s="239">
        <v>12</v>
      </c>
      <c r="C21" s="240" t="s">
        <v>707</v>
      </c>
      <c r="D21" s="239">
        <f>SUMPRODUCT(([1]Peta_Persatker!G2:G1510="PNS")*([1]Peta_Persatker!T2:T1510="Dr. Sp. Kedokteran Jiwa"))</f>
        <v>1</v>
      </c>
      <c r="E21" s="239">
        <f>SUMPRODUCT(([1]Peta_Persatker!G2:G1510="CPNS")*([1]Peta_Persatker!T2:T1510="Dr. Sp. Kedokteran Jiwa"))</f>
        <v>0</v>
      </c>
      <c r="F21" s="239">
        <f>SUMPRODUCT(([1]Peta_Persatker!G2:G1510="PPPK")*([1]Peta_Persatker!T2:T1510="Dr. Sp. Kedokteran Jiwa"))</f>
        <v>0</v>
      </c>
      <c r="G21" s="239">
        <f>SUMPRODUCT(([1]Peta_Persatker!G2:G1510="BLU TETAP")*([1]Peta_Persatker!T2:T1510="Dr. Sp. Kedokteran Jiwa"))</f>
        <v>0</v>
      </c>
      <c r="H21" s="239">
        <f>SUMPRODUCT(([1]Peta_Persatker!G2:G1510="KONTRAK")*([1]Peta_Persatker!T2:T1510="Dr. Sp. Kedokteran Jiwa"))</f>
        <v>0</v>
      </c>
      <c r="I21" s="239">
        <f>SUMPRODUCT(([1]Peta_Persatker!G2:G1510="DOKTER TAMU")*([1]Peta_Persatker!T2:T1510="Dr. Sp. Kedokteran Jiwa"))</f>
        <v>0</v>
      </c>
      <c r="J21" s="241">
        <f t="shared" si="0"/>
        <v>1</v>
      </c>
      <c r="K21" s="242"/>
      <c r="L21" s="242"/>
    </row>
    <row r="22" spans="2:12" x14ac:dyDescent="0.25">
      <c r="B22" s="239">
        <v>13</v>
      </c>
      <c r="C22" s="240" t="s">
        <v>392</v>
      </c>
      <c r="D22" s="239">
        <f>SUMPRODUCT(([1]Peta_Persatker!G2:G1510="PNS")*([1]Peta_Persatker!T2:T1510="Dr. Sp. Kulit dan Kelamin"))</f>
        <v>2</v>
      </c>
      <c r="E22" s="239">
        <f>SUMPRODUCT(([1]Peta_Persatker!G2:G1510="CPNS")*([1]Peta_Persatker!T2:T1510="Dr. Sp. Kulit dan Kelamin"))</f>
        <v>0</v>
      </c>
      <c r="F22" s="239">
        <f>SUMPRODUCT(([1]Peta_Persatker!G2:G1510="PPPK")*([1]Peta_Persatker!T2:T1510="Dr. Sp. Kulit dan Kelamin"))</f>
        <v>0</v>
      </c>
      <c r="G22" s="239">
        <f>SUMPRODUCT(([1]Peta_Persatker!G2:G1510="BLU TETAP")*([1]Peta_Persatker!T2:T1510="Dr. Sp. Kulit dan Kelamin"))</f>
        <v>0</v>
      </c>
      <c r="H22" s="239">
        <f>SUMPRODUCT(([1]Peta_Persatker!G2:G1510="KONTRAK")*([1]Peta_Persatker!T2:T1510="Dr. Sp. Kulit dan Kelamin"))</f>
        <v>0</v>
      </c>
      <c r="I22" s="239">
        <f>SUMPRODUCT(([1]Peta_Persatker!G2:G1510="DOKTER TAMU")*([1]Peta_Persatker!T2:T1510="Dr. Sp. Kulit dan Kelamin"))</f>
        <v>0</v>
      </c>
      <c r="J22" s="241">
        <f t="shared" si="0"/>
        <v>2</v>
      </c>
      <c r="K22" s="242"/>
      <c r="L22" s="242"/>
    </row>
    <row r="23" spans="2:12" x14ac:dyDescent="0.25">
      <c r="B23" s="239">
        <v>14</v>
      </c>
      <c r="C23" s="240" t="s">
        <v>403</v>
      </c>
      <c r="D23" s="239">
        <f>SUMPRODUCT(([1]Peta_Persatker!G2:G1510="PNS")*([1]Peta_Persatker!T2:T1510="Dr. Sp. Mata"))</f>
        <v>3</v>
      </c>
      <c r="E23" s="239">
        <f>SUMPRODUCT(([1]Peta_Persatker!G2:G1510="CPNS")*([1]Peta_Persatker!T2:T1510="Dr. Sp. Mata"))</f>
        <v>1</v>
      </c>
      <c r="F23" s="239">
        <f>SUMPRODUCT(([1]Peta_Persatker!G2:G1510="PPPK")*([1]Peta_Persatker!T2:T1510="Dr. Sp. Mata"))</f>
        <v>1</v>
      </c>
      <c r="G23" s="239">
        <f>SUMPRODUCT(([1]Peta_Persatker!G2:G1510="BLU TETAP")*([1]Peta_Persatker!T2:T1510="Dr. Sp. Mata"))</f>
        <v>0</v>
      </c>
      <c r="H23" s="239">
        <f>SUMPRODUCT(([1]Peta_Persatker!G2:G1510="KONTRAK")*([1]Peta_Persatker!T2:T1510="Dr. Sp. Mata"))</f>
        <v>0</v>
      </c>
      <c r="I23" s="239">
        <f>SUMPRODUCT(([1]Peta_Persatker!G2:G1510="DOKTER TAMU")*([1]Peta_Persatker!T2:T1510="Dr. Sp. Mata"))</f>
        <v>0</v>
      </c>
      <c r="J23" s="241">
        <f t="shared" si="0"/>
        <v>5</v>
      </c>
      <c r="K23" s="242"/>
      <c r="L23" s="242"/>
    </row>
    <row r="24" spans="2:12" x14ac:dyDescent="0.25">
      <c r="B24" s="239">
        <v>15</v>
      </c>
      <c r="C24" s="240" t="s">
        <v>746</v>
      </c>
      <c r="D24" s="239">
        <f>SUMPRODUCT(([1]Peta_Persatker!G2:G1510="PNS")*([1]Peta_Persatker!T2:T1510="Dr. Sp. Obsgin"))</f>
        <v>2</v>
      </c>
      <c r="E24" s="239">
        <f>SUMPRODUCT(([1]Peta_Persatker!G2:G1510="CPNS")*([1]Peta_Persatker!T2:T1510="Dr. Sp. Obsgin"))</f>
        <v>0</v>
      </c>
      <c r="F24" s="239">
        <f>SUMPRODUCT(([1]Peta_Persatker!G2:G1510="PPPK")*([1]Peta_Persatker!T2:T1510="Dr. Sp. Obsgin"))</f>
        <v>1</v>
      </c>
      <c r="G24" s="239">
        <f>SUMPRODUCT(([1]Peta_Persatker!G2:G1510="BLU TETAP")*([1]Peta_Persatker!T2:T1510="Dr. Sp. Obsgin"))</f>
        <v>0</v>
      </c>
      <c r="H24" s="239">
        <f>SUMPRODUCT(([1]Peta_Persatker!G2:G1510="KONTRAK")*([1]Peta_Persatker!T2:T1510="Dr. Sp. Obsgin"))</f>
        <v>0</v>
      </c>
      <c r="I24" s="239">
        <f>SUMPRODUCT(([1]Peta_Persatker!G2:G1510="DOKTER TAMU")*([1]Peta_Persatker!T2:T1510="Dr. Sp. Obsgin"))</f>
        <v>0</v>
      </c>
      <c r="J24" s="241">
        <f t="shared" si="0"/>
        <v>3</v>
      </c>
      <c r="K24" s="242"/>
      <c r="L24" s="242"/>
    </row>
    <row r="25" spans="2:12" x14ac:dyDescent="0.25">
      <c r="B25" s="239">
        <v>16</v>
      </c>
      <c r="C25" s="240" t="s">
        <v>5417</v>
      </c>
      <c r="D25" s="239">
        <f>SUMPRODUCT(([1]Peta_Persatker!G2:G1510="PNS")*([1]Peta_Persatker!T2:T1510="Dr. Sp. Paru"))</f>
        <v>0</v>
      </c>
      <c r="E25" s="239">
        <f>SUMPRODUCT(([1]Peta_Persatker!G2:G1510="CPNS")*([1]Peta_Persatker!T2:T1510="Dr. Sp. Paru"))</f>
        <v>0</v>
      </c>
      <c r="F25" s="239">
        <f>SUMPRODUCT(([1]Peta_Persatker!G2:G1510="PPPK")*([1]Peta_Persatker!T2:T1510="Dr. Sp. Paru"))</f>
        <v>0</v>
      </c>
      <c r="G25" s="239">
        <f>SUMPRODUCT(([1]Peta_Persatker!G2:G1510="BLU TETAP")*([1]Peta_Persatker!T2:T1510="Dr. Sp. Paru"))</f>
        <v>0</v>
      </c>
      <c r="H25" s="239">
        <f>SUMPRODUCT(([1]Peta_Persatker!G2:G1510="KONTRAK")*([1]Peta_Persatker!T2:T1510="Dr. Sp. Paru"))</f>
        <v>0</v>
      </c>
      <c r="I25" s="239">
        <f>SUMPRODUCT(([1]Peta_Persatker!G2:G1510="DOKTER TAMU")*([1]Peta_Persatker!T2:T1510="Dr. Sp. Paru"))</f>
        <v>0</v>
      </c>
      <c r="J25" s="241">
        <f t="shared" si="0"/>
        <v>0</v>
      </c>
      <c r="K25" s="242"/>
      <c r="L25" s="242"/>
    </row>
    <row r="26" spans="2:12" x14ac:dyDescent="0.25">
      <c r="B26" s="239">
        <v>17</v>
      </c>
      <c r="C26" s="240" t="s">
        <v>793</v>
      </c>
      <c r="D26" s="239">
        <f>SUMPRODUCT(([1]Peta_Persatker!G2:G1510="PNS")*([1]Peta_Persatker!T2:T1510="Dr. Sp. Patologi Klinik"))</f>
        <v>2</v>
      </c>
      <c r="E26" s="239">
        <f>SUMPRODUCT(([1]Peta_Persatker!G2:G1510="CPNS")*([1]Peta_Persatker!T2:T1510="Dr. Sp. Patologi Klinik"))</f>
        <v>1</v>
      </c>
      <c r="F26" s="239">
        <f>SUMPRODUCT(([1]Peta_Persatker!G2:G1510="PPPK")*([1]Peta_Persatker!T2:T1510="Dr. Sp. Patologi Klinik"))</f>
        <v>0</v>
      </c>
      <c r="G26" s="239">
        <f>SUMPRODUCT(([1]Peta_Persatker!G2:G1510="BLU TETAP")*([1]Peta_Persatker!T2:T1510="Dr. Sp. Patologi Klinik"))</f>
        <v>0</v>
      </c>
      <c r="H26" s="239">
        <f>SUMPRODUCT(([1]Peta_Persatker!G2:G1510="KONTRAK")*([1]Peta_Persatker!T2:T1510="Dr. Sp. Patologi Klinik"))</f>
        <v>0</v>
      </c>
      <c r="I26" s="239">
        <f>SUMPRODUCT(([1]Peta_Persatker!G2:G1510="DOKTER TAMU")*([1]Peta_Persatker!T2:T1510="Dr. Sp. Patologi Klinik"))</f>
        <v>0</v>
      </c>
      <c r="J26" s="241">
        <f t="shared" si="0"/>
        <v>3</v>
      </c>
      <c r="K26" s="242"/>
      <c r="L26" s="242"/>
    </row>
    <row r="27" spans="2:12" x14ac:dyDescent="0.25">
      <c r="B27" s="239">
        <v>18</v>
      </c>
      <c r="C27" s="240" t="s">
        <v>427</v>
      </c>
      <c r="D27" s="239">
        <f>SUMPRODUCT(([1]Peta_Persatker!G2:G1510="PNS")*([1]Peta_Persatker!T2:T1510="Dr. Sp. Patologi Anatomi"))</f>
        <v>1</v>
      </c>
      <c r="E27" s="239">
        <f>SUMPRODUCT(([1]Peta_Persatker!G2:G1510="CPNS")*([1]Peta_Persatker!T2:T1510="Dr. Sp. Patologi Anatomi"))</f>
        <v>0</v>
      </c>
      <c r="F27" s="239">
        <f>SUMPRODUCT(([1]Peta_Persatker!G2:G1510="PPPK")*([1]Peta_Persatker!T2:T1510="Dr. Sp. Patologi Anatomi"))</f>
        <v>1</v>
      </c>
      <c r="G27" s="239">
        <f>SUMPRODUCT(([1]Peta_Persatker!G2:G1510="BLU TETAP")*([1]Peta_Persatker!T2:T1510="Dr. Sp. Patologi Anatomi"))</f>
        <v>0</v>
      </c>
      <c r="H27" s="239">
        <f>SUMPRODUCT(([1]Peta_Persatker!G2:G1510="KONTRAK")*([1]Peta_Persatker!T2:T1510="Dr. Sp. Patologi Anatomi"))</f>
        <v>0</v>
      </c>
      <c r="I27" s="239">
        <f>SUMPRODUCT(([1]Peta_Persatker!G2:G1510="DOKTER TAMU")*([1]Peta_Persatker!T2:T1510="Dr. Sp. Patologi Anatomi"))</f>
        <v>0</v>
      </c>
      <c r="J27" s="241">
        <f t="shared" si="0"/>
        <v>2</v>
      </c>
      <c r="K27" s="242"/>
      <c r="L27" s="242"/>
    </row>
    <row r="28" spans="2:12" x14ac:dyDescent="0.25">
      <c r="B28" s="239">
        <v>19</v>
      </c>
      <c r="C28" s="240" t="s">
        <v>816</v>
      </c>
      <c r="D28" s="239">
        <f>SUMPRODUCT(([1]Peta_Persatker!G2:G1510="PNS")*([1]Peta_Persatker!T2:T1510="Dr. Sp. Penyakit Dalam"))</f>
        <v>4</v>
      </c>
      <c r="E28" s="239">
        <f>SUMPRODUCT(([1]Peta_Persatker!G2:G1510="CPNS")*([1]Peta_Persatker!T2:T1510="Dr. Sp. Penyakit Dalam"))</f>
        <v>1</v>
      </c>
      <c r="F28" s="239">
        <f>SUMPRODUCT(([1]Peta_Persatker!G2:G1510="PPPK")*([1]Peta_Persatker!T2:T1510="Dr. Sp. Penyakit Dalam"))</f>
        <v>1</v>
      </c>
      <c r="G28" s="239">
        <f>SUMPRODUCT(([1]Peta_Persatker!G2:G1510="BLU TETAP")*([1]Peta_Persatker!T2:T1510="Dr. Sp. Penyakit Dalam"))</f>
        <v>0</v>
      </c>
      <c r="H28" s="239">
        <f>SUMPRODUCT(([1]Peta_Persatker!G2:G1510="KONTRAK")*([1]Peta_Persatker!T2:T1510="Dr. Sp. Penyakit Dalam"))</f>
        <v>0</v>
      </c>
      <c r="I28" s="239">
        <f>SUMPRODUCT(([1]Peta_Persatker!G2:G1510="DOKTER TAMU")*([1]Peta_Persatker!T2:T1510="Dr. Sp. Penyakit Dalam"))</f>
        <v>0</v>
      </c>
      <c r="J28" s="241">
        <f t="shared" si="0"/>
        <v>6</v>
      </c>
      <c r="K28" s="242"/>
      <c r="L28" s="242"/>
    </row>
    <row r="29" spans="2:12" x14ac:dyDescent="0.25">
      <c r="B29" s="239">
        <v>20</v>
      </c>
      <c r="C29" s="240" t="s">
        <v>398</v>
      </c>
      <c r="D29" s="239">
        <f>SUMPRODUCT(([1]Peta_Persatker!G2:G1510="PNS")*([1]Peta_Persatker!T2:T1510="Dr. Sp. Radiologi"))</f>
        <v>3</v>
      </c>
      <c r="E29" s="239">
        <f>SUMPRODUCT(([1]Peta_Persatker!G2:G1510="CPNS")*([1]Peta_Persatker!T2:T1510="Dr. Sp. Radiologi"))</f>
        <v>0</v>
      </c>
      <c r="F29" s="239">
        <f>SUMPRODUCT(([1]Peta_Persatker!G2:G1510="PPPK")*([1]Peta_Persatker!T2:T1510="Dr. Sp. Radiologi"))</f>
        <v>0</v>
      </c>
      <c r="G29" s="239">
        <f>SUMPRODUCT(([1]Peta_Persatker!G2:G1510="BLU TETAP")*([1]Peta_Persatker!T2:T1510="Dr. Sp. Radiologi"))</f>
        <v>0</v>
      </c>
      <c r="H29" s="239">
        <f>SUMPRODUCT(([1]Peta_Persatker!G2:G1510="KONTRAK")*([1]Peta_Persatker!T2:T1510="Dr. Sp. Radiologi"))</f>
        <v>0</v>
      </c>
      <c r="I29" s="239">
        <f>SUMPRODUCT(([1]Peta_Persatker!G2:G1510="DOKTER TAMU")*([1]Peta_Persatker!T2:T1510="Dr. Sp. Radiologi"))</f>
        <v>1</v>
      </c>
      <c r="J29" s="241">
        <f t="shared" si="0"/>
        <v>4</v>
      </c>
      <c r="K29" s="242"/>
      <c r="L29" s="242"/>
    </row>
    <row r="30" spans="2:12" x14ac:dyDescent="0.25">
      <c r="B30" s="239">
        <v>21</v>
      </c>
      <c r="C30" s="240" t="s">
        <v>445</v>
      </c>
      <c r="D30" s="239">
        <f>SUMPRODUCT(([1]Peta_Persatker!G2:G1510="PNS")*([1]Peta_Persatker!T2:T1510="Dr. Sp. Saraf"))</f>
        <v>3</v>
      </c>
      <c r="E30" s="239">
        <f>SUMPRODUCT(([1]Peta_Persatker!G2:G1510="CPNS")*([1]Peta_Persatker!T2:T1510="Dr. Sp. Saraf"))</f>
        <v>1</v>
      </c>
      <c r="F30" s="239">
        <f>SUMPRODUCT(([1]Peta_Persatker!G2:G1510="PPPK")*([1]Peta_Persatker!T2:T1510="Dr. Sp. Saraf"))</f>
        <v>0</v>
      </c>
      <c r="G30" s="239">
        <f>SUMPRODUCT(([1]Peta_Persatker!G2:G1510="BLU TETAP")*([1]Peta_Persatker!T2:T1510="Dr. Sp. Saraf"))</f>
        <v>1</v>
      </c>
      <c r="H30" s="239">
        <f>SUMPRODUCT(([1]Peta_Persatker!G2:G1510="KONTRAK")*([1]Peta_Persatker!T2:T1510="Dr. Sp. Saraf"))</f>
        <v>0</v>
      </c>
      <c r="I30" s="239">
        <f>SUMPRODUCT(([1]Peta_Persatker!G2:G1510="DOKTER TAMU")*([1]Peta_Persatker!T2:T1510="Dr. Sp. Saraf"))</f>
        <v>0</v>
      </c>
      <c r="J30" s="241">
        <f t="shared" si="0"/>
        <v>5</v>
      </c>
      <c r="K30" s="242"/>
      <c r="L30" s="242"/>
    </row>
    <row r="31" spans="2:12" x14ac:dyDescent="0.25">
      <c r="B31" s="239">
        <v>22</v>
      </c>
      <c r="C31" s="240" t="s">
        <v>506</v>
      </c>
      <c r="D31" s="239">
        <f>SUMPRODUCT(([1]Peta_Persatker!G2:G1510="PNS")*([1]Peta_Persatker!T2:T1510="Dr. Sp. KFR"))</f>
        <v>1</v>
      </c>
      <c r="E31" s="239">
        <f>SUMPRODUCT(([1]Peta_Persatker!G2:G1510="CPNS")*([1]Peta_Persatker!T2:T1510="Dr. Sp. KFR"))</f>
        <v>0</v>
      </c>
      <c r="F31" s="239">
        <f>SUMPRODUCT(([1]Peta_Persatker!G2:G1510="PPPK")*([1]Peta_Persatker!T2:T1510="Dr. Sp. KFR"))</f>
        <v>1</v>
      </c>
      <c r="G31" s="239">
        <f>SUMPRODUCT(([1]Peta_Persatker!G2:G1510="BLU TETAP")*([1]Peta_Persatker!T2:T1510="Dr. Sp. KFR"))</f>
        <v>0</v>
      </c>
      <c r="H31" s="239">
        <f>SUMPRODUCT(([1]Peta_Persatker!G2:G1510="KONTRAK")*([1]Peta_Persatker!T2:T1510="Dr. Sp. KFR"))</f>
        <v>0</v>
      </c>
      <c r="I31" s="239">
        <f>SUMPRODUCT(([1]Peta_Persatker!G2:G1510="DOKTER TAMU")*([1]Peta_Persatker!T2:T1510="Dr. Sp. KFR"))</f>
        <v>0</v>
      </c>
      <c r="J31" s="241">
        <f t="shared" si="0"/>
        <v>2</v>
      </c>
      <c r="K31" s="242"/>
      <c r="L31" s="242"/>
    </row>
    <row r="32" spans="2:12" x14ac:dyDescent="0.25">
      <c r="B32" s="239">
        <v>23</v>
      </c>
      <c r="C32" s="240" t="s">
        <v>453</v>
      </c>
      <c r="D32" s="239">
        <f>SUMPRODUCT(([1]Peta_Persatker!G2:G1510="PNS")*([1]Peta_Persatker!T2:T1510="Dr. Sp. THT"))</f>
        <v>3</v>
      </c>
      <c r="E32" s="239">
        <f>SUMPRODUCT(([1]Peta_Persatker!G2:G1510="CPNS")*([1]Peta_Persatker!T2:T1510="Dr. Sp. THT"))</f>
        <v>0</v>
      </c>
      <c r="F32" s="239">
        <f>SUMPRODUCT(([1]Peta_Persatker!G2:G1510="PPPK")*([1]Peta_Persatker!T2:T1510="Dr. Sp. THT"))</f>
        <v>0</v>
      </c>
      <c r="G32" s="239">
        <f>SUMPRODUCT(([1]Peta_Persatker!G2:G1510="BLU TETAP")*([1]Peta_Persatker!T2:T1510="Dr. Sp. THT"))</f>
        <v>0</v>
      </c>
      <c r="H32" s="239">
        <f>SUMPRODUCT(([1]Peta_Persatker!G2:G1510="KONTRAK")*([1]Peta_Persatker!T2:T1510="Dr. Sp. THT"))</f>
        <v>0</v>
      </c>
      <c r="I32" s="239">
        <f>SUMPRODUCT(([1]Peta_Persatker!G2:G1510="DOKTER TAMU")*([1]Peta_Persatker!T2:T1510="Dr. Sp. THT"))</f>
        <v>0</v>
      </c>
      <c r="J32" s="241">
        <f t="shared" si="0"/>
        <v>3</v>
      </c>
      <c r="K32" s="242"/>
      <c r="L32" s="242"/>
    </row>
    <row r="33" spans="2:12" x14ac:dyDescent="0.25">
      <c r="B33" s="239">
        <v>24</v>
      </c>
      <c r="C33" s="240" t="s">
        <v>480</v>
      </c>
      <c r="D33" s="239">
        <f>SUMPRODUCT(([1]Peta_Persatker!G2:G1510="PNS")*([1]Peta_Persatker!T2:T1510="Dr. Sp. Mikrobiologi Klinik"))</f>
        <v>0</v>
      </c>
      <c r="E33" s="239">
        <f>SUMPRODUCT(([1]Peta_Persatker!G2:G1510="CPNS")*([1]Peta_Persatker!T2:T1510="Dr. Sp. Mikrobiologi Klinik"))</f>
        <v>1</v>
      </c>
      <c r="F33" s="239">
        <f>SUMPRODUCT(([1]Peta_Persatker!G2:G1510="PPPK")*([1]Peta_Persatker!T2:T1510="Dr. Sp. Mikrobiologi Klinik"))</f>
        <v>1</v>
      </c>
      <c r="G33" s="239">
        <f>SUMPRODUCT(([1]Peta_Persatker!G2:G1510="BLU TETAP")*([1]Peta_Persatker!T2:T1510="Dr. Sp. Mikrobiologi Klinik"))</f>
        <v>0</v>
      </c>
      <c r="H33" s="239">
        <f>SUMPRODUCT(([1]Peta_Persatker!G2:G1510="KONTRAK")*([1]Peta_Persatker!T2:T1510="Dr. Sp. Mikrobiologi Klinik"))</f>
        <v>0</v>
      </c>
      <c r="I33" s="239">
        <f>SUMPRODUCT(([1]Peta_Persatker!G2:G1510="DOKTER TAMU")*([1]Peta_Persatker!T2:T1510="Dr. Sp. Mikrobiologi Klinik"))</f>
        <v>0</v>
      </c>
      <c r="J33" s="241">
        <f t="shared" si="0"/>
        <v>2</v>
      </c>
      <c r="K33" s="242"/>
      <c r="L33" s="242"/>
    </row>
    <row r="34" spans="2:12" x14ac:dyDescent="0.25">
      <c r="B34" s="239">
        <v>25</v>
      </c>
      <c r="C34" s="240" t="s">
        <v>461</v>
      </c>
      <c r="D34" s="239">
        <f>SUMPRODUCT(([1]Peta_Persatker!G2:G1510="PNS")*([1]Peta_Persatker!T2:T1510="Dr. Sp. Forensik"))</f>
        <v>1</v>
      </c>
      <c r="E34" s="239">
        <f>SUMPRODUCT(([1]Peta_Persatker!G2:G1510="CPNS")*([1]Peta_Persatker!T2:T1510="Dr. Sp. Forensik"))</f>
        <v>0</v>
      </c>
      <c r="F34" s="239">
        <f>SUMPRODUCT(([1]Peta_Persatker!G2:G1510="PPPK")*([1]Peta_Persatker!T2:T1510="Dr. Sp. Forensik"))</f>
        <v>0</v>
      </c>
      <c r="G34" s="239">
        <f>SUMPRODUCT(([1]Peta_Persatker!G2:G1510="BLU TETAP")*([1]Peta_Persatker!T2:T1510="Dr. Sp. Forensik"))</f>
        <v>0</v>
      </c>
      <c r="H34" s="239">
        <f>SUMPRODUCT(([1]Peta_Persatker!G2:G1510="KONTRAK")*([1]Peta_Persatker!T2:T1510="Dr. Sp. Forensik"))</f>
        <v>0</v>
      </c>
      <c r="I34" s="239">
        <f>SUMPRODUCT(([1]Peta_Persatker!G2:G1510="DOKTER TAMU")*([1]Peta_Persatker!T2:T1510="Dr. Sp. Forensik"))</f>
        <v>0</v>
      </c>
      <c r="J34" s="241">
        <f t="shared" si="0"/>
        <v>1</v>
      </c>
      <c r="K34" s="242"/>
      <c r="L34" s="242"/>
    </row>
    <row r="35" spans="2:12" x14ac:dyDescent="0.25">
      <c r="B35" s="239">
        <v>26</v>
      </c>
      <c r="C35" s="240" t="s">
        <v>5418</v>
      </c>
      <c r="D35" s="239">
        <f>SUMPRODUCT(([1]Peta_Persatker!G2:G1510="PNS")*([1]Peta_Persatker!T2:T1510="dr. Sp. F, PFM"))</f>
        <v>0</v>
      </c>
      <c r="E35" s="239">
        <f>SUMPRODUCT(([1]Peta_Persatker!G2:G1510="CPNS")*([1]Peta_Persatker!T2:T1510="dr. Sp. F, PFM"))</f>
        <v>0</v>
      </c>
      <c r="F35" s="239">
        <f>SUMPRODUCT(([1]Peta_Persatker!G2:G1510="PPPK")*([1]Peta_Persatker!T2:T1510="dr. Sp. F, PFM"))</f>
        <v>0</v>
      </c>
      <c r="G35" s="239">
        <f>SUMPRODUCT(([1]Peta_Persatker!G2:G1510="BLU TETAP")*([1]Peta_Persatker!T2:T1510="dr. Sp. F, PFM"))</f>
        <v>0</v>
      </c>
      <c r="H35" s="239">
        <f>SUMPRODUCT(([1]Peta_Persatker!G2:G1510="KONTRAK")*([1]Peta_Persatker!T2:T1510="dr. Sp. F, PFM"))</f>
        <v>0</v>
      </c>
      <c r="I35" s="239">
        <f>SUMPRODUCT(([1]Peta_Persatker!G2:G1510="DOKTER TAMU")*([1]Peta_Persatker!T2:T1510="dr. Sp. F, PFM"))</f>
        <v>0</v>
      </c>
      <c r="J35" s="241">
        <f t="shared" si="0"/>
        <v>0</v>
      </c>
      <c r="K35" s="242"/>
      <c r="L35" s="242"/>
    </row>
    <row r="36" spans="2:12" x14ac:dyDescent="0.25">
      <c r="B36" s="239">
        <v>27</v>
      </c>
      <c r="C36" s="240" t="s">
        <v>841</v>
      </c>
      <c r="D36" s="239">
        <f>SUMPRODUCT(([1]Peta_Persatker!G2:G1510="PNS")*([1]Peta_Persatker!T2:T1510="Dr. Sp. Gizi Klinis"))</f>
        <v>1</v>
      </c>
      <c r="E36" s="239">
        <f>SUMPRODUCT(([1]Peta_Persatker!G2:G1510="CPNS")*([1]Peta_Persatker!T2:T1510="Dr. Sp. Gizi Klinis"))</f>
        <v>0</v>
      </c>
      <c r="F36" s="239">
        <f>SUMPRODUCT(([1]Peta_Persatker!G2:G1510="PPPK")*([1]Peta_Persatker!T2:T1510="Dr. Sp. Gizi Klinis"))</f>
        <v>0</v>
      </c>
      <c r="G36" s="239">
        <f>SUMPRODUCT(([1]Peta_Persatker!G2:G1510="BLU TETAP")*([1]Peta_Persatker!T2:T1510="Dr. Sp. Gizi Klinis"))</f>
        <v>0</v>
      </c>
      <c r="H36" s="239">
        <f>SUMPRODUCT(([1]Peta_Persatker!G2:G1510="KONTRAK")*([1]Peta_Persatker!T2:T1510="Dr. Sp. Gizi Klinis"))</f>
        <v>0</v>
      </c>
      <c r="I36" s="239">
        <f>SUMPRODUCT(([1]Peta_Persatker!G2:G1510="DOKTER TAMU")*([1]Peta_Persatker!T2:T1510="Dr. Sp. Gizi Klinis"))</f>
        <v>0</v>
      </c>
      <c r="J36" s="241">
        <f t="shared" si="0"/>
        <v>1</v>
      </c>
      <c r="K36" s="242"/>
      <c r="L36" s="242"/>
    </row>
    <row r="37" spans="2:12" s="238" customFormat="1" x14ac:dyDescent="0.25">
      <c r="B37" s="233"/>
      <c r="C37" s="234" t="s">
        <v>5419</v>
      </c>
      <c r="D37" s="235"/>
      <c r="E37" s="235"/>
      <c r="F37" s="235"/>
      <c r="G37" s="235"/>
      <c r="H37" s="235"/>
      <c r="I37" s="235"/>
      <c r="J37" s="235"/>
      <c r="K37" s="243"/>
      <c r="L37" s="243"/>
    </row>
    <row r="38" spans="2:12" x14ac:dyDescent="0.25">
      <c r="B38" s="239">
        <v>28</v>
      </c>
      <c r="C38" s="240" t="s">
        <v>5420</v>
      </c>
      <c r="D38" s="239">
        <f>SUMPRODUCT(([1]Peta_Persatker!G2:G1510="PNS")*([1]Peta_Persatker!T2:T1510="Drg. Sp. Pedodontik"))</f>
        <v>0</v>
      </c>
      <c r="E38" s="239">
        <f>SUMPRODUCT(([1]Peta_Persatker!G2:G1510="CPNS")*([1]Peta_Persatker!T2:T1510="Drg. Sp. Pedodontik"))</f>
        <v>0</v>
      </c>
      <c r="F38" s="239">
        <f>SUMPRODUCT(([1]Peta_Persatker!G2:G1510="PPPK")*([1]Peta_Persatker!T2:T1510="Drg. Sp. Pedodontik"))</f>
        <v>0</v>
      </c>
      <c r="G38" s="239">
        <f>SUMPRODUCT(([1]Peta_Persatker!G2:G1510="BLU TETAP")*([1]Peta_Persatker!T2:T1510="Drg. Sp. Pedodontik"))</f>
        <v>0</v>
      </c>
      <c r="H38" s="239">
        <f>SUMPRODUCT(([1]Peta_Persatker!G2:G1510="KONTRAK")*([1]Peta_Persatker!T2:T1510="Drg. Sp. Pedodontik"))</f>
        <v>0</v>
      </c>
      <c r="I38" s="239">
        <f>SUMPRODUCT(([1]Peta_Persatker!G2:G1510="DOKTER TAMU")*([1]Peta_Persatker!T2:T1510="Drg. Sp. Pedodontik"))</f>
        <v>0</v>
      </c>
      <c r="J38" s="241">
        <f>SUM(D38:I38)</f>
        <v>0</v>
      </c>
      <c r="K38" s="242"/>
      <c r="L38" s="242"/>
    </row>
    <row r="39" spans="2:12" x14ac:dyDescent="0.25">
      <c r="B39" s="239">
        <v>29</v>
      </c>
      <c r="C39" s="240" t="s">
        <v>364</v>
      </c>
      <c r="D39" s="239">
        <f>SUMPRODUCT(([1]Peta_Persatker!G2:G1510="PNS")*([1]Peta_Persatker!T2:T1510="Drg. Sp. KG"))</f>
        <v>1</v>
      </c>
      <c r="E39" s="239">
        <f>SUMPRODUCT(([1]Peta_Persatker!G2:G1510="CPNS")*([1]Peta_Persatker!T2:T1510="Drg. Sp. KG"))</f>
        <v>0</v>
      </c>
      <c r="F39" s="239">
        <f>SUMPRODUCT(([1]Peta_Persatker!G2:G1510="PPPK")*([1]Peta_Persatker!T2:T1510="Drg. Sp. KG"))</f>
        <v>0</v>
      </c>
      <c r="G39" s="239">
        <f>SUMPRODUCT(([1]Peta_Persatker!G2:G1510="BLU TETAP")*([1]Peta_Persatker!T2:T1510="Drg. Sp. KG"))</f>
        <v>0</v>
      </c>
      <c r="H39" s="239">
        <f>SUMPRODUCT(([1]Peta_Persatker!G2:G1510="KONTRAK")*([1]Peta_Persatker!T2:T1510="Drg. Sp. KG"))</f>
        <v>0</v>
      </c>
      <c r="I39" s="239">
        <f>SUMPRODUCT(([1]Peta_Persatker!G2:G1510="DOKTER TAMU")*([1]Peta_Persatker!T2:T1510="Drg. Sp. KG"))</f>
        <v>0</v>
      </c>
      <c r="J39" s="241">
        <f>SUM(D39:I39)</f>
        <v>1</v>
      </c>
      <c r="K39" s="242"/>
      <c r="L39" s="242"/>
    </row>
    <row r="40" spans="2:12" x14ac:dyDescent="0.25">
      <c r="B40" s="239">
        <v>30</v>
      </c>
      <c r="C40" s="240" t="s">
        <v>5421</v>
      </c>
      <c r="D40" s="239">
        <f>SUMPRODUCT(([1]Peta_Persatker!G2:G1510="PNS")*([1]Peta_Persatker!T2:T1510="Drg. Sp. Periodonsia"))</f>
        <v>0</v>
      </c>
      <c r="E40" s="239">
        <f>SUMPRODUCT(([1]Peta_Persatker!G2:G1510="CPNS")*([1]Peta_Persatker!T2:T1510="Drg. Sp. Periodonsia"))</f>
        <v>0</v>
      </c>
      <c r="F40" s="239">
        <f>SUMPRODUCT(([1]Peta_Persatker!G2:G1510="PPPK")*([1]Peta_Persatker!T2:T1510="Drg. Sp. Periodonsia"))</f>
        <v>0</v>
      </c>
      <c r="G40" s="239">
        <f>SUMPRODUCT(([1]Peta_Persatker!G2:G1510="BLU TETAP")*([1]Peta_Persatker!T2:T1510="Drg. Sp. Periodonsia"))</f>
        <v>0</v>
      </c>
      <c r="H40" s="239">
        <f>SUMPRODUCT(([1]Peta_Persatker!G2:G1510="KONTRAK")*([1]Peta_Persatker!T2:T1510="Drg. Sp. Periodonsia"))</f>
        <v>0</v>
      </c>
      <c r="I40" s="239">
        <f>SUMPRODUCT(([1]Peta_Persatker!H2:H1510="KONTRAK")*([1]Peta_Persatker!U2:U1510="Drg. Sp. Periodonsia"))</f>
        <v>0</v>
      </c>
      <c r="J40" s="241">
        <f>SUM(D40:I40)</f>
        <v>0</v>
      </c>
      <c r="K40" s="242"/>
      <c r="L40" s="242"/>
    </row>
    <row r="41" spans="2:12" x14ac:dyDescent="0.25">
      <c r="B41" s="239">
        <v>31</v>
      </c>
      <c r="C41" s="240" t="s">
        <v>668</v>
      </c>
      <c r="D41" s="244">
        <f>SUMPRODUCT(([1]Peta_Persatker!G2:G1510="PNS")*([1]Peta_Persatker!T2:T1510="Drg. Sp. Prostodonti"))</f>
        <v>1</v>
      </c>
      <c r="E41" s="239">
        <f>SUMPRODUCT(([1]Peta_Persatker!G2:G1510="CPNS")*([1]Peta_Persatker!T2:T1510="Drg. Sp. Prostodonti"))</f>
        <v>0</v>
      </c>
      <c r="F41" s="239">
        <f>SUMPRODUCT(([1]Peta_Persatker!G2:G1510="PPPK")*([1]Peta_Persatker!T2:T1510="Drg. Sp. Prostodonti"))</f>
        <v>0</v>
      </c>
      <c r="G41" s="239">
        <f>SUMPRODUCT(([1]Peta_Persatker!G2:G1510="BLU TETAP")*([1]Peta_Persatker!T2:T1510="Drg. Sp. Prostodonti"))</f>
        <v>0</v>
      </c>
      <c r="H41" s="239">
        <f>SUMPRODUCT(([1]Peta_Persatker!G2:G1510="KONTRAK")*([1]Peta_Persatker!T2:T1510="Drg. Sp. Prostodonti"))</f>
        <v>0</v>
      </c>
      <c r="I41" s="239">
        <f>SUMPRODUCT(([1]Peta_Persatker!H2:H1510="KONTRAK")*([1]Peta_Persatker!U2:U1510="Drg. Sp. Prostodonti"))</f>
        <v>0</v>
      </c>
      <c r="J41" s="241">
        <f>SUM(D41:I41)</f>
        <v>1</v>
      </c>
      <c r="K41" s="242"/>
      <c r="L41" s="242"/>
    </row>
    <row r="42" spans="2:12" x14ac:dyDescent="0.25">
      <c r="B42" s="239">
        <v>32</v>
      </c>
      <c r="C42" s="240" t="s">
        <v>673</v>
      </c>
      <c r="D42" s="244">
        <f>SUMPRODUCT(([1]Peta_Persatker!G3:G1510="PNS")*([1]Peta_Persatker!T3:T1510="drg. Sp. Ortodonsia"))</f>
        <v>1</v>
      </c>
      <c r="E42" s="239">
        <f>SUMPRODUCT(([1]Peta_Persatker!G3:G1510="CPNS")*([1]Peta_Persatker!T3:T1510="drg. Sp. Ortodonsia"))</f>
        <v>0</v>
      </c>
      <c r="F42" s="239">
        <f>SUMPRODUCT(([1]Peta_Persatker!G3:G1510="PPPK")*([1]Peta_Persatker!T3:T1510="drg. Sp. Ortodonsia"))</f>
        <v>1</v>
      </c>
      <c r="G42" s="239">
        <f>SUMPRODUCT(([1]Peta_Persatker!G3:G1510="BLU TETAP")*([1]Peta_Persatker!T3:T1510="drg. Sp. Ortodonsia"))</f>
        <v>0</v>
      </c>
      <c r="H42" s="239">
        <f>SUMPRODUCT(([1]Peta_Persatker!G3:G1510="KONTRAK")*([1]Peta_Persatker!T3:T1510="drg. Sp. Ortodonsia"))</f>
        <v>0</v>
      </c>
      <c r="I42" s="239">
        <f>SUMPRODUCT(([1]Peta_Persatker!H3:H1510="KONTRAK")*([1]Peta_Persatker!U3:U1510="drg. Sp. Ortodonsia"))</f>
        <v>0</v>
      </c>
      <c r="J42" s="241">
        <f>SUM(D42:I42)</f>
        <v>2</v>
      </c>
      <c r="K42" s="242"/>
      <c r="L42" s="242"/>
    </row>
    <row r="43" spans="2:12" s="238" customFormat="1" x14ac:dyDescent="0.25">
      <c r="B43" s="233"/>
      <c r="C43" s="234" t="s">
        <v>5422</v>
      </c>
      <c r="D43" s="235"/>
      <c r="E43" s="235"/>
      <c r="F43" s="235"/>
      <c r="G43" s="235"/>
      <c r="H43" s="235"/>
      <c r="I43" s="235"/>
      <c r="J43" s="235"/>
      <c r="K43" s="243"/>
      <c r="L43" s="243"/>
    </row>
    <row r="44" spans="2:12" x14ac:dyDescent="0.25">
      <c r="B44" s="239">
        <v>33</v>
      </c>
      <c r="C44" s="240" t="s">
        <v>120</v>
      </c>
      <c r="D44" s="239">
        <f>SUMPRODUCT(([1]Peta_Persatker!G2:G1510="PNS")*([1]Peta_Persatker!T2:T1510="dr. Sp. Anak (Konsultan) Neonatologi"))</f>
        <v>2</v>
      </c>
      <c r="E44" s="239">
        <f>SUMPRODUCT(([1]Peta_Persatker!G2:G1510="CPNS")*([1]Peta_Persatker!T2:T1510="dr. Sp. Anak (Konsultan) Neonatologi"))</f>
        <v>0</v>
      </c>
      <c r="F44" s="239">
        <f>SUMPRODUCT(([1]Peta_Persatker!G2:G1510="PPPK")*([1]Peta_Persatker!T2:T1510="dr. Sp. Anak (Konsultan) Neonatologi"))</f>
        <v>0</v>
      </c>
      <c r="G44" s="239">
        <f>SUMPRODUCT(([1]Peta_Persatker!G2:G1510="BLU TETAP")*([1]Peta_Persatker!T2:T1510="dr. Sp. Anak (Konsultan) Neonatologi"))</f>
        <v>0</v>
      </c>
      <c r="H44" s="239">
        <f>SUMPRODUCT(([1]Peta_Persatker!G2:G1510="KONTRAK")*([1]Peta_Persatker!T2:T1510="dr. Sp. Anak (Konsultan) Neonatologi"))</f>
        <v>0</v>
      </c>
      <c r="I44" s="239">
        <f>SUMPRODUCT(([1]Peta_Persatker!G5:G1511="DOKTER TAMU")*([1]Peta_Persatker!T5:T1511="dr. Sp. Anak (Konsultan) Neonatologi"))</f>
        <v>0</v>
      </c>
      <c r="J44" s="241">
        <f t="shared" ref="J44:J81" si="1">SUM(D44:I44)</f>
        <v>2</v>
      </c>
      <c r="K44" s="242"/>
      <c r="L44" s="242"/>
    </row>
    <row r="45" spans="2:12" x14ac:dyDescent="0.25">
      <c r="B45" s="239">
        <v>34</v>
      </c>
      <c r="C45" s="240" t="s">
        <v>530</v>
      </c>
      <c r="D45" s="239">
        <f>SUMPRODUCT(([1]Peta_Persatker!G3:G1510="PNS")*([1]Peta_Persatker!T3:T1510="dr. Sp. Anak (Konsultan) Tumbuh Kembang Anak"))</f>
        <v>1</v>
      </c>
      <c r="E45" s="239">
        <f>SUMPRODUCT(([1]Peta_Persatker!G3:G1510="CPNS")*([1]Peta_Persatker!T3:T1510="dr. Sp. Anak (Konsultan) Tumbuh Kembang Anak"))</f>
        <v>0</v>
      </c>
      <c r="F45" s="239">
        <f>SUMPRODUCT(([1]Peta_Persatker!G3:G1510="PPPK")*([1]Peta_Persatker!T3:T1510="dr. Sp. Anak (Konsultan) Tumbuh Kembang Anak"))</f>
        <v>0</v>
      </c>
      <c r="G45" s="239">
        <f>SUMPRODUCT(([1]Peta_Persatker!G3:G1510="BLU TETAP")*([1]Peta_Persatker!T3:T1510="dr. Sp. Anak (Konsultan) Tumbuh Kembang Anak"))</f>
        <v>0</v>
      </c>
      <c r="H45" s="239">
        <f>SUMPRODUCT(([1]Peta_Persatker!G3:G1510="KONTRAK")*([1]Peta_Persatker!T3:T1510="dr. Sp. Anak (Konsultan) Tumbuh Kembang Anak"))</f>
        <v>0</v>
      </c>
      <c r="I45" s="239">
        <f>SUMPRODUCT(([1]Peta_Persatker!G6:G1512="DOKTER TAMU")*([1]Peta_Persatker!T6:T1512="dr. Sp. Anak (Konsultan) Tumbuh Kembang Anak"))</f>
        <v>0</v>
      </c>
      <c r="J45" s="241">
        <f t="shared" si="1"/>
        <v>1</v>
      </c>
      <c r="K45" s="242"/>
      <c r="L45" s="242"/>
    </row>
    <row r="46" spans="2:12" x14ac:dyDescent="0.25">
      <c r="B46" s="239">
        <v>35</v>
      </c>
      <c r="C46" s="240" t="s">
        <v>546</v>
      </c>
      <c r="D46" s="239">
        <f>SUMPRODUCT(([1]Peta_Persatker!G3:G1510="PNS")*([1]Peta_Persatker!T3:T1510="dr. Sp. Anak (Konsultan) Kardiologi Anak"))</f>
        <v>1</v>
      </c>
      <c r="E46" s="239">
        <f>SUMPRODUCT(([1]Peta_Persatker!G3:G1510="CPNS")*([1]Peta_Persatker!T3:T1510="dr. Sp. Anak (Konsultan) Kardiologi Anak"))</f>
        <v>0</v>
      </c>
      <c r="F46" s="239">
        <f>SUMPRODUCT(([1]Peta_Persatker!G3:G1510="PPPK")*([1]Peta_Persatker!T3:T1510="dr. Sp. Anak (Konsultan) Kardiologi Anak"))</f>
        <v>0</v>
      </c>
      <c r="G46" s="239">
        <f>SUMPRODUCT(([1]Peta_Persatker!G3:G1510="BLU TETAP")*([1]Peta_Persatker!T3:T1510="dr. Sp. Anak (Konsultan) Kardiologi Anak"))</f>
        <v>0</v>
      </c>
      <c r="H46" s="239">
        <f>SUMPRODUCT(([1]Peta_Persatker!G3:G1510="KONTRAK")*([1]Peta_Persatker!T3:T1510="dr. Sp. Anak (Konsultan) Kardiologi Anak"))</f>
        <v>0</v>
      </c>
      <c r="I46" s="239">
        <f>SUMPRODUCT(([1]Peta_Persatker!G6:G1512="DOKTER TAMU")*([1]Peta_Persatker!T6:T1512="dr. Sp. Anak (Konsultan) Kardiologi Anak"))</f>
        <v>0</v>
      </c>
      <c r="J46" s="241">
        <f t="shared" si="1"/>
        <v>1</v>
      </c>
      <c r="K46" s="242"/>
      <c r="L46" s="242"/>
    </row>
    <row r="47" spans="2:12" x14ac:dyDescent="0.25">
      <c r="B47" s="239">
        <v>36</v>
      </c>
      <c r="C47" s="240" t="s">
        <v>538</v>
      </c>
      <c r="D47" s="239">
        <f>SUMPRODUCT(([1]Peta_Persatker!G4:G1511="PNS")*([1]Peta_Persatker!T4:T1511="dr. Sp. Anak Subspesialis Emergensi dan Rawat Intensif Anak (Konsultan)"))</f>
        <v>1</v>
      </c>
      <c r="E47" s="239">
        <f>SUMPRODUCT(([1]Peta_Persatker!G4:G1511="CPNS")*([1]Peta_Persatker!T4:T1511="dr. Sp. Anak Subspesialis Emergensi dan Rawat Intensif Anak (Konsultan)"))</f>
        <v>0</v>
      </c>
      <c r="F47" s="239">
        <f>SUMPRODUCT(([1]Peta_Persatker!G4:G1511="PPPK")*([1]Peta_Persatker!T4:T1511="dr. Sp. Anak Subspesialis Emergensi dan Rawat Intensif Anak (Konsultan)"))</f>
        <v>0</v>
      </c>
      <c r="G47" s="239">
        <f>SUMPRODUCT(([1]Peta_Persatker!G4:G1511="BLU TETAP")*([1]Peta_Persatker!T4:T1511="dr. Sp. Anak Subspesialis Emergensi dan Rawat Intensif Anak (Konsultan)"))</f>
        <v>0</v>
      </c>
      <c r="H47" s="239">
        <f>SUMPRODUCT(([1]Peta_Persatker!G4:G1511="KONTRAK")*([1]Peta_Persatker!T4:T1511="dr. Sp. Anak Subspesialis Emergensi dan Rawat Intensif Anak (Konsultan)"))</f>
        <v>0</v>
      </c>
      <c r="I47" s="239">
        <f>SUMPRODUCT(([1]Peta_Persatker!G7:G1513="DOKTER TAMU")*([1]Peta_Persatker!T7:T1513="dr. Sp. Anak Subspesialis Emergensi dan Rawat Intensif Anak (Konsultan)"))</f>
        <v>0</v>
      </c>
      <c r="J47" s="241">
        <f t="shared" si="1"/>
        <v>1</v>
      </c>
      <c r="K47" s="242"/>
      <c r="L47" s="242"/>
    </row>
    <row r="48" spans="2:12" x14ac:dyDescent="0.25">
      <c r="B48" s="239">
        <v>37</v>
      </c>
      <c r="C48" s="240" t="s">
        <v>59</v>
      </c>
      <c r="D48" s="239">
        <f>SUMPRODUCT(([1]Peta_Persatker!G5:G1512="PNS")*([1]Peta_Persatker!T5:T1512="dr. Sp. Anak (Konsultan) Alergi Imunologi Anak"))</f>
        <v>1</v>
      </c>
      <c r="E48" s="239">
        <f>SUMPRODUCT(([1]Peta_Persatker!G5:G1512="CPNS")*([1]Peta_Persatker!T5:T1512="dr. Sp. Anak (Konsultan) Alergi Imunologi Anak"))</f>
        <v>0</v>
      </c>
      <c r="F48" s="239">
        <f>SUMPRODUCT(([1]Peta_Persatker!G5:G1512="PPPK")*([1]Peta_Persatker!T5:T1512="dr. Sp. Anak (Konsultan) Alergi Imunologi Anak"))</f>
        <v>0</v>
      </c>
      <c r="G48" s="239">
        <f>SUMPRODUCT(([1]Peta_Persatker!G5:G1512="BLU TETAP")*([1]Peta_Persatker!T5:T1512="dr. Sp. Anak (Konsultan) Alergi Imunologi Anak"))</f>
        <v>0</v>
      </c>
      <c r="H48" s="239">
        <f>SUMPRODUCT(([1]Peta_Persatker!G5:G1512="KONTRAK")*([1]Peta_Persatker!T5:T1512="dr. Sp. Anak (Konsultan) Alergi Imunologi Anak"))</f>
        <v>0</v>
      </c>
      <c r="I48" s="239">
        <f>SUMPRODUCT(([1]Peta_Persatker!G8:G1514="DOKTER TAMU")*([1]Peta_Persatker!T8:T1514="dr. Sp. Anak (Konsultan) Alergi Imunologi Anak"))</f>
        <v>0</v>
      </c>
      <c r="J48" s="241">
        <f t="shared" si="1"/>
        <v>1</v>
      </c>
      <c r="K48" s="242"/>
      <c r="L48" s="242"/>
    </row>
    <row r="49" spans="2:12" x14ac:dyDescent="0.25">
      <c r="B49" s="239">
        <v>38</v>
      </c>
      <c r="C49" s="240" t="s">
        <v>436</v>
      </c>
      <c r="D49" s="239">
        <f>SUMPRODUCT(([1]Peta_Persatker!G3:G1510="PNS")*([1]Peta_Persatker!T3:T1510="dr. Sp. Penyakit Dalam (Konsultan) Hematologi Onkologi Medik"))</f>
        <v>1</v>
      </c>
      <c r="E49" s="239">
        <f>SUMPRODUCT(([1]Peta_Persatker!G3:G1510="CPNS")*([1]Peta_Persatker!T3:T1510="dr. Sp. Penyakit Dalam (Konsultan) Hematologi Onkologi Medik"))</f>
        <v>0</v>
      </c>
      <c r="F49" s="239">
        <f>SUMPRODUCT(([1]Peta_Persatker!G3:G1510="PPPK")*([1]Peta_Persatker!T3:T1510="dr. Sp. Penyakit Dalam (Konsultan) Hematologi Onkologi Medik"))</f>
        <v>0</v>
      </c>
      <c r="G49" s="239">
        <f>SUMPRODUCT(([1]Peta_Persatker!G3:G1510="BLU TETAP")*([1]Peta_Persatker!T3:T1510="dr. Sp. Penyakit Dalam (Konsultan) Hematologi Onkologi Medik"))</f>
        <v>0</v>
      </c>
      <c r="H49" s="239">
        <f>SUMPRODUCT(([1]Peta_Persatker!G3:G1510="KONTRAK")*([1]Peta_Persatker!T3:T1510="dr. Sp. Penyakit Dalam (Konsultan) Hematologi Onkologi Medik"))</f>
        <v>0</v>
      </c>
      <c r="I49" s="239">
        <f>SUMPRODUCT(([1]Peta_Persatker!G6:G1512="DOKTER TAMU")*([1]Peta_Persatker!T6:T1512="dr. Sp. Penyakit Dalam (Konsultan) Hematologi Onkologi Medik"))</f>
        <v>0</v>
      </c>
      <c r="J49" s="241">
        <f t="shared" si="1"/>
        <v>1</v>
      </c>
      <c r="K49" s="242"/>
      <c r="L49" s="242"/>
    </row>
    <row r="50" spans="2:12" x14ac:dyDescent="0.25">
      <c r="B50" s="239">
        <v>39</v>
      </c>
      <c r="C50" s="240" t="s">
        <v>812</v>
      </c>
      <c r="D50" s="239">
        <f>SUMPRODUCT(([1]Peta_Persatker!G3:G1510="PNS")*([1]Peta_Persatker!T3:T1510="dr. Sp. Penyakit Dalam (Konsultan) Ginjal Hipertensi"))</f>
        <v>2</v>
      </c>
      <c r="E50" s="239">
        <f>SUMPRODUCT(([1]Peta_Persatker!G3:G1510="CPNS")*([1]Peta_Persatker!T3:T1510="dr. Sp. Penyakit Dalam (Konsultan) Ginjal Hipertensi"))</f>
        <v>0</v>
      </c>
      <c r="F50" s="239">
        <f>SUMPRODUCT(([1]Peta_Persatker!G3:G1510="PPPK")*([1]Peta_Persatker!T3:T1510="dr. Sp. Penyakit Dalam (Konsultan) Ginjal Hipertensi"))</f>
        <v>0</v>
      </c>
      <c r="G50" s="239">
        <f>SUMPRODUCT(([1]Peta_Persatker!G3:G1510="BLU TETAP")*([1]Peta_Persatker!T3:T1510="dr. Sp. Penyakit Dalam (Konsultan) Ginjal Hipertensi"))</f>
        <v>0</v>
      </c>
      <c r="H50" s="239">
        <f>SUMPRODUCT(([1]Peta_Persatker!G3:G1510="KONTRAK")*([1]Peta_Persatker!T3:T1510="dr. Sp. Penyakit Dalam (Konsultan) Ginjal Hipertensi"))</f>
        <v>0</v>
      </c>
      <c r="I50" s="239">
        <f>SUMPRODUCT(([1]Peta_Persatker!G6:G1512="DOKTER TAMU")*([1]Peta_Persatker!T6:T1512="dr. Sp. Penyakit Dalam (Konsultan) Ginjal Hipertensi"))</f>
        <v>0</v>
      </c>
      <c r="J50" s="241">
        <f t="shared" si="1"/>
        <v>2</v>
      </c>
      <c r="K50" s="242"/>
      <c r="L50" s="242"/>
    </row>
    <row r="51" spans="2:12" x14ac:dyDescent="0.25">
      <c r="B51" s="239">
        <v>40</v>
      </c>
      <c r="C51" s="240" t="s">
        <v>593</v>
      </c>
      <c r="D51" s="239">
        <f>SUMPRODUCT(([1]Peta_Persatker!G2:G1510="PNS")*([1]Peta_Persatker!T2:T1510="Dr. Sp. Bedah Degestif (konsultan)"))</f>
        <v>1</v>
      </c>
      <c r="E51" s="239">
        <f>SUMPRODUCT(([1]Peta_Persatker!G2:G1510="CPNS")*([1]Peta_Persatker!T2:T1510="Dr. Sp. Bedah Degestif (konsultan)"))</f>
        <v>0</v>
      </c>
      <c r="F51" s="239">
        <f>SUMPRODUCT(([1]Peta_Persatker!G2:G1510="PPPK")*([1]Peta_Persatker!T2:T1510="Dr. Sp. Bedah Degestif (konsultan)"))</f>
        <v>0</v>
      </c>
      <c r="G51" s="239">
        <f>SUMPRODUCT(([1]Peta_Persatker!G2:G1510="BLU TETAP")*([1]Peta_Persatker!T2:T1510="Dr. Sp. Degestif (konsultan)"))</f>
        <v>0</v>
      </c>
      <c r="H51" s="239">
        <f>SUMPRODUCT(([1]Peta_Persatker!G2:G1510="KONTRAK")*([1]Peta_Persatker!T2:T1510="Dr. Sp. Bedah Degestif (konsultan)"))</f>
        <v>0</v>
      </c>
      <c r="I51" s="239">
        <f>SUMPRODUCT(([1]Peta_Persatker!G5:G1511="DOKTER TAMU")*([1]Peta_Persatker!T5:T1511="Dr. Sp. Bedah Degestif (konsultan)"))</f>
        <v>0</v>
      </c>
      <c r="J51" s="241">
        <f t="shared" si="1"/>
        <v>1</v>
      </c>
      <c r="K51" s="242"/>
      <c r="L51" s="242"/>
    </row>
    <row r="52" spans="2:12" x14ac:dyDescent="0.25">
      <c r="B52" s="239">
        <v>41</v>
      </c>
      <c r="C52" s="240" t="s">
        <v>411</v>
      </c>
      <c r="D52" s="239">
        <f>SUMPRODUCT(([1]Peta_Persatker!G2:G1510="PNS")*([1]Peta_Persatker!T2:T1510="Dr. Sp. Obsgin (konsultan) Sub Spesialis Fertilitas dan Endokrinologi Reproduksi"))</f>
        <v>1</v>
      </c>
      <c r="E52" s="239">
        <f>SUMPRODUCT(([1]Peta_Persatker!G2:G1510="CPNS")*([1]Peta_Persatker!T2:T1510="Dr. Sp. Obsgin (konsultan) Sub Spesialis Fertilitas dan Endokrinologi Reproduksi"))</f>
        <v>0</v>
      </c>
      <c r="F52" s="239">
        <f>SUMPRODUCT(([1]Peta_Persatker!G2:G1510="PPPK")*([1]Peta_Persatker!T2:T1510="Dr. Sp. Obsgin (konsultan) Sub Spesialis Fertilitas dan Endokrinologi Reproduksi"))</f>
        <v>0</v>
      </c>
      <c r="G52" s="239">
        <f>SUMPRODUCT(([1]Peta_Persatker!G2:G1510="BLU TETAP")*([1]Peta_Persatker!T2:T1510="Dr. Sp. Obsgin (konsultan) Sub Spesialis Fertilitas dan Endokrinologi Reproduksi"))</f>
        <v>0</v>
      </c>
      <c r="H52" s="239">
        <f>SUMPRODUCT(([1]Peta_Persatker!G2:G1510="KONTRAK")*([1]Peta_Persatker!T2:T1510="Dr. Sp. Obsgin (konsultan) Sub Spesialis Fertilitas dan Endokrinologi Reproduksi"))</f>
        <v>0</v>
      </c>
      <c r="I52" s="239">
        <f>SUMPRODUCT(([1]Peta_Persatker!G5:G1511="DOKTER TAMU")*([1]Peta_Persatker!T5:T1511="Dr. Sp. Obsgin (konsultan) Sub Spesialis Fertilitas dan Endokrinologi Reproduksi"))</f>
        <v>0</v>
      </c>
      <c r="J52" s="241">
        <f t="shared" si="1"/>
        <v>1</v>
      </c>
      <c r="K52" s="242"/>
      <c r="L52" s="242"/>
    </row>
    <row r="53" spans="2:12" x14ac:dyDescent="0.25">
      <c r="B53" s="239">
        <v>42</v>
      </c>
      <c r="C53" s="240" t="s">
        <v>739</v>
      </c>
      <c r="D53" s="239">
        <f>SUMPRODUCT(([1]Peta_Persatker!G3:G1510="PNS")*([1]Peta_Persatker!T3:T1510="Dr. Sp. Obsgin (konsultan) Sub Spesialis Onkologi Ginekologi"))</f>
        <v>1</v>
      </c>
      <c r="E53" s="239">
        <f>SUMPRODUCT(([1]Peta_Persatker!G3:G1510="CPNS")*([1]Peta_Persatker!T3:T1510="Dr. Sp. Obsgin (konsultan) Sub Spesialis Onkologi Ginekologi"))</f>
        <v>0</v>
      </c>
      <c r="F53" s="239">
        <f>SUMPRODUCT(([1]Peta_Persatker!G3:G1510="PPPK")*([1]Peta_Persatker!T3:T1510="Dr. Sp. Obsgin (konsultan) Sub Spesialis Onkologi Ginekologi"))</f>
        <v>0</v>
      </c>
      <c r="G53" s="239">
        <f>SUMPRODUCT(([1]Peta_Persatker!G3:G1510="BLU TETAP")*([1]Peta_Persatker!T3:T1510="Dr. Sp. Obsgin (konsultan) Sub Spesialis Onkologi Ginekologi"))</f>
        <v>0</v>
      </c>
      <c r="H53" s="239">
        <f>SUMPRODUCT(([1]Peta_Persatker!G3:G1510="KONTRAK")*([1]Peta_Persatker!T3:T1510="Dr. Sp. Obsgin (konsultan) Sub Spesialis Onkologi Ginekologi"))</f>
        <v>0</v>
      </c>
      <c r="I53" s="239">
        <f>SUMPRODUCT(([1]Peta_Persatker!G6:G1512="DOKTER TAMU")*([1]Peta_Persatker!T6:T1512="Dr. Sp. Obsgin (konsultan) Sub Spesialis Onkologi Ginekologi"))</f>
        <v>0</v>
      </c>
      <c r="J53" s="241">
        <f>SUM(D53:I53)</f>
        <v>1</v>
      </c>
      <c r="K53" s="242"/>
      <c r="L53" s="242"/>
    </row>
    <row r="54" spans="2:12" x14ac:dyDescent="0.25">
      <c r="B54" s="239">
        <v>43</v>
      </c>
      <c r="C54" s="240" t="s">
        <v>419</v>
      </c>
      <c r="D54" s="239">
        <f>SUMPRODUCT(([1]Peta_Persatker!G2:G1510="PNS")*([1]Peta_Persatker!T2:T1510="Dr. Sp. Bedah Ortopedi (Konsultan) Sub Spesialis Hand and Microsurgery"))</f>
        <v>1</v>
      </c>
      <c r="E54" s="239">
        <f>SUMPRODUCT(([1]Peta_Persatker!G2:G1510="CPNS")*([1]Peta_Persatker!T2:T1510="Dr. Sp. Bedah Ortopedi (Konsultan) Sub Spesialis Hand and Microsurgery"))</f>
        <v>0</v>
      </c>
      <c r="F54" s="239">
        <f>SUMPRODUCT(([1]Peta_Persatker!G2:G1510="PPPK")*([1]Peta_Persatker!T2:T1510="Dr. Sp. Bedah Ortopedi (Konsultan) Sub Spesialis Hand and Microsurgery"))</f>
        <v>0</v>
      </c>
      <c r="G54" s="239">
        <f>SUMPRODUCT(([1]Peta_Persatker!G2:G1510="BLU TETAP")*([1]Peta_Persatker!T2:T1510="Dr. Sp. Bedah Ortopedi (Konsultan) Sub Spesialis Hand and Microsurgery"))</f>
        <v>0</v>
      </c>
      <c r="H54" s="239">
        <f>SUMPRODUCT(([1]Peta_Persatker!G2:G1510="KONTRAK")*([1]Peta_Persatker!T2:T1510="Dr. Sp. Bedah Ortopedi (Konsultan) Sub Spesialis Hand and Microsurgery"))</f>
        <v>0</v>
      </c>
      <c r="I54" s="239">
        <f>SUMPRODUCT(([1]Peta_Persatker!G5:G1511="DOKTER TAMU")*([1]Peta_Persatker!T5:T1511="Dr. Sp. Bedah Ortopedi (Konsultan) Sub Spesialis Hand and Microsurgery"))</f>
        <v>0</v>
      </c>
      <c r="J54" s="241">
        <f t="shared" si="1"/>
        <v>1</v>
      </c>
      <c r="K54" s="242"/>
      <c r="L54" s="242"/>
    </row>
    <row r="55" spans="2:12" x14ac:dyDescent="0.25">
      <c r="B55" s="239">
        <v>44</v>
      </c>
      <c r="C55" s="240" t="s">
        <v>49</v>
      </c>
      <c r="D55" s="239">
        <f>SUMPRODUCT(([1]Peta_Persatker!G3:G1510="PNS")*([1]Peta_Persatker!T3:T1510="Dr. Sp. Bedah Ortopedi (Konsultan) Sub Spesialis Hip and Knee"))</f>
        <v>1</v>
      </c>
      <c r="E55" s="239">
        <f>SUMPRODUCT(([1]Peta_Persatker!G3:G1510="CPNS")*([1]Peta_Persatker!T3:T1510="Dr. Sp. Bedah Ortopedi (Konsultan) Sub Spesialis Hip and Knee"))</f>
        <v>0</v>
      </c>
      <c r="F55" s="239">
        <f>SUMPRODUCT(([1]Peta_Persatker!G3:G1510="PPPK")*([1]Peta_Persatker!T3:T1510="Dr. Sp. Bedah Ortopedi (Konsultan) Sub Spesialis Hip and Knee"))</f>
        <v>0</v>
      </c>
      <c r="G55" s="239">
        <f>SUMPRODUCT(([1]Peta_Persatker!G3:G1510="BLU TETAP")*([1]Peta_Persatker!T3:T1510="Dr. Sp. Bedah Ortopedi (Konsultan) Sub Spesialis Hip and Knee"))</f>
        <v>0</v>
      </c>
      <c r="H55" s="239">
        <f>SUMPRODUCT(([1]Peta_Persatker!G3:G1510="KONTRAK")*([1]Peta_Persatker!T3:T1510="Dr. Sp. Bedah Ortopedi (Konsultan) Sub Spesialis Hip and Knee"))</f>
        <v>0</v>
      </c>
      <c r="I55" s="239">
        <f>SUMPRODUCT(([1]Peta_Persatker!G6:G1512="DOKTER TAMU")*([1]Peta_Persatker!T6:T1512="Dr. Sp. Bedah Ortopedi (Konsultan) Sub Spesialis Hip and Knee"))</f>
        <v>0</v>
      </c>
      <c r="J55" s="241">
        <f>SUM(D55:I55)</f>
        <v>1</v>
      </c>
      <c r="K55" s="242"/>
      <c r="L55" s="242"/>
    </row>
    <row r="56" spans="2:12" x14ac:dyDescent="0.25">
      <c r="B56" s="239">
        <v>45</v>
      </c>
      <c r="C56" s="240" t="s">
        <v>760</v>
      </c>
      <c r="D56" s="239">
        <f>SUMPRODUCT(([1]Peta_Persatker!G4:G1511="PNS")*([1]Peta_Persatker!T4:T1511="Dr. Sp. Bedah Ortopedi (Konsultan) Sub Spesialis Spine"))</f>
        <v>1</v>
      </c>
      <c r="E56" s="239">
        <f>SUMPRODUCT(([1]Peta_Persatker!G4:G1511="CPNS")*([1]Peta_Persatker!T4:T1511="Dr. Sp. Bedah Ortopedi (Konsultan) Sub Spesialis Spine"))</f>
        <v>0</v>
      </c>
      <c r="F56" s="239">
        <f>SUMPRODUCT(([1]Peta_Persatker!G4:G1511="PPPK")*([1]Peta_Persatker!T4:T1511="Dr. Sp. Bedah Ortopedi (Konsultan) Sub Spesialis Spine"))</f>
        <v>0</v>
      </c>
      <c r="G56" s="239">
        <f>SUMPRODUCT(([1]Peta_Persatker!G4:G1511="BLU TETAP")*([1]Peta_Persatker!T4:T1511="Dr. Sp. Bedah Ortopedi (Konsultan) Sub Spesialis Spine"))</f>
        <v>0</v>
      </c>
      <c r="H56" s="239">
        <f>SUMPRODUCT(([1]Peta_Persatker!G4:G1511="KONTRAK")*([1]Peta_Persatker!T4:T1511="Dr. Sp. Bedah Ortopedi (Konsultan) Sub Spesialis Spine"))</f>
        <v>0</v>
      </c>
      <c r="I56" s="239">
        <f>SUMPRODUCT(([1]Peta_Persatker!G7:G1513="DOKTER TAMU")*([1]Peta_Persatker!T7:T1513="Dr. Sp. Bedah Ortopedi (Konsultan) Sub Spesialis Spine"))</f>
        <v>0</v>
      </c>
      <c r="J56" s="241">
        <f>SUM(D56:I56)</f>
        <v>1</v>
      </c>
      <c r="K56" s="242"/>
      <c r="L56" s="242"/>
    </row>
    <row r="57" spans="2:12" x14ac:dyDescent="0.25">
      <c r="B57" s="239">
        <v>46</v>
      </c>
      <c r="C57" s="240" t="s">
        <v>768</v>
      </c>
      <c r="D57" s="239">
        <f>SUMPRODUCT(([1]Peta_Persatker!G5:G1512="PNS")*([1]Peta_Persatker!T5:T1512="dr. Sp. Bedah Ortopedi (Konsultan) Subspesialis Bahu dan Siku"))</f>
        <v>1</v>
      </c>
      <c r="E57" s="239">
        <f>SUMPRODUCT(([1]Peta_Persatker!G5:G1512="CPNS")*([1]Peta_Persatker!T5:T1512="dr. Sp. Bedah Ortopedi (Konsultan) Subspesialis Bahu dan Siku"))</f>
        <v>0</v>
      </c>
      <c r="F57" s="239">
        <f>SUMPRODUCT(([1]Peta_Persatker!G5:G1512="PPPK")*([1]Peta_Persatker!T5:T1512="dr. Sp. Bedah Ortopedi (Konsultan) Subspesialis Bahu dan Siku"))</f>
        <v>0</v>
      </c>
      <c r="G57" s="239">
        <f>SUMPRODUCT(([1]Peta_Persatker!G5:G1512="BLU TETAP")*([1]Peta_Persatker!T5:T1512="dr. Sp. Bedah Ortopedi (Konsultan) Subspesialis Bahu dan Siku"))</f>
        <v>0</v>
      </c>
      <c r="H57" s="239">
        <f>SUMPRODUCT(([1]Peta_Persatker!G5:G1512="KONTRAK")*([1]Peta_Persatker!T5:T1512="dr. Sp. Bedah Ortopedi (Konsultan) Subspesialis Bahu dan Siku"))</f>
        <v>0</v>
      </c>
      <c r="I57" s="239">
        <f>SUMPRODUCT(([1]Peta_Persatker!G8:G1514="DOKTER TAMU")*([1]Peta_Persatker!T8:T1514="dr. Sp. Bedah Ortopedi (Konsultan) Subspesialis Bahu dan Siku"))</f>
        <v>0</v>
      </c>
      <c r="J57" s="241">
        <f>SUM(D57:I57)</f>
        <v>1</v>
      </c>
      <c r="K57" s="242"/>
      <c r="L57" s="242"/>
    </row>
    <row r="58" spans="2:12" x14ac:dyDescent="0.25">
      <c r="B58" s="239">
        <v>47</v>
      </c>
      <c r="C58" s="240" t="s">
        <v>356</v>
      </c>
      <c r="D58" s="239">
        <f>SUMPRODUCT(([1]Peta_Persatker!G2:G1510="PNS")*([1]Peta_Persatker!T2:T1510="Dr. Sp. Bedah Anak (Konsultan)"))</f>
        <v>1</v>
      </c>
      <c r="E58" s="239">
        <f>SUMPRODUCT(([1]Peta_Persatker!G2:G1510="CPNS")*([1]Peta_Persatker!T2:T1510="Dr. Sp. Bedah Anak (Konsultan)"))</f>
        <v>0</v>
      </c>
      <c r="F58" s="239">
        <f>SUMPRODUCT(([1]Peta_Persatker!G2:G1510="PPPK")*([1]Peta_Persatker!T2:T1510="Dr. Sp. Bedah Anak (Konsultan)"))</f>
        <v>0</v>
      </c>
      <c r="G58" s="239">
        <f>SUMPRODUCT(([1]Peta_Persatker!G2:G1510="BLU TETAP")*([1]Peta_Persatker!T2:T1510="Dr. Sp. Bedah Anak (Konsultan)"))</f>
        <v>0</v>
      </c>
      <c r="H58" s="239">
        <f>SUMPRODUCT(([1]Peta_Persatker!G2:G1510="KONTRAK")*([1]Peta_Persatker!T2:T1510="Dr. Sp. Bedah Anak (Konsultan)"))</f>
        <v>0</v>
      </c>
      <c r="I58" s="239">
        <f>SUMPRODUCT(([1]Peta_Persatker!G5:G1511="DOKTER TAMU")*([1]Peta_Persatker!T5:T1511="Dr. Sp. Bedah Anak (Konsultan)"))</f>
        <v>0</v>
      </c>
      <c r="J58" s="241">
        <f t="shared" si="1"/>
        <v>1</v>
      </c>
      <c r="K58" s="23"/>
      <c r="L58" s="23"/>
    </row>
    <row r="59" spans="2:12" x14ac:dyDescent="0.25">
      <c r="B59" s="239">
        <v>48</v>
      </c>
      <c r="C59" s="240" t="s">
        <v>585</v>
      </c>
      <c r="D59" s="239">
        <f>SUMPRODUCT(([1]Peta_Persatker!G2:G1510="PNS")*([1]Peta_Persatker!T2:T1510="dr. Sp. Bedah Onkologi (Konsultan)"))</f>
        <v>1</v>
      </c>
      <c r="E59" s="239">
        <f>SUMPRODUCT(([1]Peta_Persatker!G2:G1510="CPNS")*([1]Peta_Persatker!T2:T1510="dr. Sp. Bedah Onkologi (Konsultan)"))</f>
        <v>0</v>
      </c>
      <c r="F59" s="239">
        <f>SUMPRODUCT(([1]Peta_Persatker!G2:G1510="PPPK")*([1]Peta_Persatker!T2:T1510="dr. Sp. Bedah Onkologi (Konsultan)"))</f>
        <v>0</v>
      </c>
      <c r="G59" s="239">
        <f>SUMPRODUCT(([1]Peta_Persatker!G2:G1510="BLU TETAP")*([1]Peta_Persatker!T2:T1510="dr. Sp. Bedah Onkologi (Konsultan)"))</f>
        <v>0</v>
      </c>
      <c r="H59" s="239">
        <f>SUMPRODUCT(([1]Peta_Persatker!G2:G1510="KONTRAK")*([1]Peta_Persatker!T2:T1510="dr. Sp. Bedah Onkologi (Konsultan)"))</f>
        <v>0</v>
      </c>
      <c r="I59" s="239">
        <f>SUMPRODUCT(([1]Peta_Persatker!G5:G1511="DOKTER TAMU")*([1]Peta_Persatker!T5:T1511="dr. Sp. Bedah Onkologi (Konsultan)"))</f>
        <v>0</v>
      </c>
      <c r="J59" s="241">
        <f t="shared" si="1"/>
        <v>1</v>
      </c>
    </row>
    <row r="60" spans="2:12" x14ac:dyDescent="0.25">
      <c r="B60" s="239">
        <v>49</v>
      </c>
      <c r="C60" s="240" t="s">
        <v>5423</v>
      </c>
      <c r="D60" s="239">
        <f>SUMPRODUCT(([1]Peta_Persatker!G2:G1510="PNS")*([1]Peta_Persatker!T2:T1510="dr. Sp. BTKV(K)"))</f>
        <v>0</v>
      </c>
      <c r="E60" s="239">
        <f>SUMPRODUCT(([1]Peta_Persatker!G2:G1510="CPNS")*([1]Peta_Persatker!T2:T1510="dr. Sp. BTKV(K)"))</f>
        <v>0</v>
      </c>
      <c r="F60" s="239">
        <f>SUMPRODUCT(([1]Peta_Persatker!G2:G1510="PPPK")*([1]Peta_Persatker!T2:T1510="dr. Sp. BTKV(K)"))</f>
        <v>0</v>
      </c>
      <c r="G60" s="239">
        <f>SUMPRODUCT(([1]Peta_Persatker!G2:G1510="BLU TETAP")*([1]Peta_Persatker!T2:T1510="dr. Sp. BTKV(K)"))</f>
        <v>0</v>
      </c>
      <c r="H60" s="239">
        <f>SUMPRODUCT(([1]Peta_Persatker!G2:G1510="KONTRAK")*([1]Peta_Persatker!T2:T1510="dr. Sp. BTKV(K)"))</f>
        <v>0</v>
      </c>
      <c r="I60" s="239">
        <f>SUMPRODUCT(([1]Peta_Persatker!G2:G1510="DOKTER TAMU")*([1]Peta_Persatker!T2:T1510="dr. Sp. BTKV(K)"))</f>
        <v>0</v>
      </c>
      <c r="J60" s="241">
        <f>SUM(D60:I60)</f>
        <v>0</v>
      </c>
      <c r="K60" s="242"/>
      <c r="L60" s="242"/>
    </row>
    <row r="61" spans="2:12" x14ac:dyDescent="0.25">
      <c r="B61" s="239">
        <v>50</v>
      </c>
      <c r="C61" s="240" t="s">
        <v>601</v>
      </c>
      <c r="D61" s="239">
        <f>SUMPRODUCT(([1]Peta_Persatker!G3:G1510="PNS")*([1]Peta_Persatker!T3:T1510="Sp.B.Subsp.BVE(K)"))</f>
        <v>0</v>
      </c>
      <c r="E61" s="239">
        <f>SUMPRODUCT(([1]Peta_Persatker!G3:G1510="CPNS")*([1]Peta_Persatker!T3:T1510="Sp.B.Subsp.BVE(K)"))</f>
        <v>0</v>
      </c>
      <c r="F61" s="239">
        <f>SUMPRODUCT(([1]Peta_Persatker!G3:G1510="PPPK")*([1]Peta_Persatker!T3:T1510="Sp.B.Subsp.BVE(K)"))</f>
        <v>1</v>
      </c>
      <c r="G61" s="239">
        <f>SUMPRODUCT(([1]Peta_Persatker!G3:G1510="BLU TETAP")*([1]Peta_Persatker!T3:T1510="Sp.B.Subsp.BVE(K)"))</f>
        <v>0</v>
      </c>
      <c r="H61" s="239">
        <f>SUMPRODUCT(([1]Peta_Persatker!G3:G1510="KONTRAK")*([1]Peta_Persatker!T3:T1510="Sp.B.Subsp.BVE(K)"))</f>
        <v>0</v>
      </c>
      <c r="I61" s="239">
        <f>SUMPRODUCT(([1]Peta_Persatker!G3:G1510="DOKTER TAMU")*([1]Peta_Persatker!T3:T1510="Sp.B.Subsp.BVE(K)"))</f>
        <v>0</v>
      </c>
      <c r="J61" s="241">
        <f t="shared" si="1"/>
        <v>1</v>
      </c>
      <c r="K61" s="242"/>
      <c r="L61" s="242"/>
    </row>
    <row r="62" spans="2:12" x14ac:dyDescent="0.25">
      <c r="B62" s="239">
        <v>51</v>
      </c>
      <c r="C62" s="240" t="s">
        <v>635</v>
      </c>
      <c r="D62" s="239">
        <f>SUMPRODUCT(([1]Peta_Persatker!G4:G1511="PNS")*([1]Peta_Persatker!T4:T1511="dr. Sp. Bedah Saraf (Konsultan) Neurospine"))</f>
        <v>1</v>
      </c>
      <c r="E62" s="239">
        <f>SUMPRODUCT(([1]Peta_Persatker!G4:G1511="CPNS")*([1]Peta_Persatker!T4:T1511="dr. Sp. Bedah Saraf (Konsultan) Neurospine"))</f>
        <v>0</v>
      </c>
      <c r="F62" s="239">
        <f>SUMPRODUCT(([1]Peta_Persatker!G4:G1511="PPPK")*([1]Peta_Persatker!T4:T1511="dr. Sp. Bedah Saraf (Konsultan) Neurospine"))</f>
        <v>0</v>
      </c>
      <c r="G62" s="239">
        <f>SUMPRODUCT(([1]Peta_Persatker!G4:G1511="BLU TETAP")*([1]Peta_Persatker!T4:T1511="dr. Sp. Bedah Saraf (Konsultan) Neurospine"))</f>
        <v>0</v>
      </c>
      <c r="H62" s="239">
        <f>SUMPRODUCT(([1]Peta_Persatker!G4:G1511="KONTRAK")*([1]Peta_Persatker!T4:T1511="dr. Sp. Bedah Saraf (Konsultan) Neurospine"))</f>
        <v>0</v>
      </c>
      <c r="I62" s="239">
        <f>SUMPRODUCT(([1]Peta_Persatker!G4:G1511="DOKTER TAMU")*([1]Peta_Persatker!T4:T1511="dr. Sp. Bedah Saraf (Konsultan) Neurospine"))</f>
        <v>0</v>
      </c>
      <c r="J62" s="241">
        <f t="shared" si="1"/>
        <v>1</v>
      </c>
      <c r="K62" s="242"/>
      <c r="L62" s="242"/>
    </row>
    <row r="63" spans="2:12" x14ac:dyDescent="0.25">
      <c r="B63" s="239">
        <v>52</v>
      </c>
      <c r="C63" s="240" t="s">
        <v>5424</v>
      </c>
      <c r="D63" s="239">
        <f>SUMPRODUCT(([1]Peta_Persatker!G3:G1510="PNS")*([1]Peta_Persatker!T3:T1510="dr. Sp. JP Sub Spesialis Kardio Intervensi (Konsultan)"))</f>
        <v>2</v>
      </c>
      <c r="E63" s="239">
        <f>SUMPRODUCT(([1]Peta_Persatker!G3:G1510="CPNS")*([1]Peta_Persatker!T3:T1510="dr. Sp. JP Sub Spesialis Kardio Intervensi (Konsultan)"))</f>
        <v>0</v>
      </c>
      <c r="F63" s="239">
        <f>SUMPRODUCT(([1]Peta_Persatker!G3:G1510="PPPK")*([1]Peta_Persatker!T3:T1510="dr. Sp. JP Sub Spesialis Kardio Intervensi (Konsultan)"))</f>
        <v>0</v>
      </c>
      <c r="G63" s="239">
        <f>SUMPRODUCT(([1]Peta_Persatker!G3:G1510="BLU TETAP")*([1]Peta_Persatker!T3:T1510="dr. Sp. JP Sub Spesialis Kardio Intervensi (Konsultan)"))</f>
        <v>0</v>
      </c>
      <c r="H63" s="239">
        <f>SUMPRODUCT(([1]Peta_Persatker!G3:G1510="KONTRAK")*([1]Peta_Persatker!T3:T1510="dr. Sp. JP Sub Spesialis Kardio Intervensi (Konsultan)"))</f>
        <v>0</v>
      </c>
      <c r="I63" s="239">
        <f>SUMPRODUCT(([1]Peta_Persatker!G5:G1511="DOKTER TAMU")*([1]Peta_Persatker!T5:T1511="dr. Sp. JP Sub Spesialis Kardio Intervensi (Konsultan)"))</f>
        <v>0</v>
      </c>
      <c r="J63" s="241">
        <f t="shared" si="1"/>
        <v>2</v>
      </c>
      <c r="K63" s="242"/>
      <c r="L63" s="242"/>
    </row>
    <row r="64" spans="2:12" x14ac:dyDescent="0.25">
      <c r="B64" s="239">
        <v>53</v>
      </c>
      <c r="C64" s="240" t="s">
        <v>326</v>
      </c>
      <c r="D64" s="239">
        <f>SUMPRODUCT(([1]Peta_Persatker!G4:G1510="PNS")*([1]Peta_Persatker!T4:T1510="dr. Sp. Paru Sub Spesialis Infeksi Paru (Konsultan)"))</f>
        <v>1</v>
      </c>
      <c r="E64" s="239">
        <f>SUMPRODUCT(([1]Peta_Persatker!G4:G1510="CPNS")*([1]Peta_Persatker!T4:T1510="dr. Sp. Paru Sub Spesialis Infeksi Paru (Konsultan)"))</f>
        <v>0</v>
      </c>
      <c r="F64" s="239">
        <f>SUMPRODUCT(([1]Peta_Persatker!G4:G1510="PPPK")*([1]Peta_Persatker!T4:T1510="dr. Sp. Paru Sub Spesialis Infeksi Paru (Konsultan)"))</f>
        <v>0</v>
      </c>
      <c r="G64" s="239">
        <f>SUMPRODUCT(([1]Peta_Persatker!G4:G1510="BLU TETAP")*([1]Peta_Persatker!T4:T1510="dr. Sp. Paru Sub Spesialis Infeksi Paru (Konsultan)"))</f>
        <v>0</v>
      </c>
      <c r="H64" s="239">
        <f>SUMPRODUCT(([1]Peta_Persatker!G4:G1510="KONTRAK")*([1]Peta_Persatker!T4:T1510="dr. Sp. Paru Sub Spesialis Infeksi Paru (Konsultan)"))</f>
        <v>0</v>
      </c>
      <c r="I64" s="239">
        <f>SUMPRODUCT(([1]Peta_Persatker!G5:G1511="DOKTER TAMU")*([1]Peta_Persatker!T5:T1511="dr. Sp. Paru Sub Spesialis Infeksi Paru (Konsultan)"))</f>
        <v>0</v>
      </c>
      <c r="J64" s="241">
        <f t="shared" si="1"/>
        <v>1</v>
      </c>
      <c r="K64" s="242"/>
      <c r="L64" s="242"/>
    </row>
    <row r="65" spans="2:12" x14ac:dyDescent="0.25">
      <c r="B65" s="239">
        <v>54</v>
      </c>
      <c r="C65" s="240" t="s">
        <v>785</v>
      </c>
      <c r="D65" s="239">
        <f>SUMPRODUCT(([1]Peta_Persatker!G5:G1511="PNS")*([1]Peta_Persatker!T5:T1511="dr. Sp. Paru Sub Spesialis  Onkologi Toraks (Konsultan)"))</f>
        <v>1</v>
      </c>
      <c r="E65" s="239">
        <f>SUMPRODUCT(([1]Peta_Persatker!G5:G1511="CPNS")*([1]Peta_Persatker!T5:T1511="dr. Sp. Paru Sub Spesialis  Onkologi Toraks (Konsultan)"))</f>
        <v>0</v>
      </c>
      <c r="F65" s="239">
        <f>SUMPRODUCT(([1]Peta_Persatker!G5:G1511="PPPK")*([1]Peta_Persatker!T5:T1511="dr. Sp. Paru Sub Spesialis  Onkologi Toraks (Konsultan)"))</f>
        <v>0</v>
      </c>
      <c r="G65" s="239">
        <f>SUMPRODUCT(([1]Peta_Persatker!G5:G1511="BLU TETAP")*([1]Peta_Persatker!T5:T1511="dr. Sp. Paru Sub Spesialis  Onkologi Toraks (Konsultan)"))</f>
        <v>0</v>
      </c>
      <c r="H65" s="239">
        <f>SUMPRODUCT(([1]Peta_Persatker!G5:G1511="KONTRAK")*([1]Peta_Persatker!T5:T1511="dr. Sp. Paru Sub Spesialis  Onkologi Toraks (Konsultan)"))</f>
        <v>0</v>
      </c>
      <c r="I65" s="239">
        <f>SUMPRODUCT(([1]Peta_Persatker!G6:G1512="DOKTER TAMU")*([1]Peta_Persatker!T6:T1512="dr. Sp. Paru Sub Spesialis  Onkologi Toraks (Konsultan)"))</f>
        <v>0</v>
      </c>
      <c r="J65" s="241">
        <f>SUM(D65:I65)</f>
        <v>1</v>
      </c>
      <c r="K65" s="242"/>
      <c r="L65" s="242"/>
    </row>
    <row r="66" spans="2:12" x14ac:dyDescent="0.25">
      <c r="B66" s="239">
        <v>55</v>
      </c>
      <c r="C66" s="240" t="s">
        <v>515</v>
      </c>
      <c r="D66" s="239">
        <f>SUMPRODUCT(([1]Peta_Persatker!G6:G1512="PNS")*([1]Peta_Persatker!T6:T1512="dr. Sp. Paru Subspesialis Imunologi dan Penyakit Paru Interstisial (Konsultan)"))</f>
        <v>1</v>
      </c>
      <c r="E66" s="239">
        <f>SUMPRODUCT(([1]Peta_Persatker!G6:G1512="CPNS")*([1]Peta_Persatker!T6:T1512="dr. Sp. Paru Subspesialis Imunologi dan Penyakit Paru Interstisial (Konsultan)"))</f>
        <v>0</v>
      </c>
      <c r="F66" s="239">
        <f>SUMPRODUCT(([1]Peta_Persatker!G6:G1512="PPPK")*([1]Peta_Persatker!T6:T1512="dr. Sp. Paru Subspesialis Imunologi dan Penyakit Paru Interstisial (Konsultan)"))</f>
        <v>0</v>
      </c>
      <c r="G66" s="239">
        <f>SUMPRODUCT(([1]Peta_Persatker!G6:G1512="BLU TETAP")*([1]Peta_Persatker!T6:T1512="dr. Sp. Paru Subspesialis Imunologi dan Penyakit Paru Interstisial (Konsultan)"))</f>
        <v>0</v>
      </c>
      <c r="H66" s="239">
        <f>SUMPRODUCT(([1]Peta_Persatker!G6:G1512="KONTRAK")*([1]Peta_Persatker!T6:T1512="dr. Sp. Paru Subspesialis Imunologi dan Penyakit Paru Interstisial (Konsultan)"))</f>
        <v>0</v>
      </c>
      <c r="I66" s="239">
        <f>SUMPRODUCT(([1]Peta_Persatker!G7:G1513="DOKTER TAMU")*([1]Peta_Persatker!T7:T1513="dr. Sp. Paru Subspesialis Imunologi dan Penyakit Paru Interstisial (Konsultan)"))</f>
        <v>0</v>
      </c>
      <c r="J66" s="241">
        <f>SUM(D66:I66)</f>
        <v>1</v>
      </c>
      <c r="K66" s="242"/>
      <c r="L66" s="242"/>
    </row>
    <row r="67" spans="2:12" x14ac:dyDescent="0.25">
      <c r="B67" s="239">
        <v>56</v>
      </c>
      <c r="C67" s="240" t="s">
        <v>777</v>
      </c>
      <c r="D67" s="239">
        <f>SUMPRODUCT(([1]Peta_Persatker!G9:G1517="PNS")*([1]Peta_Persatker!T9:T1517="dr. Sp. Paru Sub Spesialis Pulmonologi Intervensi dan Kegawatdaruratan Napas (Konsultan)"))</f>
        <v>1</v>
      </c>
      <c r="E67" s="239">
        <f>SUMPRODUCT(([1]Peta_Persatker!G9:G1517="CPNS")*([1]Peta_Persatker!T9:T1517="dr. Sp. Paru Sub Spesialis Pulmonologi Intervensi dan Kegawatdaruratan Napas (Konsultan)"))</f>
        <v>0</v>
      </c>
      <c r="F67" s="239">
        <f>SUMPRODUCT(([1]Peta_Persatker!G9:G1517="PPPK")*([1]Peta_Persatker!T9:T1517="dr. Sp. Paru Sub Spesialis Pulmonologi Intervensi dan Kegawatdaruratan Napas (Konsultan)"))</f>
        <v>0</v>
      </c>
      <c r="G67" s="239">
        <f>SUMPRODUCT(([1]Peta_Persatker!G9:G1517="BLU TETAP")*([1]Peta_Persatker!T9:T1517="dr. Sp. Paru Sub Spesialis Pulmonologi Intervensi dan Kegawatdaruratan Napas (Konsultan)"))</f>
        <v>0</v>
      </c>
      <c r="H67" s="239">
        <f>SUMPRODUCT(([1]Peta_Persatker!G9:G1517="KONTRAK")*([1]Peta_Persatker!T9:T1517="dr. Sp. Paru Sub Spesialis Pulmonologi Intervensi dan Kegawatdaruratan Napas (Konsultan)"))</f>
        <v>0</v>
      </c>
      <c r="I67" s="239">
        <f>SUMPRODUCT(([1]Peta_Persatker!G9:G1517="DOKTER TAMU")*([1]Peta_Persatker!T9:T1517="dr. Sp. Paru Sub Spesialis Pulmonologi Intervensi dan Kegawatdaruratan Napas (Konsultan))"))</f>
        <v>0</v>
      </c>
      <c r="J67" s="241">
        <f>SUM(D67:I67)</f>
        <v>1</v>
      </c>
      <c r="K67" s="242"/>
      <c r="L67" s="242"/>
    </row>
    <row r="68" spans="2:12" x14ac:dyDescent="0.25">
      <c r="B68" s="239">
        <v>57</v>
      </c>
      <c r="C68" s="240" t="s">
        <v>909</v>
      </c>
      <c r="D68" s="239">
        <f>SUMPRODUCT(([1]Peta_Persatker!G5:G1511="PNS")*([1]Peta_Persatker!T5:T1511="dr. Sp. THT (Konsultan) Sub Spesialis Neurotologi"))</f>
        <v>1</v>
      </c>
      <c r="E68" s="239">
        <f>SUMPRODUCT(([1]Peta_Persatker!G5:G1511="CPNS")*([1]Peta_Persatker!T5:T1511="dr. Sp. THT (Konsultan) Sub Spesialis Neurotologi"))</f>
        <v>0</v>
      </c>
      <c r="F68" s="239">
        <f>SUMPRODUCT(([1]Peta_Persatker!G5:G1511="PPPK")*([1]Peta_Persatker!T5:T1511="dr. Sp. THT (Konsultan) Sub Spesialis Neurotologi"))</f>
        <v>0</v>
      </c>
      <c r="G68" s="239">
        <f>SUMPRODUCT(([1]Peta_Persatker!G5:G1511="BLU TETAP")*([1]Peta_Persatker!T5:T1511="dr. Sp. THT (Konsultan) Sub Spesialis Neurotologi"))</f>
        <v>0</v>
      </c>
      <c r="H68" s="239">
        <f>SUMPRODUCT(([1]Peta_Persatker!G5:G1511="KONTRAK")*([1]Peta_Persatker!T5:T1511="dr. Sp. THT (Konsultan) Sub Spesialis Neurotologi"))</f>
        <v>0</v>
      </c>
      <c r="I68" s="239">
        <f>SUMPRODUCT(([1]Peta_Persatker!G5:G1511="DOKTER TAMU")*([1]Peta_Persatker!T5:T1511="dr. Sp. THT (Konsultan) Sub Spesialis Neurotologi"))</f>
        <v>0</v>
      </c>
      <c r="J68" s="241">
        <f t="shared" si="1"/>
        <v>1</v>
      </c>
      <c r="K68" s="242">
        <f>SUM(J8:J71)</f>
        <v>122</v>
      </c>
      <c r="L68" s="242"/>
    </row>
    <row r="69" spans="2:12" x14ac:dyDescent="0.25">
      <c r="B69" s="239">
        <v>58</v>
      </c>
      <c r="C69" s="240" t="s">
        <v>5425</v>
      </c>
      <c r="D69" s="239">
        <f>SUMPRODUCT(([1]Peta_Persatker!G5:G1511="PNS")*([1]Peta_Persatker!T5:T1511="dr. Sp. MK(K)"))</f>
        <v>0</v>
      </c>
      <c r="E69" s="239">
        <f>SUMPRODUCT(([1]Peta_Persatker!G5:G1511="CPNS")*([1]Peta_Persatker!T5:T1511="dr. Sp. MK(K)"))</f>
        <v>0</v>
      </c>
      <c r="F69" s="239">
        <f>SUMPRODUCT(([1]Peta_Persatker!G5:G1511="PPPK")*([1]Peta_Persatker!T5:T1511="dr. Sp. MK(K)"))</f>
        <v>0</v>
      </c>
      <c r="G69" s="239">
        <f>SUMPRODUCT(([1]Peta_Persatker!G5:G1511="BLU TETAP")*([1]Peta_Persatker!T5:T1511="dr. Sp. MK(K)"))</f>
        <v>0</v>
      </c>
      <c r="H69" s="239">
        <f>SUMPRODUCT(([1]Peta_Persatker!G5:G1511="KONTRAK")*([1]Peta_Persatker!T5:T1511="dr. Sp. MK(K)"))</f>
        <v>0</v>
      </c>
      <c r="I69" s="239">
        <f>SUMPRODUCT(([1]Peta_Persatker!G5:G1511="DOKTER TAMU")*([1]Peta_Persatker!T5:T1511="dr. Sp. MK(K)"))</f>
        <v>0</v>
      </c>
      <c r="J69" s="241">
        <f>SUM(D69:I69)</f>
        <v>0</v>
      </c>
      <c r="K69" s="242"/>
      <c r="L69" s="242"/>
    </row>
    <row r="70" spans="2:12" x14ac:dyDescent="0.25">
      <c r="B70" s="239">
        <v>59</v>
      </c>
      <c r="C70" s="240" t="s">
        <v>5426</v>
      </c>
      <c r="D70" s="239">
        <f>SUMPRODUCT(([1]Peta_Persatker!G5:G1511="PNS")*([1]Peta_Persatker!T5:T1511="dr. Sp. PK(K) Infeksi dan Penyakit Tropik dan Konsultan Alergi Imunologi"))</f>
        <v>0</v>
      </c>
      <c r="E70" s="239">
        <f>SUMPRODUCT(([1]Peta_Persatker!G5:G1511="CPNS")*([1]Peta_Persatker!T5:T1511="dr. Sp. PK(K) Infeksi dan Penyakit Tropik dan Konsultan Alergi Imunologi"))</f>
        <v>0</v>
      </c>
      <c r="F70" s="239">
        <f>SUMPRODUCT(([1]Peta_Persatker!G5:G1511="PPPK")*([1]Peta_Persatker!T5:T1511="dr. Sp. PK(K) Infeksi dan Penyakit Tropik dan Konsultan Alergi Imunologi"))</f>
        <v>0</v>
      </c>
      <c r="G70" s="239">
        <f>SUMPRODUCT(([1]Peta_Persatker!G5:G1511="BLU TETAP")*([1]Peta_Persatker!T5:T1511="dr. Sp. PK(K) Infeksi dan Penyakit Tropik dan Konsultan Alergi Imunologi"))</f>
        <v>0</v>
      </c>
      <c r="H70" s="239">
        <f>SUMPRODUCT(([1]Peta_Persatker!G5:G1511="KONTRAK")*([1]Peta_Persatker!T5:T1511="dr. Sp. PK(K) Infeksi dan Penyakit Tropik dan Konsultan Alergi Imunologi"))</f>
        <v>0</v>
      </c>
      <c r="I70" s="239">
        <f>SUMPRODUCT(([1]Peta_Persatker!G5:G1511="DOKTER TAMU")*([1]Peta_Persatker!T5:T1511="dr. Sp. PK(K) Infeksi dan Penyakit Tropik dan Konsultan Alergi Imunologi"))</f>
        <v>0</v>
      </c>
      <c r="J70" s="241">
        <f t="shared" si="1"/>
        <v>0</v>
      </c>
      <c r="K70" s="242"/>
      <c r="L70" s="242"/>
    </row>
    <row r="71" spans="2:12" x14ac:dyDescent="0.25">
      <c r="B71" s="239">
        <v>60</v>
      </c>
      <c r="C71" s="240" t="s">
        <v>865</v>
      </c>
      <c r="D71" s="239">
        <f>SUMPRODUCT(([1]Peta_Persatker!G5:G1511="PNS")*([1]Peta_Persatker!T5:T1511="dr. Sp. Rad (K) Radiologi Intervensional"))</f>
        <v>1</v>
      </c>
      <c r="E71" s="239">
        <f>SUMPRODUCT(([1]Peta_Persatker!G5:G1511="CPNS")*([1]Peta_Persatker!T5:T1511="dr. Sp. Rad (K) Radiologi Intervensional"))</f>
        <v>0</v>
      </c>
      <c r="F71" s="239">
        <f>SUMPRODUCT(([1]Peta_Persatker!G5:G1511="PPPK")*([1]Peta_Persatker!T5:T1511="dr. Sp. Rad (K) Radiologi Intervensional"))</f>
        <v>0</v>
      </c>
      <c r="G71" s="239">
        <f>SUMPRODUCT(([1]Peta_Persatker!G5:G1511="BLU TETAP")*([1]Peta_Persatker!T5:T1511="dr. Sp. Rad (K) Radiologi Intervensional"))</f>
        <v>0</v>
      </c>
      <c r="H71" s="239">
        <f>SUMPRODUCT(([1]Peta_Persatker!G5:G1511="KONTRAK")*([1]Peta_Persatker!T5:T1511="dr. Sp. Rad (K) Radiologi Intervensional"))</f>
        <v>0</v>
      </c>
      <c r="I71" s="239">
        <f>SUMPRODUCT(([1]Peta_Persatker!G5:G1511="DOKTER TAMU")*([1]Peta_Persatker!T5:T1511="dr. Sp. Rad (K) Radiologi Intervensional"))</f>
        <v>0</v>
      </c>
      <c r="J71" s="241">
        <f>SUM(D71:I71)</f>
        <v>1</v>
      </c>
      <c r="K71" s="242"/>
      <c r="L71" s="242"/>
    </row>
    <row r="72" spans="2:12" x14ac:dyDescent="0.25">
      <c r="B72" s="239">
        <v>61</v>
      </c>
      <c r="C72" s="240" t="s">
        <v>5427</v>
      </c>
      <c r="D72" s="239">
        <f>SUMPRODUCT(([1]Peta_Persatker!G2:G1510="PNS")*([1]Peta_Persatker!T2:T1510="dr. Sp. PD. (K) Geriatri"))</f>
        <v>0</v>
      </c>
      <c r="E72" s="239">
        <f>SUMPRODUCT(([1]Peta_Persatker!G2:G1510="CPNS")*([1]Peta_Persatker!T2:T1510="dr. Sp. PD. (K) Geriatri"))</f>
        <v>0</v>
      </c>
      <c r="F72" s="239">
        <f>SUMPRODUCT(([1]Peta_Persatker!G2:G1510="PPPK")*([1]Peta_Persatker!T2:T1510="dr. Sp. PD. (K) Geriatri"))</f>
        <v>0</v>
      </c>
      <c r="G72" s="239">
        <f>SUMPRODUCT(([1]Peta_Persatker!G2:G1510="BLU TETAP")*([1]Peta_Persatker!T2:T1510="dr. Sp. PD. (K) Geriatri"))</f>
        <v>0</v>
      </c>
      <c r="H72" s="239">
        <f>SUMPRODUCT(([1]Peta_Persatker!G2:G1510="KONTRAK")*([1]Peta_Persatker!T2:T1510="dr. Sp. PD. (K) Geriatri"))</f>
        <v>0</v>
      </c>
      <c r="I72" s="239">
        <f>SUMPRODUCT(([1]Peta_Persatker!G2:G1510="DOKTER TAMU")*([1]Peta_Persatker!T2:T1510="dr. Sp. PD. (K) Geriatri"))</f>
        <v>0</v>
      </c>
      <c r="J72" s="241">
        <f>SUM(D72:I72)</f>
        <v>0</v>
      </c>
      <c r="K72" s="242"/>
      <c r="L72" s="242"/>
    </row>
    <row r="73" spans="2:12" x14ac:dyDescent="0.25">
      <c r="B73" s="239">
        <v>62</v>
      </c>
      <c r="C73" s="240" t="s">
        <v>930</v>
      </c>
      <c r="D73" s="239">
        <f>SUMPRODUCT(([1]Peta_Persatker!G3:G1510="PNS")*([1]Peta_Persatker!T3:T1510="dr. Sp. F (K), DFM"))</f>
        <v>0</v>
      </c>
      <c r="E73" s="239">
        <f>SUMPRODUCT(([1]Peta_Persatker!G3:G1510="CPNS")*([1]Peta_Persatker!T3:T1510="dr. Sp. F (K), DFM"))</f>
        <v>0</v>
      </c>
      <c r="F73" s="239">
        <f>SUMPRODUCT(([1]Peta_Persatker!G3:G1510="PPPK")*([1]Peta_Persatker!T3:T1510="dr. Sp. F (K), DFM"))</f>
        <v>0</v>
      </c>
      <c r="G73" s="239">
        <f>SUMPRODUCT(([1]Peta_Persatker!G3:G1510="BLU TETAP")*([1]Peta_Persatker!T3:T1510="dr. Sp. F (K), DFM"))</f>
        <v>0</v>
      </c>
      <c r="H73" s="239">
        <f>SUMPRODUCT(([1]Peta_Persatker!G3:G1510="KONTRAK")*([1]Peta_Persatker!T3:T1510="dr. Sp. F (K), DFM"))</f>
        <v>0</v>
      </c>
      <c r="I73" s="239">
        <f>SUMPRODUCT(([1]Peta_Persatker!G3:G1510="DOKTER TAMU")*([1]Peta_Persatker!T3:T1510="dr. Sp. F (K), DFM"))</f>
        <v>1</v>
      </c>
      <c r="J73" s="241">
        <f>SUM(D73:I73)</f>
        <v>1</v>
      </c>
      <c r="K73" s="242"/>
      <c r="L73" s="242"/>
    </row>
    <row r="74" spans="2:12" x14ac:dyDescent="0.25">
      <c r="B74" s="239">
        <v>63</v>
      </c>
      <c r="C74" s="240" t="s">
        <v>888</v>
      </c>
      <c r="D74" s="239">
        <f>SUMPRODUCT(([1]Peta_Persatker!G3:G1510="PNS")*([1]Peta_Persatker!T3:T1510="dr. Sp. Saraf (Konsultan) Neurointervensi"))</f>
        <v>1</v>
      </c>
      <c r="E74" s="239">
        <f>SUMPRODUCT(([1]Peta_Persatker!G3:G1510="CPNS")*([1]Peta_Persatker!T3:T1510="dr. Sp. Saraf (Konsultan) Neurointervensi"))</f>
        <v>0</v>
      </c>
      <c r="F74" s="239">
        <f>SUMPRODUCT(([1]Peta_Persatker!G3:G1510="PPPK")*([1]Peta_Persatker!T3:T1510="dr. Sp. Saraf (Konsultan) Neurointervensi"))</f>
        <v>0</v>
      </c>
      <c r="G74" s="239">
        <f>SUMPRODUCT(([1]Peta_Persatker!G3:G1510="BLU TETAP")*([1]Peta_Persatker!T3:T1510="dr. Sp. Saraf (Konsultan) Neurointervensi"))</f>
        <v>0</v>
      </c>
      <c r="H74" s="239">
        <f>SUMPRODUCT(([1]Peta_Persatker!G3:G1510="KONTRAK")*([1]Peta_Persatker!T3:T1510="dr. Sp. Saraf (Konsultan) Neurointervensi"))</f>
        <v>0</v>
      </c>
      <c r="I74" s="239">
        <f>SUMPRODUCT(([1]Peta_Persatker!G5:G1511="DOKTER TAMU")*([1]Peta_Persatker!T5:T1511="dr. Sp. Saraf (Konsultan) Neurointervensi"))</f>
        <v>0</v>
      </c>
      <c r="J74" s="241">
        <f t="shared" si="1"/>
        <v>1</v>
      </c>
      <c r="K74" s="242"/>
      <c r="L74" s="242"/>
    </row>
    <row r="75" spans="2:12" x14ac:dyDescent="0.25">
      <c r="B75" s="239">
        <v>64</v>
      </c>
      <c r="C75" s="240" t="s">
        <v>920</v>
      </c>
      <c r="D75" s="239">
        <f>SUMPRODUCT(([1]Peta_Persatker!G5:G1512="PNS")*([1]Peta_Persatker!T5:T1512="dr. Sp. Bedah Urologi (Konsultan) Pediatrik"))</f>
        <v>1</v>
      </c>
      <c r="E75" s="239">
        <f>SUMPRODUCT(([1]Peta_Persatker!G5:G1512="CPNS")*([1]Peta_Persatker!T5:T1512="dr. Sp. Bedah Urologi (Konsultan) Pediatrik"))</f>
        <v>0</v>
      </c>
      <c r="F75" s="239">
        <f>SUMPRODUCT(([1]Peta_Persatker!G5:G1512="PPPK")*([1]Peta_Persatker!T5:T1512="dr. Sp. Bedah Urologi (Konsultan) Pediatrik"))</f>
        <v>0</v>
      </c>
      <c r="G75" s="239">
        <f>SUMPRODUCT(([1]Peta_Persatker!G5:G1512="BLU TETAP")*([1]Peta_Persatker!T5:T1512="dr. Sp. Bedah Urologi (Konsultan) Pediatrik"))</f>
        <v>0</v>
      </c>
      <c r="H75" s="239">
        <f>SUMPRODUCT(([1]Peta_Persatker!G5:G1512="KONTRAK")*([1]Peta_Persatker!T5:T1512="dr. Sp. Bedah Urologi (Konsultan) Pediatrik"))</f>
        <v>0</v>
      </c>
      <c r="I75" s="239">
        <f>SUMPRODUCT(([1]Peta_Persatker!G5:G1512="DOKTER TAMU")*([1]Peta_Persatker!T5:T1512="dr. Sp. Bedah Urologi (Konsultan) Pediatrik"))</f>
        <v>0</v>
      </c>
      <c r="J75" s="241">
        <f t="shared" si="1"/>
        <v>1</v>
      </c>
      <c r="K75" s="242"/>
      <c r="L75" s="242"/>
    </row>
    <row r="76" spans="2:12" x14ac:dyDescent="0.25">
      <c r="B76" s="239">
        <v>65</v>
      </c>
      <c r="C76" s="240" t="s">
        <v>470</v>
      </c>
      <c r="D76" s="239">
        <f>SUMPRODUCT(([1]Peta_Persatker!G6:G1513="PNS")*([1]Peta_Persatker!T6:T1513="dr. Sp. Bedah Urologi (Konsultan) Urologi Onkologi"))</f>
        <v>1</v>
      </c>
      <c r="E76" s="239">
        <f>SUMPRODUCT(([1]Peta_Persatker!G6:G1513="CPNS")*([1]Peta_Persatker!T6:T1513="dr. Sp. Bedah Urologi (Konsultan) Urologi Onkologi"))</f>
        <v>0</v>
      </c>
      <c r="F76" s="239">
        <f>SUMPRODUCT(([1]Peta_Persatker!G6:G1513="PPPK")*([1]Peta_Persatker!T6:T1513="dr. Sp. Bedah Urologi (Konsultan) Urologi Onkologi"))</f>
        <v>0</v>
      </c>
      <c r="G76" s="239">
        <f>SUMPRODUCT(([1]Peta_Persatker!G6:G1513="BLU TETAP")*([1]Peta_Persatker!T6:T1513="dr. Sp. Bedah Urologi (Konsultan) Urologi Onkologi"))</f>
        <v>0</v>
      </c>
      <c r="H76" s="239">
        <f>SUMPRODUCT(([1]Peta_Persatker!G6:G1513="KONTRAK")*([1]Peta_Persatker!T6:T1513="dr. Sp. Bedah Urologi (Konsultan) Urologi Onkologi"))</f>
        <v>0</v>
      </c>
      <c r="I76" s="239">
        <f>SUMPRODUCT(([1]Peta_Persatker!G6:G1513="DOKTER TAMU")*([1]Peta_Persatker!T6:T1513="dr. Sp. Bedah Urologi (Konsultan) Urologi Onkologi"))</f>
        <v>0</v>
      </c>
      <c r="J76" s="241">
        <f t="shared" si="1"/>
        <v>1</v>
      </c>
      <c r="K76" s="242"/>
      <c r="L76" s="242"/>
    </row>
    <row r="77" spans="2:12" x14ac:dyDescent="0.25">
      <c r="B77" s="239">
        <v>66</v>
      </c>
      <c r="C77" s="240" t="s">
        <v>108</v>
      </c>
      <c r="D77" s="239">
        <f>SUMPRODUCT(([1]Peta_Persatker!G5:G1512="PNS")*([1]Peta_Persatker!T5:T1512="drg. Sp. Periodonsia (Konsultan)"))</f>
        <v>1</v>
      </c>
      <c r="E77" s="239">
        <f>SUMPRODUCT(([1]Peta_Persatker!G5:G1512="CPNS")*([1]Peta_Persatker!T5:T1512="drg. Sp. Periodonsia (Konsultan)"))</f>
        <v>0</v>
      </c>
      <c r="F77" s="239">
        <f>SUMPRODUCT(([1]Peta_Persatker!G6:G1513="PPPK")*([1]Peta_Persatker!T6:T1513="drg. Sp. Periodonsia (Konsultan)"))</f>
        <v>0</v>
      </c>
      <c r="G77" s="239">
        <f>SUMPRODUCT(([1]Peta_Persatker!G6:G1513="BLU TETAP")*([1]Peta_Persatker!T6:T1513="drg. Sp. Periodonsia (Konsultan)"))</f>
        <v>0</v>
      </c>
      <c r="H77" s="239">
        <f>SUMPRODUCT(([1]Peta_Persatker!G6:G1513="KONTRAK")*([1]Peta_Persatker!T6:T1513="drg. Sp. Periodonsia (Konsultan)"))</f>
        <v>0</v>
      </c>
      <c r="I77" s="239">
        <f>SUMPRODUCT(([1]Peta_Persatker!G6:G1513="DOKTER TAMU")*([1]Peta_Persatker!T6:T1513="drg. Sp. Periodonsia (Konsultan)"))</f>
        <v>0</v>
      </c>
      <c r="J77" s="241">
        <f t="shared" si="1"/>
        <v>1</v>
      </c>
      <c r="K77" s="242"/>
      <c r="L77" s="242"/>
    </row>
    <row r="78" spans="2:12" x14ac:dyDescent="0.25">
      <c r="B78" s="239">
        <v>67</v>
      </c>
      <c r="C78" s="240" t="s">
        <v>5428</v>
      </c>
      <c r="D78" s="244">
        <f>SUMPRODUCT(([1]Peta_Persatker!G3:G1510="PNS")*([1]Peta_Persatker!T3:T1510="drg. Sp. PM Konsultan Infeksi Oral"))</f>
        <v>0</v>
      </c>
      <c r="E78" s="244">
        <f>SUMPRODUCT(([1]Peta_Persatker!G3:G1510="CPNS")*([1]Peta_Persatker!T3:T1510="drg. Sp. PM Konsultan Infeksi Oral"))</f>
        <v>0</v>
      </c>
      <c r="F78" s="244">
        <f>SUMPRODUCT(([1]Peta_Persatker!G3:G1510="PPPK")*([1]Peta_Persatker!T3:T1510="drg. Sp. PM Konsultan Infeksi Oral"))</f>
        <v>0</v>
      </c>
      <c r="G78" s="239">
        <f>SUMPRODUCT(([1]Peta_Persatker!G3:G1510="BLU TETAP")*([1]Peta_Persatker!T3:T1510="drg. Sp. PM Konsultan Infeksi Oral"))</f>
        <v>0</v>
      </c>
      <c r="H78" s="239">
        <f>SUMPRODUCT(([1]Peta_Persatker!G3:G1510="KONTRAK")*([1]Peta_Persatker!T3:T1510="drg. Sp. PM Konsultan Infeksi Oral"))</f>
        <v>0</v>
      </c>
      <c r="I78" s="239">
        <f>SUMPRODUCT(([1]Peta_Persatker!G3:G1510="DOKTER TAMU")*([1]Peta_Persatker!T3:T1510="drg. Sp. PM Konsultan Infeksi Oral"))</f>
        <v>0</v>
      </c>
      <c r="J78" s="241">
        <f>SUM(D78:I78)</f>
        <v>0</v>
      </c>
      <c r="K78" s="242"/>
      <c r="L78" s="242"/>
    </row>
    <row r="79" spans="2:12" x14ac:dyDescent="0.25">
      <c r="B79" s="239">
        <v>68</v>
      </c>
      <c r="C79" s="240" t="s">
        <v>654</v>
      </c>
      <c r="D79" s="239">
        <f>SUMPRODUCT(([1]Peta_Persatker!G2:G1510="PNS")*([1]Peta_Persatker!T2:T1510="drg. Sp. Bedah Mulut Subspesialis Bedah Trauma Maksilofasial dan Kelainan Tempora Mandibular Joint"))</f>
        <v>1</v>
      </c>
      <c r="E79" s="239">
        <f>SUMPRODUCT(([1]Peta_Persatker!G2:G1510="CPNS")*([1]Peta_Persatker!T2:T1510="drg. Sp. Bedah Mulut Subspesialis Bedah Trauma Maksilofasial dan Kelainan Tempora Mandibular Joint"))</f>
        <v>0</v>
      </c>
      <c r="F79" s="239">
        <f>SUMPRODUCT(([1]Peta_Persatker!G2:G1510="PPPK")*([1]Peta_Persatker!T2:T1510="drg. Sp. Bedah Mulut Subspesialis Bedah Trauma Maksilofasial dan Kelainan Tempora Mandibular Joint"))</f>
        <v>0</v>
      </c>
      <c r="G79" s="239">
        <f>SUMPRODUCT(([1]Peta_Persatker!G2:G1510="BLU TETAP")*([1]Peta_Persatker!T2:T1510="drg. Sp. Bedah Mulut Subspesialis Bedah Trauma Maksilofasial dan Kelainan Tempora Mandibular Joint"))</f>
        <v>0</v>
      </c>
      <c r="H79" s="239">
        <f>SUMPRODUCT(([1]Peta_Persatker!G2:G1510="KONTRAK")*([1]Peta_Persatker!T2:T1510="drg. Sp. Bedah Mulut Subspesialis Bedah Trauma Maksilofasial dan Kelainan Tempora Mandibular Joint"))</f>
        <v>0</v>
      </c>
      <c r="I79" s="239">
        <f>SUMPRODUCT(([1]Peta_Persatker!G2:G1510="DOKTER TAMU")*([1]Peta_Persatker!T2:T1510="drg. Sp. Bedah Mulut Subspesialis Bedah Trauma Maksilofasial dan Kelainan Tempora Mandibular Joint"))</f>
        <v>0</v>
      </c>
      <c r="J79" s="241">
        <f>SUM(D79:I79)</f>
        <v>1</v>
      </c>
      <c r="K79" s="242"/>
      <c r="L79" s="242"/>
    </row>
    <row r="80" spans="2:12" x14ac:dyDescent="0.25">
      <c r="B80" s="239">
        <v>69</v>
      </c>
      <c r="C80" s="240" t="s">
        <v>562</v>
      </c>
      <c r="D80" s="239">
        <f>SUMPRODUCT(([1]Peta_Persatker!G3:G1511="PNS")*([1]Peta_Persatker!T3:T1511="dr. Sp. Anestesi Konsultan Intensif Care"))</f>
        <v>1</v>
      </c>
      <c r="E80" s="239">
        <f>SUMPRODUCT(([1]Peta_Persatker!G3:G1511="CPNS")*([1]Peta_Persatker!T3:T1511="dr. Sp. Anestesi Konsultan Intensif Care"))</f>
        <v>0</v>
      </c>
      <c r="F80" s="239">
        <f>SUMPRODUCT(([1]Peta_Persatker!G3:G1511="PPPK")*([1]Peta_Persatker!T3:T1511="dr. Sp. Anestesi Konsultan Intensif Care"))</f>
        <v>0</v>
      </c>
      <c r="G80" s="239">
        <f>SUMPRODUCT(([1]Peta_Persatker!G3:G1511="BLU TETAP")*([1]Peta_Persatker!T3:T1511="dr. Sp. Anestesi Konsultan Intensif Care"))</f>
        <v>0</v>
      </c>
      <c r="H80" s="239">
        <f>SUMPRODUCT(([1]Peta_Persatker!G3:G1511="KONTRAK")*([1]Peta_Persatker!T3:T1511="dr. Sp. Anestesi Konsultan Intensif Care"))</f>
        <v>0</v>
      </c>
      <c r="I80" s="239">
        <f>SUMPRODUCT(([1]Peta_Persatker!G3:G1511="DOKTER TAMU")*([1]Peta_Persatker!T3:T1511="dr. Sp. Anestesi Konsultan Intensif Care"))</f>
        <v>0</v>
      </c>
      <c r="J80" s="241">
        <f>SUM(D80:I80)</f>
        <v>1</v>
      </c>
      <c r="K80" s="242"/>
      <c r="L80" s="242"/>
    </row>
    <row r="81" spans="2:12" x14ac:dyDescent="0.25">
      <c r="B81" s="239">
        <v>70</v>
      </c>
      <c r="C81" s="240" t="s">
        <v>382</v>
      </c>
      <c r="D81" s="239">
        <f>SUMPRODUCT(([1]Peta_Persatker!G2:G1510="PNS")*([1]Peta_Persatker!T2:T1510="Dr. Sp. Kedokteran Jiwa (Konsultan) Sub Spesialis Psikiatri Anak dan Remaja"))</f>
        <v>1</v>
      </c>
      <c r="E81" s="239">
        <f>SUMPRODUCT(([1]Peta_Persatker!G2:G1510="CPNS")*([1]Peta_Persatker!T2:T1510="Dr. Sp. Kedokteran Jiwa (Konsultan) Sub Spesialis Psikiatri Anak dan Remaja"))</f>
        <v>0</v>
      </c>
      <c r="F81" s="239">
        <f>SUMPRODUCT(([1]Peta_Persatker!G2:G1510="PPPK")*([1]Peta_Persatker!T2:T1510="Dr. Sp. Kedokteran Jiwa (Konsultan) Sub Spesialis Psikiatri Anak dan Remaja"))</f>
        <v>0</v>
      </c>
      <c r="G81" s="239">
        <f>SUMPRODUCT(([1]Peta_Persatker!G2:G1510="BLU TETAP")*([1]Peta_Persatker!T2:T1510="Dr. Sp. Kedokteran Jiwa (Konsultan) Sub Spesialis Psikiatri Anak dan Remaja"))</f>
        <v>0</v>
      </c>
      <c r="H81" s="239">
        <f>SUMPRODUCT(([1]Peta_Persatker!G2:G1510="KONTRAK")*([1]Peta_Persatker!T2:T1510="Dr. Sp. Kedokteran Jiwa (Konsultan) Sub Spesialis Psikiatri Anak dan Remaja"))</f>
        <v>0</v>
      </c>
      <c r="I81" s="239">
        <f>SUMPRODUCT(([1]Peta_Persatker!G2:G1510="DOKTER TAMU")*([1]Peta_Persatker!T2:T1510="Dr. Sp. Kedokteran Jiwa (Konsultan) Sub Spesialis Psikiatri Anak dan Remaja"))</f>
        <v>0</v>
      </c>
      <c r="J81" s="241">
        <f t="shared" si="1"/>
        <v>1</v>
      </c>
      <c r="K81" s="242"/>
      <c r="L81" s="242"/>
    </row>
    <row r="82" spans="2:12" x14ac:dyDescent="0.25">
      <c r="B82" s="241"/>
      <c r="C82" s="241" t="s">
        <v>5429</v>
      </c>
      <c r="D82" s="241">
        <f t="shared" ref="D82:I82" si="2">SUM(D8:D81)</f>
        <v>90</v>
      </c>
      <c r="E82" s="241">
        <f t="shared" si="2"/>
        <v>16</v>
      </c>
      <c r="F82" s="241">
        <f t="shared" si="2"/>
        <v>13</v>
      </c>
      <c r="G82" s="241">
        <f t="shared" si="2"/>
        <v>2</v>
      </c>
      <c r="H82" s="241">
        <f t="shared" si="2"/>
        <v>0</v>
      </c>
      <c r="I82" s="241">
        <f t="shared" si="2"/>
        <v>9</v>
      </c>
      <c r="J82" s="241">
        <f>SUM(D82:I82)</f>
        <v>130</v>
      </c>
      <c r="K82" s="242"/>
      <c r="L82" s="242"/>
    </row>
    <row r="83" spans="2:12" x14ac:dyDescent="0.25">
      <c r="B83" s="229" t="s">
        <v>5430</v>
      </c>
      <c r="C83" s="230" t="s">
        <v>5431</v>
      </c>
      <c r="D83" s="231"/>
      <c r="E83" s="231"/>
      <c r="F83" s="231"/>
      <c r="G83" s="231"/>
      <c r="H83" s="231"/>
      <c r="I83" s="231"/>
      <c r="J83" s="231"/>
      <c r="K83" s="232"/>
    </row>
    <row r="84" spans="2:12" x14ac:dyDescent="0.25">
      <c r="B84" s="239">
        <v>1</v>
      </c>
      <c r="C84" s="240" t="s">
        <v>267</v>
      </c>
      <c r="D84" s="239">
        <f>SUMPRODUCT(([1]Peta_Persatker!G2:G1510="PNS")*([1]Peta_Persatker!T2:T1510="M. Kep"))</f>
        <v>5</v>
      </c>
      <c r="E84" s="239">
        <f>SUMPRODUCT(([1]Peta_Persatker!G2:G1510="CPNS")*([1]Peta_Persatker!T2:T1510="M. Kep"))</f>
        <v>0</v>
      </c>
      <c r="F84" s="239">
        <f>SUMPRODUCT(([1]Peta_Persatker!G2:G1510="PPPK")*([1]Peta_Persatker!T2:T1510="M. Kep"))</f>
        <v>0</v>
      </c>
      <c r="G84" s="239">
        <f>SUMPRODUCT(([1]Peta_Persatker!G2:G1510="BLU TETAP")*([1]Peta_Persatker!T2:T1510="M. Kep"))</f>
        <v>0</v>
      </c>
      <c r="H84" s="239">
        <f>SUMPRODUCT(([1]Peta_Persatker!G2:G1510="KONTRAK")*([1]Peta_Persatker!T2:T1510="M. Kep"))</f>
        <v>0</v>
      </c>
      <c r="I84" s="239"/>
      <c r="J84" s="241">
        <f t="shared" ref="J84:J91" si="3">SUM(D84:H84)</f>
        <v>5</v>
      </c>
      <c r="K84" s="242"/>
    </row>
    <row r="85" spans="2:12" x14ac:dyDescent="0.25">
      <c r="B85" s="239">
        <v>2</v>
      </c>
      <c r="C85" s="240" t="s">
        <v>2477</v>
      </c>
      <c r="D85" s="239">
        <f>SUMPRODUCT(([1]Peta_Persatker!G2:G1510="PNS")*([1]Peta_Persatker!T2:T1510="S1 Keperawatan"))</f>
        <v>1</v>
      </c>
      <c r="E85" s="239">
        <f>SUMPRODUCT(([1]Peta_Persatker!G2:G1510="CPNS")*([1]Peta_Persatker!T2:T1510="S1 Keperawatan"))</f>
        <v>0</v>
      </c>
      <c r="F85" s="239">
        <f>SUMPRODUCT(([1]Peta_Persatker!G2:G1510="PPPK")*([1]Peta_Persatker!T2:T1510="S1 Keperawatan"))</f>
        <v>0</v>
      </c>
      <c r="G85" s="239">
        <f>SUMPRODUCT(([1]Peta_Persatker!G2:G1510="BLU TETAP")*([1]Peta_Persatker!T2:T1510="S1 Keperawatan"))</f>
        <v>0</v>
      </c>
      <c r="H85" s="239">
        <f>SUMPRODUCT(([1]Peta_Persatker!G2:G1510="KONTRAK")*([1]Peta_Persatker!T2:T1510="S1 Keperawatan"))</f>
        <v>0</v>
      </c>
      <c r="I85" s="239"/>
      <c r="J85" s="241">
        <f t="shared" si="3"/>
        <v>1</v>
      </c>
      <c r="L85" s="242"/>
    </row>
    <row r="86" spans="2:12" x14ac:dyDescent="0.25">
      <c r="B86" s="239">
        <v>3</v>
      </c>
      <c r="C86" s="240" t="s">
        <v>5432</v>
      </c>
      <c r="D86" s="239">
        <f>SUMPRODUCT(([1]Peta_Persatker!G2:G1510="PNS")*([1]Peta_Persatker!T2:T1510="Ners"))</f>
        <v>191</v>
      </c>
      <c r="E86" s="239">
        <f>SUMPRODUCT(([1]Peta_Persatker!G2:G1510="CPNS")*([1]Peta_Persatker!T2:T1510="Ners"))</f>
        <v>38</v>
      </c>
      <c r="F86" s="239">
        <f>SUMPRODUCT(([1]Peta_Persatker!G2:G1510="PPPK")*([1]Peta_Persatker!T2:T1510="Ners"))</f>
        <v>49</v>
      </c>
      <c r="G86" s="239">
        <f>SUMPRODUCT(([1]Peta_Persatker!G2:G1510="BLU TETAP")*([1]Peta_Persatker!T2:T1510="Ners"))</f>
        <v>0</v>
      </c>
      <c r="H86" s="239">
        <f>SUMPRODUCT(([1]Peta_Persatker!G2:G1510="KONTRAK")*([1]Peta_Persatker!T2:T1510="Ners"))</f>
        <v>53</v>
      </c>
      <c r="I86" s="239"/>
      <c r="J86" s="241">
        <f t="shared" si="3"/>
        <v>331</v>
      </c>
      <c r="K86" s="242"/>
    </row>
    <row r="87" spans="2:12" x14ac:dyDescent="0.25">
      <c r="B87" s="239">
        <v>4</v>
      </c>
      <c r="C87" s="240" t="s">
        <v>1164</v>
      </c>
      <c r="D87" s="239">
        <f>SUMPRODUCT(([1]Peta_Persatker!G2:G1510="PNS")*([1]Peta_Persatker!T2:T1510="D4 Keperawatan"))</f>
        <v>5</v>
      </c>
      <c r="E87" s="239">
        <f>SUMPRODUCT(([1]Peta_Persatker!G2:G1510="CPNS")*([1]Peta_Persatker!T2:T1510="D4 Keperawatan"))</f>
        <v>1</v>
      </c>
      <c r="F87" s="239">
        <f>SUMPRODUCT(([1]Peta_Persatker!G2:G1510="PPPK")*([1]Peta_Persatker!T2:T1510="D4 Keperawatan"))</f>
        <v>3</v>
      </c>
      <c r="G87" s="239">
        <f>SUMPRODUCT(([1]Peta_Persatker!G2:G1510="BLU TETAP")*([1]Peta_Persatker!T2:T1510="D4 Keperawatan"))</f>
        <v>0</v>
      </c>
      <c r="H87" s="239">
        <f>SUMPRODUCT(([1]Peta_Persatker!G2:G1510="KONTRAK")*([1]Peta_Persatker!T2:T1510="D4 Keperawatan"))</f>
        <v>0</v>
      </c>
      <c r="I87" s="239"/>
      <c r="J87" s="241">
        <f t="shared" si="3"/>
        <v>9</v>
      </c>
      <c r="K87" s="242"/>
    </row>
    <row r="88" spans="2:12" x14ac:dyDescent="0.25">
      <c r="B88" s="239">
        <v>5</v>
      </c>
      <c r="C88" s="240" t="s">
        <v>1172</v>
      </c>
      <c r="D88" s="239">
        <f>SUMPRODUCT(([1]Peta_Persatker!G2:G1510="PNS")*([1]Peta_Persatker!T2:T1510="D3 Keperawatan"))</f>
        <v>76</v>
      </c>
      <c r="E88" s="239">
        <f>SUMPRODUCT(([1]Peta_Persatker!G2:G1510="CPNS")*([1]Peta_Persatker!T2:T1510="D3 Keperawatan"))</f>
        <v>3</v>
      </c>
      <c r="F88" s="239">
        <f>SUMPRODUCT(([1]Peta_Persatker!G2:G1510="PPPK")*([1]Peta_Persatker!T2:T1510="D3 Keperawatan"))</f>
        <v>63</v>
      </c>
      <c r="G88" s="239">
        <f>SUMPRODUCT(([1]Peta_Persatker!G2:G1510="BLU TETAP")*([1]Peta_Persatker!T2:T1510="D3 Keperawatan"))</f>
        <v>0</v>
      </c>
      <c r="H88" s="239">
        <f>SUMPRODUCT(([1]Peta_Persatker!G2:G1510="KONTRAK")*([1]Peta_Persatker!T2:T1510="D3 Keperawatan"))</f>
        <v>18</v>
      </c>
      <c r="I88" s="239"/>
      <c r="J88" s="241">
        <f t="shared" si="3"/>
        <v>160</v>
      </c>
      <c r="K88" s="242"/>
    </row>
    <row r="89" spans="2:12" x14ac:dyDescent="0.25">
      <c r="B89" s="239">
        <v>6</v>
      </c>
      <c r="C89" s="240" t="s">
        <v>1167</v>
      </c>
      <c r="D89" s="239">
        <f>SUMPRODUCT(([1]Peta_Persatker!G2:G1510="PNS")*([1]Peta_Persatker!T2:T1510="Akper"))</f>
        <v>38</v>
      </c>
      <c r="E89" s="239">
        <f>SUMPRODUCT(([1]Peta_Persatker!G2:G1510="CPNS")*([1]Peta_Persatker!T2:T1510="Akper"))</f>
        <v>0</v>
      </c>
      <c r="F89" s="239">
        <f>SUMPRODUCT(([1]Peta_Persatker!G2:G1510="PPPK")*([1]Peta_Persatker!T2:T1510="Akper"))</f>
        <v>18</v>
      </c>
      <c r="G89" s="239">
        <f>SUMPRODUCT(([1]Peta_Persatker!G2:G1510="BLU TETAP")*([1]Peta_Persatker!T2:T1510="Akper"))</f>
        <v>0</v>
      </c>
      <c r="H89" s="239">
        <f>SUMPRODUCT(([1]Peta_Persatker!G2:G1510="KONTRAK")*([1]Peta_Persatker!T2:T1510="Akper"))</f>
        <v>0</v>
      </c>
      <c r="I89" s="239"/>
      <c r="J89" s="241">
        <f t="shared" si="3"/>
        <v>56</v>
      </c>
      <c r="K89" s="242"/>
    </row>
    <row r="90" spans="2:12" x14ac:dyDescent="0.25">
      <c r="B90" s="239">
        <v>7</v>
      </c>
      <c r="C90" s="245" t="s">
        <v>5433</v>
      </c>
      <c r="D90" s="246">
        <f>SUMPRODUCT(([1]Peta_Persatker!G2:G1510="PNS")*([1]Peta_Persatker!T2:T1510="SPRG"))</f>
        <v>0</v>
      </c>
      <c r="E90" s="246">
        <f>SUMPRODUCT(([1]Peta_Persatker!G2:G1510="CPNS")*([1]Peta_Persatker!T2:T1510="SPRG"))</f>
        <v>0</v>
      </c>
      <c r="F90" s="246">
        <f>SUMPRODUCT(([1]Peta_Persatker!G2:G1510="PPPK")*([1]Peta_Persatker!T2:T1510="SPRG"))</f>
        <v>0</v>
      </c>
      <c r="G90" s="246">
        <f>SUMPRODUCT(([1]Peta_Persatker!G2:G1510="BLU TETAP")*([1]Peta_Persatker!T2:T1510="SPRG"))</f>
        <v>0</v>
      </c>
      <c r="H90" s="246">
        <f>SUMPRODUCT(([1]Peta_Persatker!G2:G1510="KONTRAK")*([1]Peta_Persatker!T2:T1510="SPRG"))</f>
        <v>0</v>
      </c>
      <c r="I90" s="246"/>
      <c r="J90" s="241">
        <f t="shared" si="3"/>
        <v>0</v>
      </c>
      <c r="K90" s="242"/>
    </row>
    <row r="91" spans="2:12" x14ac:dyDescent="0.25">
      <c r="B91" s="241"/>
      <c r="C91" s="241" t="s">
        <v>5429</v>
      </c>
      <c r="D91" s="241">
        <f>SUM(D84:D90)</f>
        <v>316</v>
      </c>
      <c r="E91" s="241">
        <f>SUM(E84:E90)</f>
        <v>42</v>
      </c>
      <c r="F91" s="241">
        <f>SUM(F84:F90)</f>
        <v>133</v>
      </c>
      <c r="G91" s="241">
        <f>SUM(G84:G90)</f>
        <v>0</v>
      </c>
      <c r="H91" s="241">
        <f>SUM(H84:H90)</f>
        <v>71</v>
      </c>
      <c r="I91" s="241"/>
      <c r="J91" s="241">
        <f t="shared" si="3"/>
        <v>562</v>
      </c>
      <c r="K91" s="242"/>
    </row>
    <row r="92" spans="2:12" x14ac:dyDescent="0.25">
      <c r="B92" s="229" t="s">
        <v>5434</v>
      </c>
      <c r="C92" s="230" t="s">
        <v>5435</v>
      </c>
      <c r="D92" s="231"/>
      <c r="E92" s="231"/>
      <c r="F92" s="231"/>
      <c r="G92" s="231"/>
      <c r="H92" s="231"/>
      <c r="I92" s="231"/>
      <c r="J92" s="231"/>
      <c r="K92" s="232"/>
    </row>
    <row r="93" spans="2:12" x14ac:dyDescent="0.25">
      <c r="B93" s="239">
        <v>1</v>
      </c>
      <c r="C93" s="240" t="s">
        <v>3065</v>
      </c>
      <c r="D93" s="239">
        <f>SUMPRODUCT(([1]Peta_Persatker!G2:G1520="PNS")*([1]Peta_Persatker!T2:T1520="M. Keb"))</f>
        <v>1</v>
      </c>
      <c r="E93" s="239">
        <f>SUMPRODUCT(([1]Peta_Persatker!G2:G1520="CPNS")*([1]Peta_Persatker!T2:T1520="M. Keb"))</f>
        <v>0</v>
      </c>
      <c r="F93" s="239">
        <f>SUMPRODUCT(([1]Peta_Persatker!G2:G1520="PPPK")*([1]Peta_Persatker!T2:T1520="M. Keb"))</f>
        <v>0</v>
      </c>
      <c r="G93" s="239">
        <f>SUMPRODUCT(([1]Peta_Persatker!G2:G1520="BLU TETAP")*([1]Peta_Persatker!T2:T1520="M. Keb"))</f>
        <v>0</v>
      </c>
      <c r="H93" s="239">
        <f>SUMPRODUCT(([1]Peta_Persatker!G2:G1520="KONTRAK")*([1]Peta_Persatker!T2:T1520="M. Keb"))</f>
        <v>0</v>
      </c>
      <c r="I93" s="239"/>
      <c r="J93" s="241">
        <f t="shared" ref="J93:J98" si="4">SUM(D93:H93)</f>
        <v>1</v>
      </c>
      <c r="K93" s="242"/>
    </row>
    <row r="94" spans="2:12" x14ac:dyDescent="0.25">
      <c r="B94" s="239">
        <v>2</v>
      </c>
      <c r="C94" s="240" t="s">
        <v>3632</v>
      </c>
      <c r="D94" s="239">
        <f>SUMPRODUCT(([1]Peta_Persatker!G2:G1521="PNS")*([1]Peta_Persatker!T2:T1521="S1 Kebidanan"))</f>
        <v>1</v>
      </c>
      <c r="E94" s="239">
        <f>SUMPRODUCT(([1]Peta_Persatker!G2:G1521="CPNS")*([1]Peta_Persatker!T2:T1521="S1 Kebidanan"))</f>
        <v>0</v>
      </c>
      <c r="F94" s="239">
        <f>SUMPRODUCT(([1]Peta_Persatker!G2:G1521="PPPK")*([1]Peta_Persatker!T2:T1521="S1 Kebidanan"))</f>
        <v>0</v>
      </c>
      <c r="G94" s="239">
        <f>SUMPRODUCT(([1]Peta_Persatker!G2:G1521="BLU TETAP")*([1]Peta_Persatker!T2:T1521="S1 Kebidanan"))</f>
        <v>0</v>
      </c>
      <c r="H94" s="239">
        <f>SUMPRODUCT(([1]Peta_Persatker!G2:G1521="KONTRAK")*([1]Peta_Persatker!T2:T1521="S1 Kebidanan"))</f>
        <v>0</v>
      </c>
      <c r="I94" s="239"/>
      <c r="J94" s="241">
        <f t="shared" si="4"/>
        <v>1</v>
      </c>
      <c r="K94" s="242"/>
    </row>
    <row r="95" spans="2:12" x14ac:dyDescent="0.25">
      <c r="B95" s="239">
        <v>3</v>
      </c>
      <c r="C95" s="240" t="s">
        <v>1216</v>
      </c>
      <c r="D95" s="239">
        <f>SUMPRODUCT(([1]Peta_Persatker!G2:G1510="PNS")*([1]Peta_Persatker!T2:T1510="D4 Kebidanan"))</f>
        <v>10</v>
      </c>
      <c r="E95" s="239">
        <f>SUMPRODUCT(([1]Peta_Persatker!G2:G1510="CPNS")*([1]Peta_Persatker!T2:T1510="D4 Kebidanan"))</f>
        <v>0</v>
      </c>
      <c r="F95" s="239">
        <f>SUMPRODUCT(([1]Peta_Persatker!G2:G1510="PPPK")*([1]Peta_Persatker!T2:T1510="D4 Kebidanan"))</f>
        <v>0</v>
      </c>
      <c r="G95" s="239">
        <f>SUMPRODUCT(([1]Peta_Persatker!G2:G1510="BLU TETAP")*([1]Peta_Persatker!T2:T1510="D4 Kebidanan"))</f>
        <v>0</v>
      </c>
      <c r="H95" s="239">
        <f>SUMPRODUCT(([1]Peta_Persatker!G2:G1510="KONTRAK")*([1]Peta_Persatker!T2:T1510="D4 Kebidanan"))</f>
        <v>2</v>
      </c>
      <c r="I95" s="239"/>
      <c r="J95" s="241">
        <f t="shared" si="4"/>
        <v>12</v>
      </c>
      <c r="K95" s="242"/>
    </row>
    <row r="96" spans="2:12" x14ac:dyDescent="0.25">
      <c r="B96" s="239">
        <v>4</v>
      </c>
      <c r="C96" s="240" t="s">
        <v>3013</v>
      </c>
      <c r="D96" s="239">
        <f>SUMPRODUCT(([1]Peta_Persatker!G2:G1510="PNS")*([1]Peta_Persatker!T2:T1510="D3 Kebidanan"))</f>
        <v>19</v>
      </c>
      <c r="E96" s="239">
        <f>SUMPRODUCT(([1]Peta_Persatker!G2:G1510="CPNS")*([1]Peta_Persatker!T2:T1510="D3 Kebidanan"))</f>
        <v>0</v>
      </c>
      <c r="F96" s="239">
        <f>SUMPRODUCT(([1]Peta_Persatker!G2:G1510="PPPK")*([1]Peta_Persatker!T2:T1510="D3 Kebidanan"))</f>
        <v>3</v>
      </c>
      <c r="G96" s="239">
        <f>SUMPRODUCT(([1]Peta_Persatker!G2:G1510="BLU TETAP")*([1]Peta_Persatker!T2:T1510="D3 Kebidanan"))</f>
        <v>9</v>
      </c>
      <c r="H96" s="239">
        <f>SUMPRODUCT(([1]Peta_Persatker!G2:G1510="KONTRAK")*([1]Peta_Persatker!T2:T1510="D3 Kebidanan"))</f>
        <v>0</v>
      </c>
      <c r="I96" s="239"/>
      <c r="J96" s="241">
        <f t="shared" si="4"/>
        <v>31</v>
      </c>
      <c r="K96" s="242"/>
    </row>
    <row r="97" spans="2:11" x14ac:dyDescent="0.25">
      <c r="B97" s="239">
        <v>5</v>
      </c>
      <c r="C97" s="240" t="s">
        <v>3669</v>
      </c>
      <c r="D97" s="239">
        <f>SUMPRODUCT(([1]Peta_Persatker!G2:G1510="PNS")*([1]Peta_Persatker!T2:T1510="Akbid"))</f>
        <v>0</v>
      </c>
      <c r="E97" s="239">
        <f>SUMPRODUCT(([1]Peta_Persatker!G2:G1510="CPNS")*([1]Peta_Persatker!T2:T1510="Akbid"))</f>
        <v>0</v>
      </c>
      <c r="F97" s="239">
        <f>SUMPRODUCT(([1]Peta_Persatker!G2:G1510="PPPK")*([1]Peta_Persatker!T2:T1510="Akbid"))</f>
        <v>1</v>
      </c>
      <c r="G97" s="239">
        <f>SUMPRODUCT(([1]Peta_Persatker!G2:G1510="BLU TETAP")*([1]Peta_Persatker!T2:T1510="Akbid"))</f>
        <v>0</v>
      </c>
      <c r="H97" s="239">
        <f>SUMPRODUCT(([1]Peta_Persatker!G2:G1510="KONTRAK")*([1]Peta_Persatker!T2:T1510="Akbid"))</f>
        <v>0</v>
      </c>
      <c r="I97" s="239"/>
      <c r="J97" s="241">
        <f t="shared" si="4"/>
        <v>1</v>
      </c>
      <c r="K97" s="242"/>
    </row>
    <row r="98" spans="2:11" ht="15.75" thickBot="1" x14ac:dyDescent="0.3">
      <c r="B98" s="241"/>
      <c r="C98" s="241" t="s">
        <v>5429</v>
      </c>
      <c r="D98" s="241">
        <f>SUM(D93:D97)</f>
        <v>31</v>
      </c>
      <c r="E98" s="241">
        <f>SUM(E93:E97)</f>
        <v>0</v>
      </c>
      <c r="F98" s="241">
        <f>SUM(F93:F97)</f>
        <v>4</v>
      </c>
      <c r="G98" s="241">
        <f>SUM(G93:G97)</f>
        <v>9</v>
      </c>
      <c r="H98" s="241">
        <f>SUM(H93:H97)</f>
        <v>2</v>
      </c>
      <c r="I98" s="241"/>
      <c r="J98" s="241">
        <f t="shared" si="4"/>
        <v>46</v>
      </c>
      <c r="K98" s="242"/>
    </row>
    <row r="99" spans="2:11" s="223" customFormat="1" x14ac:dyDescent="0.25">
      <c r="B99" s="226" t="s">
        <v>5412</v>
      </c>
      <c r="C99" s="226" t="s">
        <v>5413</v>
      </c>
      <c r="D99" s="226" t="s">
        <v>41</v>
      </c>
      <c r="E99" s="226" t="s">
        <v>192</v>
      </c>
      <c r="F99" s="247" t="s">
        <v>238</v>
      </c>
      <c r="G99" s="227" t="s">
        <v>66</v>
      </c>
      <c r="H99" s="226" t="s">
        <v>1063</v>
      </c>
      <c r="I99" s="226"/>
      <c r="J99" s="226" t="s">
        <v>5409</v>
      </c>
      <c r="K99" s="242"/>
    </row>
    <row r="100" spans="2:11" x14ac:dyDescent="0.25">
      <c r="B100" s="229" t="s">
        <v>5436</v>
      </c>
      <c r="C100" s="230" t="s">
        <v>5437</v>
      </c>
      <c r="D100" s="231"/>
      <c r="E100" s="231"/>
      <c r="F100" s="231"/>
      <c r="G100" s="231"/>
      <c r="H100" s="231"/>
      <c r="I100" s="231"/>
      <c r="J100" s="231"/>
      <c r="K100" s="228"/>
    </row>
    <row r="101" spans="2:11" x14ac:dyDescent="0.25">
      <c r="B101" s="239">
        <v>1</v>
      </c>
      <c r="C101" s="240" t="s">
        <v>96</v>
      </c>
      <c r="D101" s="239">
        <f>SUMPRODUCT(([1]Peta_Persatker!G2:G1510="PNS")*([1]Peta_Persatker!T2:T1510="S2 Farmasi Klinis"))</f>
        <v>3</v>
      </c>
      <c r="E101" s="239">
        <f>SUMPRODUCT(([1]Peta_Persatker!G2:G1510="CPNS")*([1]Peta_Persatker!T2:T1510="S2 Farmasi Klinis"))</f>
        <v>0</v>
      </c>
      <c r="F101" s="239">
        <f>SUMPRODUCT(([1]Peta_Persatker!G2:G1510="PPPK")*([1]Peta_Persatker!T2:T1510="S2 Farmasi Klinis"))</f>
        <v>1</v>
      </c>
      <c r="G101" s="239">
        <f>SUMPRODUCT(([1]Peta_Persatker!G2:G1510="BLU TETAP")*([1]Peta_Persatker!T2:T1510="S2 Farmasi Klinis"))</f>
        <v>0</v>
      </c>
      <c r="H101" s="239">
        <f>SUMPRODUCT(([1]Peta_Persatker!G2:G1510="KONTRAK")*([1]Peta_Persatker!T2:T1510="S2 Farmasi Klinis"))</f>
        <v>0</v>
      </c>
      <c r="I101" s="239"/>
      <c r="J101" s="241">
        <f t="shared" ref="J101:J108" si="5">SUM(D101:H101)</f>
        <v>4</v>
      </c>
      <c r="K101" s="242"/>
    </row>
    <row r="102" spans="2:11" x14ac:dyDescent="0.25">
      <c r="B102" s="239">
        <v>2</v>
      </c>
      <c r="C102" s="240" t="s">
        <v>5438</v>
      </c>
      <c r="D102" s="239">
        <f>SUMPRODUCT(([1]Peta_Persatker!G3:G1510="PNS")*([1]Peta_Persatker!T3:T1510="S1 Farmasi"))</f>
        <v>0</v>
      </c>
      <c r="E102" s="239">
        <f>SUMPRODUCT(([1]Peta_Persatker!G3:G1510="CPNS")*([1]Peta_Persatker!T3:T1510="S1 Farmasi"))</f>
        <v>0</v>
      </c>
      <c r="F102" s="239">
        <f>SUMPRODUCT(([1]Peta_Persatker!G3:G1510="PPPK")*([1]Peta_Persatker!T3:T1510="S1 Farmasi"))</f>
        <v>0</v>
      </c>
      <c r="G102" s="239">
        <f>SUMPRODUCT(([1]Peta_Persatker!G3:G1510="BLU TETAP")*([1]Peta_Persatker!T3:T1510="S1 Farmasi"))</f>
        <v>0</v>
      </c>
      <c r="H102" s="239">
        <f>SUMPRODUCT(([1]Peta_Persatker!G3:G1510="KONTRAK")*([1]Peta_Persatker!T3:T1510="S1 Farmasi"))</f>
        <v>0</v>
      </c>
      <c r="I102" s="239"/>
      <c r="J102" s="241">
        <f t="shared" si="5"/>
        <v>0</v>
      </c>
      <c r="K102" s="242"/>
    </row>
    <row r="103" spans="2:11" x14ac:dyDescent="0.25">
      <c r="B103" s="239">
        <v>3</v>
      </c>
      <c r="C103" s="240" t="s">
        <v>4134</v>
      </c>
      <c r="D103" s="239">
        <f>SUMPRODUCT(([1]Peta_Persatker!G2:G1510="PNS")*([1]Peta_Persatker!T2:T1510="D3 Farmasi"))</f>
        <v>18</v>
      </c>
      <c r="E103" s="239">
        <f>SUMPRODUCT(([1]Peta_Persatker!G2:G1510="CPNS")*([1]Peta_Persatker!T2:T1510="D3 Farmasi"))</f>
        <v>4</v>
      </c>
      <c r="F103" s="239">
        <f>SUMPRODUCT(([1]Peta_Persatker!G2:G1510="PPPK")*([1]Peta_Persatker!T2:T1510="D3 Farmasi"))</f>
        <v>17</v>
      </c>
      <c r="G103" s="239">
        <f>SUMPRODUCT(([1]Peta_Persatker!G2:G1510="BLU TETAP")*([1]Peta_Persatker!T2:T1510="D3 Farmasi"))</f>
        <v>0</v>
      </c>
      <c r="H103" s="239">
        <f>SUMPRODUCT(([1]Peta_Persatker!G2:G1510="KONTRAK")*([1]Peta_Persatker!T2:T1510="D3 Farmasi"))</f>
        <v>15</v>
      </c>
      <c r="I103" s="239"/>
      <c r="J103" s="241">
        <f t="shared" si="5"/>
        <v>54</v>
      </c>
      <c r="K103" s="242"/>
    </row>
    <row r="104" spans="2:11" x14ac:dyDescent="0.25">
      <c r="B104" s="239">
        <v>4</v>
      </c>
      <c r="C104" s="240" t="s">
        <v>94</v>
      </c>
      <c r="D104" s="239">
        <f>SUMPRODUCT(([1]Peta_Persatker!G2:G1510="PNS")*([1]Peta_Persatker!T2:T1510="Apoteker"))</f>
        <v>6</v>
      </c>
      <c r="E104" s="239">
        <f>SUMPRODUCT(([1]Peta_Persatker!G2:G1510="CPNS")*([1]Peta_Persatker!T2:T1510="Apoteker"))</f>
        <v>4</v>
      </c>
      <c r="F104" s="239">
        <f>SUMPRODUCT(([1]Peta_Persatker!G2:G1510="PPPK")*([1]Peta_Persatker!T2:T1510="Apoteker"))</f>
        <v>8</v>
      </c>
      <c r="G104" s="239">
        <f>SUMPRODUCT(([1]Peta_Persatker!G2:G1510="BLU TETAP")*([1]Peta_Persatker!T2:T1510="Apoteker"))</f>
        <v>0</v>
      </c>
      <c r="H104" s="239">
        <f>SUMPRODUCT(([1]Peta_Persatker!G2:G1510="KONTRAK")*([1]Peta_Persatker!T2:T1510="Apoteker"))</f>
        <v>2</v>
      </c>
      <c r="I104" s="239"/>
      <c r="J104" s="241">
        <f>SUM(D104:H104)</f>
        <v>20</v>
      </c>
      <c r="K104" s="242"/>
    </row>
    <row r="105" spans="2:11" x14ac:dyDescent="0.25">
      <c r="B105" s="239">
        <v>5</v>
      </c>
      <c r="C105" s="240" t="s">
        <v>4294</v>
      </c>
      <c r="D105" s="239">
        <f>SUMPRODUCT(([1]Peta_Persatker!G2:G1510="PNS")*([1]Peta_Persatker!T2:T1510="D3 Analisa Farmasi &amp; Makanan"))</f>
        <v>0</v>
      </c>
      <c r="E105" s="239">
        <f>SUMPRODUCT(([1]Peta_Persatker!G2:G1510="CPNS")*([1]Peta_Persatker!T2:T1510="D3 Analisa Farmasi &amp; Makanan"))</f>
        <v>0</v>
      </c>
      <c r="F105" s="239">
        <f>SUMPRODUCT(([1]Peta_Persatker!G2:G1510="PPPK")*([1]Peta_Persatker!T2:T1510="D3 Analisa Farmasi &amp; Makanan"))</f>
        <v>0</v>
      </c>
      <c r="G105" s="239">
        <f>SUMPRODUCT(([1]Peta_Persatker!G2:G1510="BLU TETAP")*([1]Peta_Persatker!T2:T1510="D3 Analisa Farmasi &amp; Makanan"))</f>
        <v>1</v>
      </c>
      <c r="H105" s="239">
        <f>SUMPRODUCT(([1]Peta_Persatker!G2:G1510="KONTRAK")*([1]Peta_Persatker!T2:T1510="D3 Analisa Farmasi &amp; Makanan"))</f>
        <v>0</v>
      </c>
      <c r="I105" s="239"/>
      <c r="J105" s="241">
        <f t="shared" si="5"/>
        <v>1</v>
      </c>
      <c r="K105" s="242"/>
    </row>
    <row r="106" spans="2:11" x14ac:dyDescent="0.25">
      <c r="B106" s="239">
        <v>6</v>
      </c>
      <c r="C106" s="240" t="s">
        <v>4124</v>
      </c>
      <c r="D106" s="239">
        <f>SUMPRODUCT(([1]Peta_Persatker!G2:G1510="PNS")*([1]Peta_Persatker!T2:T1510="Apoteker Klinis Komunitas"))</f>
        <v>0</v>
      </c>
      <c r="E106" s="239">
        <f>SUMPRODUCT(([1]Peta_Persatker!G2:G1510="CPNS")*([1]Peta_Persatker!T2:T1510="Apoteker Klinis Komunitas"))</f>
        <v>0</v>
      </c>
      <c r="F106" s="239">
        <f>SUMPRODUCT(([1]Peta_Persatker!G2:G1510="PPPK")*([1]Peta_Persatker!T2:T1510="Apoteker Klinis Komunitas"))</f>
        <v>5</v>
      </c>
      <c r="G106" s="239">
        <f>SUMPRODUCT(([1]Peta_Persatker!G2:G1510="BLU TETAP")*([1]Peta_Persatker!T2:T1510="Apoteker Klinis Komunitas"))</f>
        <v>0</v>
      </c>
      <c r="H106" s="239">
        <f>SUMPRODUCT(([1]Peta_Persatker!G2:G1510="KONTRAK")*([1]Peta_Persatker!T2:T1510="Apoteker Klinis Komunitas"))</f>
        <v>0</v>
      </c>
      <c r="I106" s="239"/>
      <c r="J106" s="241">
        <f t="shared" si="5"/>
        <v>5</v>
      </c>
      <c r="K106" s="242"/>
    </row>
    <row r="107" spans="2:11" x14ac:dyDescent="0.25">
      <c r="B107" s="239">
        <v>7</v>
      </c>
      <c r="C107" s="245" t="s">
        <v>5439</v>
      </c>
      <c r="D107" s="246">
        <f>SUMPRODUCT(([1]Peta_Persatker!G2:G1510="PNS")*([1]Peta_Persatker!T2:T1510="D1 Manaj. Apotek &amp; Farmasi"))</f>
        <v>0</v>
      </c>
      <c r="E107" s="246">
        <f>SUMPRODUCT(([1]Peta_Persatker!G2:G1510="CPNS")*([1]Peta_Persatker!T2:T1510="D1 Manaj. Apotek &amp; Farmasi"))</f>
        <v>0</v>
      </c>
      <c r="F107" s="246">
        <f>SUMPRODUCT(([1]Peta_Persatker!G2:G1510="PPPK")*([1]Peta_Persatker!T2:T1510="D1 Manaj. Apotek &amp; Farmasi"))</f>
        <v>0</v>
      </c>
      <c r="G107" s="246">
        <f>SUMPRODUCT(([1]Peta_Persatker!G2:G1510="BLU TETAP")*([1]Peta_Persatker!T2:T1510="D1 Manaj. Apotek &amp; Farmasi"))</f>
        <v>0</v>
      </c>
      <c r="H107" s="246">
        <f>SUMPRODUCT(([1]Peta_Persatker!G2:G1510="KONTRAK")*([1]Peta_Persatker!T2:T1510="D1 Manaj. Apotek &amp; Farmasi"))</f>
        <v>0</v>
      </c>
      <c r="I107" s="246"/>
      <c r="J107" s="241">
        <f t="shared" si="5"/>
        <v>0</v>
      </c>
      <c r="K107" s="242"/>
    </row>
    <row r="108" spans="2:11" x14ac:dyDescent="0.25">
      <c r="B108" s="239">
        <v>8</v>
      </c>
      <c r="C108" s="245" t="s">
        <v>2880</v>
      </c>
      <c r="D108" s="246">
        <f>SUMPRODUCT(([1]Peta_Persatker!G2:G1510="PNS")*([1]Peta_Persatker!T2:T1510="SMF"))</f>
        <v>2</v>
      </c>
      <c r="E108" s="246">
        <f>SUMPRODUCT(([1]Peta_Persatker!G2:G1510="CPNS")*([1]Peta_Persatker!T2:T1510="SMF"))</f>
        <v>0</v>
      </c>
      <c r="F108" s="246">
        <f>SUMPRODUCT(([1]Peta_Persatker!G2:G1510="PPPK")*([1]Peta_Persatker!T2:T1510="SMF"))</f>
        <v>0</v>
      </c>
      <c r="G108" s="246">
        <f>SUMPRODUCT(([1]Peta_Persatker!G2:G1510="BLU TETAP")*([1]Peta_Persatker!T2:T1510="SMF"))</f>
        <v>0</v>
      </c>
      <c r="H108" s="246">
        <f>SUMPRODUCT(([1]Peta_Persatker!G2:G1510="KONTRAK")*([1]Peta_Persatker!T2:T1510="SMF"))</f>
        <v>0</v>
      </c>
      <c r="I108" s="246"/>
      <c r="J108" s="241">
        <f t="shared" si="5"/>
        <v>2</v>
      </c>
      <c r="K108" s="242"/>
    </row>
    <row r="109" spans="2:11" x14ac:dyDescent="0.25">
      <c r="B109" s="241"/>
      <c r="C109" s="241" t="s">
        <v>5429</v>
      </c>
      <c r="D109" s="241">
        <f>SUM(D101:D108)</f>
        <v>29</v>
      </c>
      <c r="E109" s="241">
        <f>SUM(E101:E108)</f>
        <v>8</v>
      </c>
      <c r="F109" s="241">
        <f>SUM(F101:F108)</f>
        <v>31</v>
      </c>
      <c r="G109" s="241">
        <f>SUM(G101:G108)</f>
        <v>1</v>
      </c>
      <c r="H109" s="241">
        <f>SUM(H101:H108)</f>
        <v>17</v>
      </c>
      <c r="I109" s="241"/>
      <c r="J109" s="241">
        <f>SUM(D109:H109)</f>
        <v>86</v>
      </c>
      <c r="K109" s="242"/>
    </row>
    <row r="110" spans="2:11" x14ac:dyDescent="0.25">
      <c r="B110" s="229" t="s">
        <v>5440</v>
      </c>
      <c r="C110" s="230" t="s">
        <v>5441</v>
      </c>
      <c r="D110" s="231"/>
      <c r="E110" s="231"/>
      <c r="F110" s="231"/>
      <c r="G110" s="231"/>
      <c r="H110" s="231"/>
      <c r="I110" s="231"/>
      <c r="J110" s="231"/>
      <c r="K110" s="242"/>
    </row>
    <row r="111" spans="2:11" x14ac:dyDescent="0.25">
      <c r="B111" s="239">
        <v>1</v>
      </c>
      <c r="C111" s="240" t="s">
        <v>69</v>
      </c>
      <c r="D111" s="239">
        <f>SUMPRODUCT(([1]Peta_Persatker!G2:G1510="PNS")*([1]Peta_Persatker!T2:T1510="S2 Ilmu Kesehatan Masyarakat"))</f>
        <v>4</v>
      </c>
      <c r="E111" s="239">
        <f>SUMPRODUCT(([1]Peta_Persatker!G2:G1510="CPNS")*([1]Peta_Persatker!T2:T1510="S2 Ilmu Kesehatan Masyarakat"))</f>
        <v>0</v>
      </c>
      <c r="F111" s="239">
        <f>SUMPRODUCT(([1]Peta_Persatker!G2:G1510="PPPK")*([1]Peta_Persatker!T2:T1510="S2 Ilmu Kesehatan Masyarakat"))</f>
        <v>0</v>
      </c>
      <c r="G111" s="239">
        <f>SUMPRODUCT(([1]Peta_Persatker!G2:G1510="BLU TETAP")*([1]Peta_Persatker!T2:T1510="S2 Ilmu Kesehatan Masyarakat"))</f>
        <v>1</v>
      </c>
      <c r="H111" s="239">
        <f>SUMPRODUCT(([1]Peta_Persatker!G2:G1510="KONTRAK")*([1]Peta_Persatker!T2:T1510="S2 Ilmu Kesehatan Masyarakat"))</f>
        <v>0</v>
      </c>
      <c r="I111" s="239"/>
      <c r="J111" s="241">
        <f>SUM(D111:H111)</f>
        <v>5</v>
      </c>
      <c r="K111" s="232"/>
    </row>
    <row r="112" spans="2:11" x14ac:dyDescent="0.25">
      <c r="B112" s="239">
        <v>2</v>
      </c>
      <c r="C112" s="240" t="s">
        <v>1132</v>
      </c>
      <c r="D112" s="239">
        <f>SUMPRODUCT(([1]Peta_Persatker!G2:G1510="PNS")*([1]Peta_Persatker!T2:T1510="S1 SKM Adm &amp; Kebijakan"))</f>
        <v>0</v>
      </c>
      <c r="E112" s="239">
        <f>SUMPRODUCT(([1]Peta_Persatker!G2:G1510="CPNS")*([1]Peta_Persatker!T2:T1510="S1 SKM Adm &amp; Kebijakan"))</f>
        <v>0</v>
      </c>
      <c r="F112" s="239">
        <f>SUMPRODUCT(([1]Peta_Persatker!G2:G1510="PPPK")*([1]Peta_Persatker!T2:T1510="S1 SKM Adm &amp; Kebijakan"))</f>
        <v>1</v>
      </c>
      <c r="G112" s="239">
        <f>SUMPRODUCT(([1]Peta_Persatker!G2:G1510="BLU TETAP")*([1]Peta_Persatker!T2:T1510="S1 SKM Adm &amp; Kebijakan"))</f>
        <v>0</v>
      </c>
      <c r="H112" s="239">
        <f>SUMPRODUCT(([1]Peta_Persatker!G2:G1510="KONTRAK")*([1]Peta_Persatker!T2:T1510="S1 SKM Adm &amp; Kebijakan"))</f>
        <v>0</v>
      </c>
      <c r="I112" s="239"/>
      <c r="J112" s="241">
        <f t="shared" ref="J112:J121" si="6">SUM(D112:H112)</f>
        <v>1</v>
      </c>
      <c r="K112" s="242"/>
    </row>
    <row r="113" spans="2:11" x14ac:dyDescent="0.25">
      <c r="B113" s="239">
        <v>3</v>
      </c>
      <c r="C113" s="240" t="s">
        <v>150</v>
      </c>
      <c r="D113" s="239">
        <f>SUMPRODUCT(([1]Peta_Persatker!G2:G1510="PNS")*([1]Peta_Persatker!T2:T1510="S1 SKM"))</f>
        <v>1</v>
      </c>
      <c r="E113" s="239">
        <f>SUMPRODUCT(([1]Peta_Persatker!G2:G1510="CPNS")*([1]Peta_Persatker!T2:T1510="S1 SKM"))</f>
        <v>0</v>
      </c>
      <c r="F113" s="239">
        <f>SUMPRODUCT(([1]Peta_Persatker!G2:G1510="PPPK")*([1]Peta_Persatker!T2:T1510="S1 SKM"))</f>
        <v>3</v>
      </c>
      <c r="G113" s="239">
        <f>SUMPRODUCT(([1]Peta_Persatker!G2:G1510="BLU TETAP")*([1]Peta_Persatker!T2:T1510="S1 SKM"))</f>
        <v>0</v>
      </c>
      <c r="H113" s="239">
        <f>SUMPRODUCT(([1]Peta_Persatker!G2:G1510="KONTRAK")*([1]Peta_Persatker!T2:T1510="S1 SKM"))</f>
        <v>0</v>
      </c>
      <c r="I113" s="239"/>
      <c r="J113" s="241">
        <f t="shared" si="6"/>
        <v>4</v>
      </c>
      <c r="K113" s="242"/>
    </row>
    <row r="114" spans="2:11" x14ac:dyDescent="0.25">
      <c r="B114" s="239">
        <v>4</v>
      </c>
      <c r="C114" s="240" t="s">
        <v>5224</v>
      </c>
      <c r="D114" s="239">
        <f>SUMPRODUCT(([1]Peta_Persatker!G2:G1510="PNS")*([1]Peta_Persatker!T2:T1510="S1 SKM Kesling"))</f>
        <v>1</v>
      </c>
      <c r="E114" s="239">
        <f>SUMPRODUCT(([1]Peta_Persatker!G2:G1510="CPNS")*([1]Peta_Persatker!T2:T1510="S1 SKM Kesling"))</f>
        <v>0</v>
      </c>
      <c r="F114" s="239">
        <f>SUMPRODUCT(([1]Peta_Persatker!G2:G1510="PPPK")*([1]Peta_Persatker!T2:T1510="S1 SKM Kesling"))</f>
        <v>0</v>
      </c>
      <c r="G114" s="239">
        <f>SUMPRODUCT(([1]Peta_Persatker!G2:G1510="BLU TETAP")*([1]Peta_Persatker!T2:T1510="S1 SKM Kesling"))</f>
        <v>0</v>
      </c>
      <c r="H114" s="239">
        <f>SUMPRODUCT(([1]Peta_Persatker!G2:G1510="KONTRAK")*([1]Peta_Persatker!T2:T1510="S1 SKM Kesling"))</f>
        <v>0</v>
      </c>
      <c r="I114" s="239"/>
      <c r="J114" s="241">
        <f t="shared" si="6"/>
        <v>1</v>
      </c>
      <c r="K114" s="242"/>
    </row>
    <row r="115" spans="2:11" x14ac:dyDescent="0.25">
      <c r="B115" s="239">
        <v>5</v>
      </c>
      <c r="C115" s="240" t="s">
        <v>4779</v>
      </c>
      <c r="D115" s="239">
        <f>SUMPRODUCT(([1]Peta_Persatker!G2:G1510="PNS")*([1]Peta_Persatker!T2:T1510="S1 SKM Penilik Kesmas"))</f>
        <v>1</v>
      </c>
      <c r="E115" s="239">
        <f>SUMPRODUCT(([1]Peta_Persatker!G2:G1510="CPNS")*([1]Peta_Persatker!T2:T1510="S1 SKM Penilik Kesmas"))</f>
        <v>0</v>
      </c>
      <c r="F115" s="239">
        <f>SUMPRODUCT(([1]Peta_Persatker!G2:G1510="PPPK")*([1]Peta_Persatker!T2:T1510="S1 SKM Penilik Kesmas"))</f>
        <v>0</v>
      </c>
      <c r="G115" s="239">
        <f>SUMPRODUCT(([1]Peta_Persatker!G2:G1510="BLU TETAP")*([1]Peta_Persatker!T2:T1510="S1 SKM Penilik Kesmas"))</f>
        <v>0</v>
      </c>
      <c r="H115" s="239">
        <f>SUMPRODUCT(([1]Peta_Persatker!G2:G1510="KONTRAK")*([1]Peta_Persatker!T2:T1510="S1 SKM Penilik Kesmas"))</f>
        <v>0</v>
      </c>
      <c r="I115" s="239"/>
      <c r="J115" s="241">
        <f t="shared" si="6"/>
        <v>1</v>
      </c>
      <c r="K115" s="242"/>
    </row>
    <row r="116" spans="2:11" x14ac:dyDescent="0.25">
      <c r="B116" s="239">
        <v>6</v>
      </c>
      <c r="C116" s="240" t="s">
        <v>178</v>
      </c>
      <c r="D116" s="239">
        <f>SUMPRODUCT(([1]Peta_Persatker!G2:G1510="PNS")*([1]Peta_Persatker!T2:T1510="S1 SKM Sanitasi"))</f>
        <v>1</v>
      </c>
      <c r="E116" s="239">
        <f>SUMPRODUCT(([1]Peta_Persatker!G2:G1510="CPNS")*([1]Peta_Persatker!T2:T1510="S1 SKM Sanitasi"))</f>
        <v>0</v>
      </c>
      <c r="F116" s="239">
        <f>SUMPRODUCT(([1]Peta_Persatker!G2:G1510="PPPK")*([1]Peta_Persatker!T2:T1510="S1 SKM Sanitasi"))</f>
        <v>0</v>
      </c>
      <c r="G116" s="239">
        <f>SUMPRODUCT(([1]Peta_Persatker!G2:G1510="BLU TETAP")*([1]Peta_Persatker!T2:T1510="S1 SKM Sanitasi"))</f>
        <v>0</v>
      </c>
      <c r="H116" s="239">
        <f>SUMPRODUCT(([1]Peta_Persatker!G2:G1510="KONTRAK")*([1]Peta_Persatker!T2:T1510="S1 SKM Sanitasi"))</f>
        <v>0</v>
      </c>
      <c r="I116" s="239"/>
      <c r="J116" s="241">
        <f t="shared" si="6"/>
        <v>1</v>
      </c>
      <c r="K116" s="242"/>
    </row>
    <row r="117" spans="2:11" x14ac:dyDescent="0.25">
      <c r="B117" s="239">
        <v>7</v>
      </c>
      <c r="C117" s="240" t="s">
        <v>1084</v>
      </c>
      <c r="D117" s="239">
        <f>SUMPRODUCT(([1]Peta_Persatker!G2:G1510="PNS")*([1]Peta_Persatker!T2:T1510="S1 Kesehatan Masyarakat"))</f>
        <v>0</v>
      </c>
      <c r="E117" s="239">
        <f>SUMPRODUCT(([1]Peta_Persatker!G2:G1510="CPNS")*([1]Peta_Persatker!T2:T1510="S1 Kesehatan Masyarakat"))</f>
        <v>0</v>
      </c>
      <c r="F117" s="239">
        <f>SUMPRODUCT(([1]Peta_Persatker!G2:G1510="PPPK")*([1]Peta_Persatker!T2:T1510="S1 Kesehatan Masyarakat"))</f>
        <v>2</v>
      </c>
      <c r="G117" s="239">
        <f>SUMPRODUCT(([1]Peta_Persatker!G2:G1510="BLU Tetap")*([1]Peta_Persatker!T2:T1510="S1 Kesehatan Masyarakat"))</f>
        <v>1</v>
      </c>
      <c r="H117" s="239">
        <f>SUMPRODUCT(([1]Peta_Persatker!G2:G1510="Kontrak")*([1]Peta_Persatker!T2:T1510="S1 Kesehatan Masyarakat"))</f>
        <v>0</v>
      </c>
      <c r="I117" s="239"/>
      <c r="J117" s="241">
        <f t="shared" si="6"/>
        <v>3</v>
      </c>
      <c r="K117" s="242"/>
    </row>
    <row r="118" spans="2:11" x14ac:dyDescent="0.25">
      <c r="B118" s="239">
        <v>8</v>
      </c>
      <c r="C118" s="240" t="s">
        <v>5217</v>
      </c>
      <c r="D118" s="239">
        <f>SUMPRODUCT(([1]Peta_Persatker!G2:G1510="PNS")*([1]Peta_Persatker!T2:T1510="D4 Kesehatan Lingkungan"))</f>
        <v>1</v>
      </c>
      <c r="E118" s="239">
        <f>SUMPRODUCT(([1]Peta_Persatker!G2:G1510="CPNS")*([1]Peta_Persatker!T2:T1510="D4 Kesehatan Lingkungan"))</f>
        <v>0</v>
      </c>
      <c r="F118" s="239">
        <f>SUMPRODUCT(([1]Peta_Persatker!G2:G1510="PPPK")*([1]Peta_Persatker!T2:T1510="D4 Kesehatan Lingkungan"))</f>
        <v>0</v>
      </c>
      <c r="G118" s="239">
        <f>SUMPRODUCT(([1]Peta_Persatker!G2:G1510="BLU TETAP")*([1]Peta_Persatker!T2:T1510="D4 Kesehatan Lingkungan"))</f>
        <v>0</v>
      </c>
      <c r="H118" s="239">
        <f>SUMPRODUCT(([1]Peta_Persatker!G2:G1510="KONTRAK")*([1]Peta_Persatker!T2:T1510="D4 Kesehatan Lingkungan"))</f>
        <v>0</v>
      </c>
      <c r="I118" s="239"/>
      <c r="J118" s="241">
        <f t="shared" si="6"/>
        <v>1</v>
      </c>
      <c r="K118" s="242"/>
    </row>
    <row r="119" spans="2:11" x14ac:dyDescent="0.25">
      <c r="B119" s="239">
        <v>9</v>
      </c>
      <c r="C119" s="240" t="s">
        <v>5250</v>
      </c>
      <c r="D119" s="239">
        <f>SUMPRODUCT(([1]Peta_Persatker!G2:G1510="PNS")*([1]Peta_Persatker!T2:T1510="D3 Kesehatan Lingkungan"))</f>
        <v>0</v>
      </c>
      <c r="E119" s="239">
        <f>SUMPRODUCT(([1]Peta_Persatker!G2:G1510="CPNS")*([1]Peta_Persatker!T2:T1510="D3 Kesehatan Lingkungan"))</f>
        <v>0</v>
      </c>
      <c r="F119" s="239">
        <f>SUMPRODUCT(([1]Peta_Persatker!G2:G1510="PPPK")*([1]Peta_Persatker!T2:T1510="D3 Kesehatan Lingkungan"))</f>
        <v>2</v>
      </c>
      <c r="G119" s="239">
        <f>SUMPRODUCT(([1]Peta_Persatker!G2:G1510="BLU TETAP")*([1]Peta_Persatker!T2:T1510="D3 Kesehatan Lingkungan"))</f>
        <v>0</v>
      </c>
      <c r="H119" s="239">
        <f>SUMPRODUCT(([1]Peta_Persatker!G2:G1510="KONTRAK")*([1]Peta_Persatker!T2:T1510="D3 Kesehatan Lingkungan"))</f>
        <v>0</v>
      </c>
      <c r="I119" s="239"/>
      <c r="J119" s="241">
        <f t="shared" si="6"/>
        <v>2</v>
      </c>
      <c r="K119" s="242"/>
    </row>
    <row r="120" spans="2:11" x14ac:dyDescent="0.25">
      <c r="B120" s="239">
        <v>10</v>
      </c>
      <c r="C120" s="240" t="s">
        <v>5239</v>
      </c>
      <c r="D120" s="239">
        <f>SUMPRODUCT(([1]Peta_Persatker!G2:G1510="PNS")*([1]Peta_Persatker!T2:T1510="D3 Sanitasi"))</f>
        <v>1</v>
      </c>
      <c r="E120" s="239">
        <f>SUMPRODUCT(([1]Peta_Persatker!G2:G1510="CPNS")*([1]Peta_Persatker!T2:T1510="D3 Sanitasi"))</f>
        <v>0</v>
      </c>
      <c r="F120" s="239">
        <f>SUMPRODUCT(([1]Peta_Persatker!G2:G1510="PPPK")*([1]Peta_Persatker!T2:T1510="D3 Sanitasi"))</f>
        <v>0</v>
      </c>
      <c r="G120" s="239">
        <f>SUMPRODUCT(([1]Peta_Persatker!G2:G1510="BLU TETAP")*([1]Peta_Persatker!T2:T1510="D3 Sanitasi"))</f>
        <v>0</v>
      </c>
      <c r="H120" s="239">
        <f>SUMPRODUCT(([1]Peta_Persatker!G2:G1510="KONTRAK")*([1]Peta_Persatker!T2:T1510="D3 Sanitasi"))</f>
        <v>0</v>
      </c>
      <c r="I120" s="239"/>
      <c r="J120" s="241">
        <f t="shared" si="6"/>
        <v>1</v>
      </c>
      <c r="K120" s="242"/>
    </row>
    <row r="121" spans="2:11" x14ac:dyDescent="0.25">
      <c r="B121" s="239">
        <v>11</v>
      </c>
      <c r="C121" s="240" t="s">
        <v>5233</v>
      </c>
      <c r="D121" s="239">
        <f>SUMPRODUCT(([1]Peta_Persatker!G2:G1510="PNS")*([1]Peta_Persatker!T2:T1510="D3 Sanitasi Penilik Kesehatan"))</f>
        <v>1</v>
      </c>
      <c r="E121" s="239">
        <f>SUMPRODUCT(([1]Peta_Persatker!G2:G1510="CPNS")*([1]Peta_Persatker!T2:T1510="D3 Sanitasi Penilik Kesehatan"))</f>
        <v>0</v>
      </c>
      <c r="F121" s="239">
        <f>SUMPRODUCT(([1]Peta_Persatker!G2:G1510="PPPK'")*([1]Peta_Persatker!T2:T1510="D3 Sanitasi Penilik Kesehatan"))</f>
        <v>0</v>
      </c>
      <c r="G121" s="239">
        <f>SUMPRODUCT(([1]Peta_Persatker!G2:G1510="BLU TETAP")*([1]Peta_Persatker!T2:T1510="D3 Sanitasi Penilik Kesehatan"))</f>
        <v>0</v>
      </c>
      <c r="H121" s="239">
        <f>SUMPRODUCT(([1]Peta_Persatker!G2:G1510="KONTRAK")*([1]Peta_Persatker!T2:T1510="D3 Sanitasi Penilik Kesehatan"))</f>
        <v>0</v>
      </c>
      <c r="I121" s="239"/>
      <c r="J121" s="241">
        <f t="shared" si="6"/>
        <v>1</v>
      </c>
      <c r="K121" s="242"/>
    </row>
    <row r="122" spans="2:11" x14ac:dyDescent="0.25">
      <c r="B122" s="241"/>
      <c r="C122" s="241" t="s">
        <v>5429</v>
      </c>
      <c r="D122" s="241">
        <f>SUM(D111:D121)</f>
        <v>11</v>
      </c>
      <c r="E122" s="241">
        <f>SUM(E111:E121)</f>
        <v>0</v>
      </c>
      <c r="F122" s="241">
        <f>SUM(F111:F121)</f>
        <v>8</v>
      </c>
      <c r="G122" s="241">
        <f>SUM(G111:G121)</f>
        <v>2</v>
      </c>
      <c r="H122" s="241">
        <f>SUM(H111:H121)</f>
        <v>0</v>
      </c>
      <c r="I122" s="241"/>
      <c r="J122" s="241">
        <f>SUM(D122:H122)</f>
        <v>21</v>
      </c>
      <c r="K122" s="242"/>
    </row>
    <row r="123" spans="2:11" x14ac:dyDescent="0.25">
      <c r="B123" s="229" t="s">
        <v>5442</v>
      </c>
      <c r="C123" s="230" t="s">
        <v>5443</v>
      </c>
      <c r="D123" s="231"/>
      <c r="E123" s="231"/>
      <c r="F123" s="231"/>
      <c r="G123" s="231"/>
      <c r="H123" s="231"/>
      <c r="I123" s="231"/>
      <c r="J123" s="231"/>
      <c r="K123" s="242"/>
    </row>
    <row r="124" spans="2:11" x14ac:dyDescent="0.25">
      <c r="B124" s="239">
        <v>1</v>
      </c>
      <c r="C124" s="240" t="s">
        <v>4463</v>
      </c>
      <c r="D124" s="239">
        <f>SUMPRODUCT(([1]Peta_Persatker!G2:G1510="PNS")*([1]Peta_Persatker!T2:T1510="S2 Gizi"))</f>
        <v>1</v>
      </c>
      <c r="E124" s="239">
        <f>SUMPRODUCT(([1]Peta_Persatker!G2:G1510="CPNS")*([1]Peta_Persatker!T2:T1510="S2 Gizi"))</f>
        <v>0</v>
      </c>
      <c r="F124" s="239">
        <f>SUMPRODUCT(([1]Peta_Persatker!G2:G1510="PPPK")*([1]Peta_Persatker!T2:T1510="S2 Gizi"))</f>
        <v>0</v>
      </c>
      <c r="G124" s="239">
        <f>SUMPRODUCT(([1]Peta_Persatker!G2:G1510="BLU TETAP")*([1]Peta_Persatker!T2:T1510="S2 Gizi"))</f>
        <v>0</v>
      </c>
      <c r="H124" s="239">
        <f>SUMPRODUCT(([1]Peta_Persatker!G2:G1510="KONTRAK")*([1]Peta_Persatker!T2:T1510="S2 Gizi"))</f>
        <v>0</v>
      </c>
      <c r="I124" s="239"/>
      <c r="J124" s="241">
        <f t="shared" ref="J124:J129" si="7">SUM(D124:H124)</f>
        <v>1</v>
      </c>
      <c r="K124" s="232"/>
    </row>
    <row r="125" spans="2:11" x14ac:dyDescent="0.25">
      <c r="B125" s="239">
        <v>2</v>
      </c>
      <c r="C125" s="240" t="s">
        <v>4483</v>
      </c>
      <c r="D125" s="239">
        <f>SUMPRODUCT(([1]Peta_Persatker!G2:G1510="PNS")*([1]Peta_Persatker!T2:T1510="S1 Gizi"))</f>
        <v>3</v>
      </c>
      <c r="E125" s="239">
        <f>SUMPRODUCT(([1]Peta_Persatker!G2:G1510="CPNS")*([1]Peta_Persatker!T2:T1510="S1 Gizi"))</f>
        <v>0</v>
      </c>
      <c r="F125" s="239">
        <f>SUMPRODUCT(([1]Peta_Persatker!G2:G1510="PPPK")*([1]Peta_Persatker!T2:T1510="S1 Gizi"))</f>
        <v>5</v>
      </c>
      <c r="G125" s="239">
        <f>SUMPRODUCT(([1]Peta_Persatker!G2:G1510="BLU TETAP")*([1]Peta_Persatker!T2:T1510="S1 Gizi"))</f>
        <v>0</v>
      </c>
      <c r="H125" s="239">
        <f>SUMPRODUCT(([1]Peta_Persatker!G2:G1510="KONTRAK")*([1]Peta_Persatker!T2:T1510="S1 Gizi"))</f>
        <v>0</v>
      </c>
      <c r="I125" s="239"/>
      <c r="J125" s="241">
        <f t="shared" si="7"/>
        <v>8</v>
      </c>
      <c r="K125" s="242"/>
    </row>
    <row r="126" spans="2:11" x14ac:dyDescent="0.25">
      <c r="B126" s="239">
        <v>3</v>
      </c>
      <c r="C126" s="240" t="s">
        <v>5444</v>
      </c>
      <c r="D126" s="239">
        <f>SUMPRODUCT(([1]Peta_Persatker!G2:G1510="PNS")*([1]Peta_Persatker!T2:T1510="S1 SKM Gizi"))</f>
        <v>0</v>
      </c>
      <c r="E126" s="239">
        <f>SUMPRODUCT(([1]Peta_Persatker!G2:G1510="CPNS")*([1]Peta_Persatker!T2:T1510="S1 SKM Gizi"))</f>
        <v>0</v>
      </c>
      <c r="F126" s="239">
        <f>SUMPRODUCT(([1]Peta_Persatker!G2:G1510="PPPK")*([1]Peta_Persatker!T2:T1510="S1 SKM Gizi"))</f>
        <v>0</v>
      </c>
      <c r="G126" s="239">
        <f>SUMPRODUCT(([1]Peta_Persatker!G2:G1510="BLU TETAP")*([1]Peta_Persatker!T2:T1510="S1 SKM Gizi"))</f>
        <v>0</v>
      </c>
      <c r="H126" s="239">
        <f>SUMPRODUCT(([1]Peta_Persatker!G2:G1510="KONTRAK")*([1]Peta_Persatker!T2:T1510="S1 SKM Gizi"))</f>
        <v>0</v>
      </c>
      <c r="I126" s="239"/>
      <c r="J126" s="241">
        <f t="shared" si="7"/>
        <v>0</v>
      </c>
      <c r="K126" s="242"/>
    </row>
    <row r="127" spans="2:11" x14ac:dyDescent="0.25">
      <c r="B127" s="239">
        <v>4</v>
      </c>
      <c r="C127" s="240" t="s">
        <v>4517</v>
      </c>
      <c r="D127" s="239">
        <f>SUMPRODUCT(([1]Peta_Persatker!G1:G1510="PNS")*([1]Peta_Persatker!T1:T1510="D4 Gizi"))</f>
        <v>3</v>
      </c>
      <c r="E127" s="239">
        <f>SUMPRODUCT(([1]Peta_Persatker!G1:G1510="CPNS")*([1]Peta_Persatker!T1:T1510="D4 Gizi"))</f>
        <v>0</v>
      </c>
      <c r="F127" s="239">
        <f>SUMPRODUCT(([1]Peta_Persatker!G1:G1510="PPPK")*([1]Peta_Persatker!T1:T1510="D4 Gizi"))</f>
        <v>0</v>
      </c>
      <c r="G127" s="239">
        <f>SUMPRODUCT(([1]Peta_Persatker!G1:G1510="BLU TETAP")*([1]Peta_Persatker!T1:T1510="D4 Gizi"))</f>
        <v>0</v>
      </c>
      <c r="H127" s="239">
        <f>SUMPRODUCT(([1]Peta_Persatker!G1:G1510="KONTRAK")*([1]Peta_Persatker!T1:T1510="D4 Gizi"))</f>
        <v>0</v>
      </c>
      <c r="I127" s="239"/>
      <c r="J127" s="241">
        <f t="shared" si="7"/>
        <v>3</v>
      </c>
      <c r="K127" s="242"/>
    </row>
    <row r="128" spans="2:11" x14ac:dyDescent="0.25">
      <c r="B128" s="239">
        <v>5</v>
      </c>
      <c r="C128" s="240" t="s">
        <v>4455</v>
      </c>
      <c r="D128" s="239">
        <f>SUMPRODUCT(([1]Peta_Persatker!G2:G1510="PNS")*([1]Peta_Persatker!T2:T1510="D3 Gizi"))</f>
        <v>7</v>
      </c>
      <c r="E128" s="239">
        <f>SUMPRODUCT(([1]Peta_Persatker!G2:G1510="CPNS")*([1]Peta_Persatker!T2:T1510="D3 Gizi"))</f>
        <v>0</v>
      </c>
      <c r="F128" s="239">
        <f>SUMPRODUCT(([1]Peta_Persatker!G2:G1510="PPPK")*([1]Peta_Persatker!T2:T1510="D3 Gizi"))</f>
        <v>0</v>
      </c>
      <c r="G128" s="239">
        <f>SUMPRODUCT(([1]Peta_Persatker!G2:G1510="BLU TETAP")*([1]Peta_Persatker!T2:T1510="D3 Gizi"))</f>
        <v>0</v>
      </c>
      <c r="H128" s="239">
        <f>SUMPRODUCT(([1]Peta_Persatker!G2:G1510="KONTRAK")*([1]Peta_Persatker!T2:T1510="D3 Gizi"))</f>
        <v>0</v>
      </c>
      <c r="I128" s="239"/>
      <c r="J128" s="241">
        <f t="shared" si="7"/>
        <v>7</v>
      </c>
      <c r="K128" s="242"/>
    </row>
    <row r="129" spans="2:11" x14ac:dyDescent="0.25">
      <c r="B129" s="241"/>
      <c r="C129" s="241" t="s">
        <v>5429</v>
      </c>
      <c r="D129" s="241">
        <f>SUM(D124:D128)</f>
        <v>14</v>
      </c>
      <c r="E129" s="241">
        <f>SUM(E124:E128)</f>
        <v>0</v>
      </c>
      <c r="F129" s="241">
        <f>SUM(F124:F128)</f>
        <v>5</v>
      </c>
      <c r="G129" s="241">
        <f>SUM(G124:G128)</f>
        <v>0</v>
      </c>
      <c r="H129" s="241">
        <f>SUM(H124:H128)</f>
        <v>0</v>
      </c>
      <c r="I129" s="241"/>
      <c r="J129" s="241">
        <f t="shared" si="7"/>
        <v>19</v>
      </c>
      <c r="K129" s="242"/>
    </row>
    <row r="130" spans="2:11" x14ac:dyDescent="0.25">
      <c r="B130" s="229" t="s">
        <v>5445</v>
      </c>
      <c r="C130" s="230" t="s">
        <v>5446</v>
      </c>
      <c r="D130" s="231"/>
      <c r="E130" s="231"/>
      <c r="F130" s="231"/>
      <c r="G130" s="231"/>
      <c r="H130" s="231"/>
      <c r="I130" s="231"/>
      <c r="J130" s="231"/>
      <c r="K130" s="242"/>
    </row>
    <row r="131" spans="2:11" x14ac:dyDescent="0.25">
      <c r="B131" s="239">
        <v>1</v>
      </c>
      <c r="C131" s="240" t="s">
        <v>3971</v>
      </c>
      <c r="D131" s="239">
        <f>SUMPRODUCT(([1]Peta_Persatker!G1:G1510="PNS")*([1]Peta_Persatker!T1:T1510="S2 Fisiologi Olah Raga Konsentrasi Fisioterapi"))</f>
        <v>1</v>
      </c>
      <c r="E131" s="239">
        <f>SUMPRODUCT(([1]Peta_Persatker!G1:G1510="CPNS")*([1]Peta_Persatker!T1:T1510="S2 Fisiologi Olah Raga Konsentrasi Fisioterapi"))</f>
        <v>0</v>
      </c>
      <c r="F131" s="239">
        <f>SUMPRODUCT(([1]Peta_Persatker!G1:G1510="PPPK")*([1]Peta_Persatker!T1:T1510="S2 Fisiologi Olah Raga Konsentrasi Fisioterapi"))</f>
        <v>0</v>
      </c>
      <c r="G131" s="239">
        <f>SUMPRODUCT(([1]Peta_Persatker!G1:G1510="BLU TETAP")*([1]Peta_Persatker!T1:T1510="S2 Fisiologi Olah Raga Konsentrasi Fisioterapi"))</f>
        <v>0</v>
      </c>
      <c r="H131" s="239">
        <f>SUMPRODUCT(([1]Peta_Persatker!G1:G1510="KONTRAK")*([1]Peta_Persatker!T1:T1510="S2 Fisiologi Olah Raga Konsentrasi Fisioterapi"))</f>
        <v>0</v>
      </c>
      <c r="I131" s="239"/>
      <c r="J131" s="241">
        <f>SUM(D131:H131)</f>
        <v>1</v>
      </c>
      <c r="K131" s="232"/>
    </row>
    <row r="132" spans="2:11" x14ac:dyDescent="0.25">
      <c r="B132" s="239">
        <v>2</v>
      </c>
      <c r="C132" s="240" t="s">
        <v>4084</v>
      </c>
      <c r="D132" s="239">
        <f>SUMPRODUCT(([1]Peta_Persatker!G2:G1510="PNS")*([1]Peta_Persatker!T2:T1510="S2 Psikologi Profesi"))</f>
        <v>0</v>
      </c>
      <c r="E132" s="239">
        <f>SUMPRODUCT(([1]Peta_Persatker!G2:G1510="CPNS")*([1]Peta_Persatker!T2:T1510="S2 Psikologi Profesi"))</f>
        <v>1</v>
      </c>
      <c r="F132" s="239">
        <f>SUMPRODUCT(([1]Peta_Persatker!G2:G1510="PPPK")*([1]Peta_Persatker!T2:T1510="S2 Psikologi Profesi"))</f>
        <v>0</v>
      </c>
      <c r="G132" s="239">
        <f>SUMPRODUCT(([1]Peta_Persatker!G2:G1510="BLU TETAP")*([1]Peta_Persatker!T2:T1510="S2 Psikologi Profesi"))</f>
        <v>0</v>
      </c>
      <c r="H132" s="239">
        <f>SUMPRODUCT(([1]Peta_Persatker!G2:G1510="KONTRAK")*([1]Peta_Persatker!T2:T1510="S2 Psikologi Profesi"))</f>
        <v>0</v>
      </c>
      <c r="I132" s="239"/>
      <c r="J132" s="241">
        <f>SUM(D132:H132)</f>
        <v>1</v>
      </c>
      <c r="K132" s="232"/>
    </row>
    <row r="133" spans="2:11" x14ac:dyDescent="0.25">
      <c r="B133" s="239">
        <v>3</v>
      </c>
      <c r="C133" s="240" t="s">
        <v>3986</v>
      </c>
      <c r="D133" s="239">
        <f>SUMPRODUCT(([1]Peta_Persatker!G2:G1510="PNS")*([1]Peta_Persatker!T2:T1510="S1 Fisioterapi"))</f>
        <v>1</v>
      </c>
      <c r="E133" s="239">
        <f>SUMPRODUCT(([1]Peta_Persatker!G2:G1510="CPNS")*([1]Peta_Persatker!T2:T1510="S1 Fisioterapi"))</f>
        <v>0</v>
      </c>
      <c r="F133" s="239">
        <f>SUMPRODUCT(([1]Peta_Persatker!G2:G1510="PPPK")*([1]Peta_Persatker!T2:T1510="S1 Fisioterapi"))</f>
        <v>0</v>
      </c>
      <c r="G133" s="239">
        <f>SUMPRODUCT(([1]Peta_Persatker!G2:G1510="BLU TETAP")*([1]Peta_Persatker!T2:T1510="S1 Fisioterapi"))</f>
        <v>0</v>
      </c>
      <c r="H133" s="239">
        <f>SUMPRODUCT(([1]Peta_Persatker!G2:G1510="KONTRAK")*([1]Peta_Persatker!T2:T1510="S1 Fisioterapi"))</f>
        <v>0</v>
      </c>
      <c r="I133" s="239"/>
      <c r="J133" s="241">
        <f>SUM(D133:H133)</f>
        <v>1</v>
      </c>
      <c r="K133" s="232"/>
    </row>
    <row r="134" spans="2:11" x14ac:dyDescent="0.25">
      <c r="B134" s="239">
        <v>4</v>
      </c>
      <c r="C134" s="240" t="s">
        <v>5447</v>
      </c>
      <c r="D134" s="239">
        <f>SUMPRODUCT(([1]Peta_Persatker!G2:G1510="PNS")*([1]Peta_Persatker!T2:T1510="S1 Psikologi"))</f>
        <v>0</v>
      </c>
      <c r="E134" s="239">
        <f>SUMPRODUCT(([1]Peta_Persatker!G2:G1510="CPNS")*([1]Peta_Persatker!T2:T1510="S1 Psikologi"))</f>
        <v>0</v>
      </c>
      <c r="F134" s="239">
        <f>SUMPRODUCT(([1]Peta_Persatker!G2:G1510="PPPK")*([1]Peta_Persatker!T2:T1510="S1 Psikologi"))</f>
        <v>0</v>
      </c>
      <c r="G134" s="239">
        <f>SUMPRODUCT(([1]Peta_Persatker!G2:G1510="BLU TETAP")*([1]Peta_Persatker!T2:T1510="S1 Psikologi"))</f>
        <v>0</v>
      </c>
      <c r="H134" s="239">
        <f>SUMPRODUCT(([1]Peta_Persatker!G2:G1510="KONTRAK")*([1]Peta_Persatker!T2:T1510="S1 Psikologi"))</f>
        <v>0</v>
      </c>
      <c r="I134" s="239"/>
      <c r="J134" s="241">
        <f t="shared" ref="J134:J142" si="8">SUM(D134:H134)</f>
        <v>0</v>
      </c>
      <c r="K134" s="242"/>
    </row>
    <row r="135" spans="2:11" x14ac:dyDescent="0.25">
      <c r="B135" s="239">
        <v>5</v>
      </c>
      <c r="C135" s="240" t="s">
        <v>3991</v>
      </c>
      <c r="D135" s="239">
        <f>SUMPRODUCT(([1]Peta_Persatker!G2:G1510="PNS")*([1]Peta_Persatker!T2:T1510="D4 Fisioterapi"))</f>
        <v>3</v>
      </c>
      <c r="E135" s="239">
        <f>SUMPRODUCT(([1]Peta_Persatker!G2:G1510="CPNS")*([1]Peta_Persatker!T2:T1510="D4 Fisioterapi"))</f>
        <v>2</v>
      </c>
      <c r="F135" s="239">
        <f>SUMPRODUCT(([1]Peta_Persatker!G2:G1510="PPPK")*([1]Peta_Persatker!T2:T1510="D4 Fisioterapi"))</f>
        <v>0</v>
      </c>
      <c r="G135" s="239">
        <f>SUMPRODUCT(([1]Peta_Persatker!G2:G1510="BLU TETAP")*([1]Peta_Persatker!T2:T1510="D4 Fisioterapi"))</f>
        <v>0</v>
      </c>
      <c r="H135" s="239">
        <f>SUMPRODUCT(([1]Peta_Persatker!G2:G1510="KONTRAK")*([1]Peta_Persatker!T2:T1510="D4 Fisioterapi"))</f>
        <v>0</v>
      </c>
      <c r="I135" s="239"/>
      <c r="J135" s="241">
        <f t="shared" si="8"/>
        <v>5</v>
      </c>
      <c r="K135" s="242"/>
    </row>
    <row r="136" spans="2:11" x14ac:dyDescent="0.25">
      <c r="B136" s="239">
        <v>6</v>
      </c>
      <c r="C136" s="240" t="s">
        <v>4002</v>
      </c>
      <c r="D136" s="239">
        <f>SUMPRODUCT(([1]Peta_Persatker!G3:G1511="PNS")*([1]Peta_Persatker!T3:T1511="D4 Okupasi Terapi"))</f>
        <v>1</v>
      </c>
      <c r="E136" s="239">
        <f>SUMPRODUCT(([1]Peta_Persatker!G3:G1511="CPNS")*([1]Peta_Persatker!T3:T1511="D4 Okupasi Terapi"))</f>
        <v>0</v>
      </c>
      <c r="F136" s="239">
        <f>SUMPRODUCT(([1]Peta_Persatker!G3:G1511="PPPK")*([1]Peta_Persatker!T3:T1511="D4 Okupasi Terapi"))</f>
        <v>0</v>
      </c>
      <c r="G136" s="239">
        <f>SUMPRODUCT(([1]Peta_Persatker!G3:G1511="BLU TETAP")*([1]Peta_Persatker!T3:T1511="D4 Okupasi Terapi"))</f>
        <v>0</v>
      </c>
      <c r="H136" s="239">
        <f>SUMPRODUCT(([1]Peta_Persatker!G3:G1511="KONTRAK")*([1]Peta_Persatker!T3:T1511="D4 Okupasi Terapi"))</f>
        <v>0</v>
      </c>
      <c r="I136" s="239"/>
      <c r="J136" s="241">
        <f>SUM(D136:H136)</f>
        <v>1</v>
      </c>
      <c r="K136" s="242"/>
    </row>
    <row r="137" spans="2:11" x14ac:dyDescent="0.25">
      <c r="B137" s="239">
        <v>7</v>
      </c>
      <c r="C137" s="240" t="s">
        <v>4010</v>
      </c>
      <c r="D137" s="239">
        <f>SUMPRODUCT(([1]Peta_Persatker!G4:G1512="PNS")*([1]Peta_Persatker!T4:T1512="D4 Orthotik Prostetik"))</f>
        <v>1</v>
      </c>
      <c r="E137" s="239">
        <f>SUMPRODUCT(([1]Peta_Persatker!G4:G1512="CPNS")*([1]Peta_Persatker!T4:T1512="D4 Orthotik Prostetik"))</f>
        <v>0</v>
      </c>
      <c r="F137" s="239">
        <f>SUMPRODUCT(([1]Peta_Persatker!G4:G1512="PPPK")*([1]Peta_Persatker!T4:T1512="D4 Orthotik Prostetik"))</f>
        <v>0</v>
      </c>
      <c r="G137" s="239">
        <f>SUMPRODUCT(([1]Peta_Persatker!G4:G1512="BLU TETAP")*([1]Peta_Persatker!T4:T1512="D4 Orthotik Prostetik"))</f>
        <v>0</v>
      </c>
      <c r="H137" s="239">
        <f>SUMPRODUCT(([1]Peta_Persatker!G4:G1512="KONTRAK")*([1]Peta_Persatker!T4:T1512="D4 Orthotik Prostetik"))</f>
        <v>0</v>
      </c>
      <c r="I137" s="239"/>
      <c r="J137" s="241">
        <f>SUM(D137:H137)</f>
        <v>1</v>
      </c>
      <c r="K137" s="242"/>
    </row>
    <row r="138" spans="2:11" x14ac:dyDescent="0.25">
      <c r="B138" s="239">
        <v>8</v>
      </c>
      <c r="C138" s="240" t="s">
        <v>4096</v>
      </c>
      <c r="D138" s="239">
        <f>SUMPRODUCT(([1]Peta_Persatker!G2:G1510="PNS")*([1]Peta_Persatker!T2:T1510="D3 Akfis"))</f>
        <v>1</v>
      </c>
      <c r="E138" s="239">
        <f>SUMPRODUCT(([1]Peta_Persatker!G2:G1510="CPNS")*([1]Peta_Persatker!T2:T1510="D3 Akfis"))</f>
        <v>0</v>
      </c>
      <c r="F138" s="239">
        <f>SUMPRODUCT(([1]Peta_Persatker!G2:G1510="PPPK")*([1]Peta_Persatker!T2:T1510="D3 Akfis"))</f>
        <v>0</v>
      </c>
      <c r="G138" s="239">
        <f>SUMPRODUCT(([1]Peta_Persatker!G2:G1510="BLU TETAP")*([1]Peta_Persatker!T2:T1510="D3 Akfis"))</f>
        <v>0</v>
      </c>
      <c r="H138" s="239">
        <f>SUMPRODUCT(([1]Peta_Persatker!G2:G1510="KONTRAK")*([1]Peta_Persatker!T2:T1510="D3 Akfis"))</f>
        <v>0</v>
      </c>
      <c r="I138" s="239"/>
      <c r="J138" s="241">
        <f t="shared" si="8"/>
        <v>1</v>
      </c>
      <c r="K138" s="242"/>
    </row>
    <row r="139" spans="2:11" x14ac:dyDescent="0.25">
      <c r="B139" s="239">
        <v>9</v>
      </c>
      <c r="C139" s="240" t="s">
        <v>4032</v>
      </c>
      <c r="D139" s="239">
        <f>SUMPRODUCT(([1]Peta_Persatker!G2:G1510="PNS")*([1]Peta_Persatker!T2:T1510="D3 Fisioterapi"))</f>
        <v>4</v>
      </c>
      <c r="E139" s="239">
        <f>SUMPRODUCT(([1]Peta_Persatker!G2:G1510="CPNS")*([1]Peta_Persatker!T2:T1510="D3 Fisioterapi"))</f>
        <v>0</v>
      </c>
      <c r="F139" s="239">
        <f>SUMPRODUCT(([1]Peta_Persatker!G2:G1510="PPPK")*([1]Peta_Persatker!T2:T1510="D3 Fisioterapi"))</f>
        <v>1</v>
      </c>
      <c r="G139" s="239">
        <f>SUMPRODUCT(([1]Peta_Persatker!G2:G1510="BLU TETAP")*([1]Peta_Persatker!T2:T1510="D3 Fisioterapi"))</f>
        <v>0</v>
      </c>
      <c r="H139" s="239">
        <f>SUMPRODUCT(([1]Peta_Persatker!G2:G1510="KONTRAK")*([1]Peta_Persatker!T2:T1510="D3 Fisioterapi"))</f>
        <v>0</v>
      </c>
      <c r="I139" s="239"/>
      <c r="J139" s="241">
        <f t="shared" si="8"/>
        <v>5</v>
      </c>
      <c r="K139" s="242"/>
    </row>
    <row r="140" spans="2:11" x14ac:dyDescent="0.25">
      <c r="B140" s="239">
        <v>10</v>
      </c>
      <c r="C140" s="240" t="s">
        <v>221</v>
      </c>
      <c r="D140" s="239">
        <f>SUMPRODUCT(([1]Peta_Persatker!G2:G1510="PNS")*([1]Peta_Persatker!T2:T1510="D3 Okupasi Terapi"))</f>
        <v>3</v>
      </c>
      <c r="E140" s="239">
        <f>SUMPRODUCT(([1]Peta_Persatker!G2:G1510="CPNS")*([1]Peta_Persatker!T2:T1510="D3 Okupasi Terapi"))</f>
        <v>0</v>
      </c>
      <c r="F140" s="239">
        <f>SUMPRODUCT(([1]Peta_Persatker!G2:G1510="PPPK")*([1]Peta_Persatker!T2:T1510="D3 Okupasi Terapi"))</f>
        <v>0</v>
      </c>
      <c r="G140" s="239">
        <f>SUMPRODUCT(([1]Peta_Persatker!G2:G1510="BLU TETAP")*([1]Peta_Persatker!T2:T1510="D3 Okupasi Terapi"))</f>
        <v>0</v>
      </c>
      <c r="H140" s="239">
        <f>SUMPRODUCT(([1]Peta_Persatker!G2:G1510="KONTRAK")*([1]Peta_Persatker!T2:T1510="D3 Okupasi Terapi"))</f>
        <v>0</v>
      </c>
      <c r="I140" s="239"/>
      <c r="J140" s="241">
        <f t="shared" si="8"/>
        <v>3</v>
      </c>
      <c r="K140" s="242"/>
    </row>
    <row r="141" spans="2:11" x14ac:dyDescent="0.25">
      <c r="B141" s="239">
        <v>11</v>
      </c>
      <c r="C141" s="240" t="s">
        <v>4027</v>
      </c>
      <c r="D141" s="239">
        <f>SUMPRODUCT(([1]Peta_Persatker!G2:G1510="PNS")*([1]Peta_Persatker!T2:T1510="D3 Terapi Wicara"))</f>
        <v>1</v>
      </c>
      <c r="E141" s="239">
        <f>SUMPRODUCT(([1]Peta_Persatker!G2:G1510="CPNS")*([1]Peta_Persatker!T2:T1510="D3 Terapi Wicara"))</f>
        <v>2</v>
      </c>
      <c r="F141" s="239">
        <f>SUMPRODUCT(([1]Peta_Persatker!G2:G1510="PPPK")*([1]Peta_Persatker!T2:T1510="D3 Terapi Wicara"))</f>
        <v>1</v>
      </c>
      <c r="G141" s="239">
        <f>SUMPRODUCT(([1]Peta_Persatker!G2:G1510="BLU TETAP")*([1]Peta_Persatker!T2:T1510="D3 Terapi Wicara"))</f>
        <v>0</v>
      </c>
      <c r="H141" s="239">
        <f>SUMPRODUCT(([1]Peta_Persatker!G2:G1510="KONTRAK")*([1]Peta_Persatker!T2:T1510="D3 Terapi Wicara"))</f>
        <v>0</v>
      </c>
      <c r="I141" s="239"/>
      <c r="J141" s="241">
        <f t="shared" si="8"/>
        <v>4</v>
      </c>
      <c r="K141" s="242"/>
    </row>
    <row r="142" spans="2:11" x14ac:dyDescent="0.25">
      <c r="B142" s="239">
        <v>12</v>
      </c>
      <c r="C142" s="240" t="s">
        <v>4062</v>
      </c>
      <c r="D142" s="239">
        <f>SUMPRODUCT(([1]Peta_Persatker!G2:G1510="PNS")*([1]Peta_Persatker!T2:T1510="D3 Orthotik Prostetik"))</f>
        <v>0</v>
      </c>
      <c r="E142" s="239">
        <f>SUMPRODUCT(([1]Peta_Persatker!G2:G1510="CPNS")*([1]Peta_Persatker!T2:T1510="D3 Orthotik Prostetik"))</f>
        <v>0</v>
      </c>
      <c r="F142" s="239">
        <f>SUMPRODUCT(([1]Peta_Persatker!G2:G1510="PPPK")*([1]Peta_Persatker!T2:T1510="D3 Orthotik Prostetik"))</f>
        <v>1</v>
      </c>
      <c r="G142" s="239">
        <f>SUMPRODUCT(([1]Peta_Persatker!G2:G1510="BLU TETAP")*([1]Peta_Persatker!T2:T1510="D3 Orthotik Prostetik"))</f>
        <v>0</v>
      </c>
      <c r="H142" s="239">
        <f>SUMPRODUCT(([1]Peta_Persatker!G2:G1510="KONTRAK")*([1]Peta_Persatker!T2:T1510="D3 Orthotik Prostetik"))</f>
        <v>0</v>
      </c>
      <c r="I142" s="239"/>
      <c r="J142" s="241">
        <f t="shared" si="8"/>
        <v>1</v>
      </c>
      <c r="K142" s="242"/>
    </row>
    <row r="143" spans="2:11" x14ac:dyDescent="0.25">
      <c r="B143" s="241"/>
      <c r="C143" s="241" t="s">
        <v>5429</v>
      </c>
      <c r="D143" s="241">
        <f>SUM(D131:D142)</f>
        <v>16</v>
      </c>
      <c r="E143" s="241">
        <f>SUM(E131:E142)</f>
        <v>5</v>
      </c>
      <c r="F143" s="241">
        <f>SUM(F131:F142)</f>
        <v>3</v>
      </c>
      <c r="G143" s="241">
        <f>SUM(G131:G142)</f>
        <v>0</v>
      </c>
      <c r="H143" s="241">
        <f>SUM(H131:H142)</f>
        <v>0</v>
      </c>
      <c r="I143" s="241"/>
      <c r="J143" s="241">
        <f>SUM(D143:H143)</f>
        <v>24</v>
      </c>
      <c r="K143" s="242"/>
    </row>
    <row r="144" spans="2:11" x14ac:dyDescent="0.25">
      <c r="B144" s="229" t="s">
        <v>5448</v>
      </c>
      <c r="C144" s="230" t="s">
        <v>5449</v>
      </c>
      <c r="D144" s="231"/>
      <c r="E144" s="231"/>
      <c r="F144" s="231"/>
      <c r="G144" s="231"/>
      <c r="H144" s="231"/>
      <c r="I144" s="231"/>
      <c r="J144" s="231"/>
      <c r="K144" s="242"/>
    </row>
    <row r="145" spans="2:11" x14ac:dyDescent="0.25">
      <c r="B145" s="239">
        <v>1</v>
      </c>
      <c r="C145" s="240" t="s">
        <v>3918</v>
      </c>
      <c r="D145" s="239">
        <f>SUMPRODUCT(([1]Peta_Persatker!G1:G1510="PNS")*([1]Peta_Persatker!T1:T1510="S2 Fisikawan Medik"))</f>
        <v>0</v>
      </c>
      <c r="E145" s="239">
        <f>SUMPRODUCT(([1]Peta_Persatker!G1:G1510="CPNS")*([1]Peta_Persatker!T1:T1510="S2 Fisikawan Medik"))</f>
        <v>0</v>
      </c>
      <c r="F145" s="239">
        <f>SUMPRODUCT(([1]Peta_Persatker!G1:G1510="PPPK")*([1]Peta_Persatker!T1:T1510="S2 Fisikawan Medik"))</f>
        <v>0</v>
      </c>
      <c r="G145" s="239">
        <f>SUMPRODUCT(([1]Peta_Persatker!G1:G1510="BLU TETAP")*([1]Peta_Persatker!T1:T1510="S2 Fisikawan Medik"))</f>
        <v>0</v>
      </c>
      <c r="H145" s="239">
        <f>SUMPRODUCT(([1]Peta_Persatker!G1:G1510="KONTRAK")*([1]Peta_Persatker!T1:T1510="S2 Fisikawan Medik"))</f>
        <v>1</v>
      </c>
      <c r="I145" s="239"/>
      <c r="J145" s="241">
        <f t="shared" ref="J145:J174" si="9">SUM(D145:H145)</f>
        <v>1</v>
      </c>
      <c r="K145" s="242"/>
    </row>
    <row r="146" spans="2:11" x14ac:dyDescent="0.25">
      <c r="B146" s="239">
        <v>2</v>
      </c>
      <c r="C146" s="240" t="s">
        <v>3895</v>
      </c>
      <c r="D146" s="239">
        <f>SUMPRODUCT(([1]Peta_Persatker!G2:G1510="PNS")*([1]Peta_Persatker!T2:T1510="S1 Fisika Medik"))</f>
        <v>0</v>
      </c>
      <c r="E146" s="239">
        <f>SUMPRODUCT(([1]Peta_Persatker!G2:G1510="CPNS")*([1]Peta_Persatker!T2:T1510="S1 Fisika Medik"))</f>
        <v>0</v>
      </c>
      <c r="F146" s="239">
        <f>SUMPRODUCT(([1]Peta_Persatker!G2:G1510="PPPK")*([1]Peta_Persatker!T2:T1510="S1 Fisika Medik"))</f>
        <v>1</v>
      </c>
      <c r="G146" s="239">
        <f>SUMPRODUCT(([1]Peta_Persatker!G2:G1510="BLU TETAP")*([1]Peta_Persatker!T2:T1510="S1 Fisika Medik"))</f>
        <v>0</v>
      </c>
      <c r="H146" s="239">
        <f>SUMPRODUCT(([1]Peta_Persatker!G2:G1510="KONTRAK")*([1]Peta_Persatker!T2:T1510="S1 Fisika Medik"))</f>
        <v>0</v>
      </c>
      <c r="I146" s="239"/>
      <c r="J146" s="241">
        <f t="shared" si="9"/>
        <v>1</v>
      </c>
      <c r="K146" s="242"/>
    </row>
    <row r="147" spans="2:11" x14ac:dyDescent="0.25">
      <c r="B147" s="239">
        <v>3</v>
      </c>
      <c r="C147" s="240" t="s">
        <v>3921</v>
      </c>
      <c r="D147" s="239">
        <f>SUMPRODUCT(([1]Peta_Persatker!G3:G1511="PNS")*([1]Peta_Persatker!T3:T1511="S1 Teknik Nuklir"))</f>
        <v>0</v>
      </c>
      <c r="E147" s="239">
        <f>SUMPRODUCT(([1]Peta_Persatker!G3:G1511="CPNS")*([1]Peta_Persatker!T3:T1511="S1 Teknik Nuklir"))</f>
        <v>1</v>
      </c>
      <c r="F147" s="239">
        <f>SUMPRODUCT(([1]Peta_Persatker!G3:G1511="PPPK")*([1]Peta_Persatker!T3:T1511="S1 Teknik Nuklir"))</f>
        <v>0</v>
      </c>
      <c r="G147" s="239">
        <f>SUMPRODUCT(([1]Peta_Persatker!G3:G1511="BLU TETAP")*([1]Peta_Persatker!T3:T1511="S1 Teknik Nuklir"))</f>
        <v>0</v>
      </c>
      <c r="H147" s="239">
        <f>SUMPRODUCT(([1]Peta_Persatker!G3:G1511="KONTRAK")*([1]Peta_Persatker!T3:T1511="S1 Teknik Nuklir"))</f>
        <v>0</v>
      </c>
      <c r="I147" s="239"/>
      <c r="J147" s="241">
        <f t="shared" si="9"/>
        <v>1</v>
      </c>
      <c r="K147" s="242"/>
    </row>
    <row r="148" spans="2:11" x14ac:dyDescent="0.25">
      <c r="B148" s="239">
        <v>4</v>
      </c>
      <c r="C148" s="240" t="s">
        <v>5450</v>
      </c>
      <c r="D148" s="239">
        <f>SUMPRODUCT(([1]Peta_Persatker!G2:G1510="PNS")*([1]Peta_Persatker!T2:T1510="D4 TRO"))</f>
        <v>0</v>
      </c>
      <c r="E148" s="239">
        <f>SUMPRODUCT(([1]Peta_Persatker!G2:G1510="CPNS")*([1]Peta_Persatker!T2:T1510="D4 TRO"))</f>
        <v>0</v>
      </c>
      <c r="F148" s="239">
        <f>SUMPRODUCT(([1]Peta_Persatker!G2:G1510="PPPK")*([1]Peta_Persatker!T2:T1510="D4 TRO"))</f>
        <v>0</v>
      </c>
      <c r="G148" s="239">
        <f>SUMPRODUCT(([1]Peta_Persatker!G2:G1510="BLU TETAP")*([1]Peta_Persatker!T2:T1510="D4 TRO"))</f>
        <v>0</v>
      </c>
      <c r="H148" s="239">
        <f>SUMPRODUCT(([1]Peta_Persatker!G2:G1510="KONTRAK")*([1]Peta_Persatker!T2:T1510="D4 TRO"))</f>
        <v>0</v>
      </c>
      <c r="I148" s="239"/>
      <c r="J148" s="241">
        <f t="shared" si="9"/>
        <v>0</v>
      </c>
      <c r="K148" s="232"/>
    </row>
    <row r="149" spans="2:11" x14ac:dyDescent="0.25">
      <c r="B149" s="239">
        <v>5</v>
      </c>
      <c r="C149" s="240" t="s">
        <v>3808</v>
      </c>
      <c r="D149" s="239">
        <f>SUMPRODUCT(([1]Peta_Persatker!G3:G1510="PNS")*([1]Peta_Persatker!T3:T1510="D4 Teknik Radiologi"))</f>
        <v>5</v>
      </c>
      <c r="E149" s="239">
        <f>SUMPRODUCT(([1]Peta_Persatker!G3:G1510="CPNS")*([1]Peta_Persatker!T3:T1510="D4 Teknik Radiologi"))</f>
        <v>0</v>
      </c>
      <c r="F149" s="239">
        <f>SUMPRODUCT(([1]Peta_Persatker!G3:G1510="PPPK")*([1]Peta_Persatker!T3:T1510="D4 Teknik Radiologi"))</f>
        <v>0</v>
      </c>
      <c r="G149" s="239">
        <f>SUMPRODUCT(([1]Peta_Persatker!G3:G1510="BLU TETAP")*([1]Peta_Persatker!T3:T1510="D4 Teknik Radiologi"))</f>
        <v>0</v>
      </c>
      <c r="H149" s="239">
        <f>SUMPRODUCT(([1]Peta_Persatker!G3:G1510="KONTRAK")*([1]Peta_Persatker!T3:T1510="D4 Teknik Radiologi"))</f>
        <v>0</v>
      </c>
      <c r="I149" s="239"/>
      <c r="J149" s="241">
        <f t="shared" si="9"/>
        <v>5</v>
      </c>
      <c r="K149" s="242"/>
    </row>
    <row r="150" spans="2:11" x14ac:dyDescent="0.25">
      <c r="B150" s="239">
        <v>6</v>
      </c>
      <c r="C150" s="240" t="s">
        <v>3855</v>
      </c>
      <c r="D150" s="239">
        <f>SUMPRODUCT(([1]Peta_Persatker!G2:G1510="PNS")*([1]Peta_Persatker!T2:T1510="D4 Teknik Radiodiagnostik dan Radioterapi"))</f>
        <v>1</v>
      </c>
      <c r="E150" s="239">
        <f>SUMPRODUCT(([1]Peta_Persatker!G2:G1510="CPNS")*([1]Peta_Persatker!T2:T1510="D4 Teknik Radiodiagnostik dan Radioterapi"))</f>
        <v>0</v>
      </c>
      <c r="F150" s="239">
        <f>SUMPRODUCT(([1]Peta_Persatker!G2:G1510="PPPK")*([1]Peta_Persatker!T2:T1510="D4 Teknik Radiodiagnostik dan Radioterapi"))</f>
        <v>0</v>
      </c>
      <c r="G150" s="239">
        <f>SUMPRODUCT(([1]Peta_Persatker!G2:G1510="BLU TETAP")*([1]Peta_Persatker!T2:T1510="D4 Teknik Radiodiagnostik dan Radioterapi"))</f>
        <v>0</v>
      </c>
      <c r="H150" s="239">
        <f>SUMPRODUCT(([1]Peta_Persatker!G2:G1510="KONTRAK")*([1]Peta_Persatker!T2:T1510="D4 Teknik Radiodiagnostik dan Radioterapi"))</f>
        <v>0</v>
      </c>
      <c r="I150" s="239"/>
      <c r="J150" s="241">
        <f t="shared" si="9"/>
        <v>1</v>
      </c>
      <c r="K150" s="242"/>
    </row>
    <row r="151" spans="2:11" x14ac:dyDescent="0.25">
      <c r="B151" s="239">
        <v>7</v>
      </c>
      <c r="C151" s="240" t="s">
        <v>2836</v>
      </c>
      <c r="D151" s="239">
        <f>SUMPRODUCT(([1]Peta_Persatker!G2:G1510="PNS")*([1]Peta_Persatker!T2:T1510="D4 Analis Kesehatan"))</f>
        <v>6</v>
      </c>
      <c r="E151" s="239">
        <f>SUMPRODUCT(([1]Peta_Persatker!G2:G1510="CPNS")*([1]Peta_Persatker!T2:T1510="D4 Analis Kesehatan"))</f>
        <v>1</v>
      </c>
      <c r="F151" s="239">
        <f>SUMPRODUCT(([1]Peta_Persatker!G2:G1510="PPPK")*([1]Peta_Persatker!T2:T1510="D4 Analis Kesehatan"))</f>
        <v>0</v>
      </c>
      <c r="G151" s="239">
        <f>SUMPRODUCT(([1]Peta_Persatker!G2:G1510="BLU TETAP")*([1]Peta_Persatker!T2:T1510="D4 Analis Kesehatan"))</f>
        <v>0</v>
      </c>
      <c r="H151" s="239">
        <f>SUMPRODUCT(([1]Peta_Persatker!G2:G1510="KONTRAK")*([1]Peta_Persatker!T2:T1510="D4 Analis Kesehatan"))</f>
        <v>0</v>
      </c>
      <c r="I151" s="239"/>
      <c r="J151" s="241">
        <f t="shared" si="9"/>
        <v>7</v>
      </c>
      <c r="K151" s="242"/>
    </row>
    <row r="152" spans="2:11" x14ac:dyDescent="0.25">
      <c r="B152" s="239">
        <v>8</v>
      </c>
      <c r="C152" s="240" t="s">
        <v>4899</v>
      </c>
      <c r="D152" s="239">
        <f>SUMPRODUCT(([1]Peta_Persatker!G3:G1510="PNS")*([1]Peta_Persatker!T3:T1510="D4 Rekam Medik"))</f>
        <v>6</v>
      </c>
      <c r="E152" s="239">
        <f>SUMPRODUCT(([1]Peta_Persatker!G3:G1510="CPNS")*([1]Peta_Persatker!T3:T1510="D4 Rekam Medik"))</f>
        <v>0</v>
      </c>
      <c r="F152" s="239">
        <f>SUMPRODUCT(([1]Peta_Persatker!G3:G1510="PPPK")*([1]Peta_Persatker!T3:T1510="D4 Rekam Medik"))</f>
        <v>0</v>
      </c>
      <c r="G152" s="239">
        <f>SUMPRODUCT(([1]Peta_Persatker!G3:G1510="BLU TETAP")*([1]Peta_Persatker!T3:T1510="D4 Rekam Medik"))</f>
        <v>0</v>
      </c>
      <c r="H152" s="239">
        <f>SUMPRODUCT(([1]Peta_Persatker!G3:G1510="KONTRAK")*([1]Peta_Persatker!T3:T1510="D4 Rekam Medik"))</f>
        <v>0</v>
      </c>
      <c r="I152" s="239"/>
      <c r="J152" s="241">
        <f>SUM(D152:H152)</f>
        <v>6</v>
      </c>
      <c r="K152" s="242"/>
    </row>
    <row r="153" spans="2:11" x14ac:dyDescent="0.25">
      <c r="B153" s="239">
        <v>9</v>
      </c>
      <c r="C153" s="240" t="s">
        <v>3291</v>
      </c>
      <c r="D153" s="239">
        <f>SUMPRODUCT(([1]Peta_Persatker!G4:G1511="PNS")*([1]Peta_Persatker!T4:T1511="D4 Keperawatan Anestesiologi"))</f>
        <v>3</v>
      </c>
      <c r="E153" s="239">
        <f>SUMPRODUCT(([1]Peta_Persatker!G4:G1511="CPNS")*([1]Peta_Persatker!T4:T1511="D4 Keperawatan Anestesiologi"))</f>
        <v>0</v>
      </c>
      <c r="F153" s="239">
        <f>SUMPRODUCT(([1]Peta_Persatker!G4:G1511="PPPK")*([1]Peta_Persatker!T4:T1511="D4 Keperawatan Anestesiologi"))</f>
        <v>0</v>
      </c>
      <c r="G153" s="239">
        <f>SUMPRODUCT(([1]Peta_Persatker!G4:G1511="BLU TETAP")*([1]Peta_Persatker!T4:T1511="D4 Keperawatan Anestesiologi"))</f>
        <v>0</v>
      </c>
      <c r="H153" s="239">
        <f>SUMPRODUCT(([1]Peta_Persatker!G4:G1511="KONTRAK")*([1]Peta_Persatker!T4:T1511="D4 Keperawatan Anestesiologi"))</f>
        <v>5</v>
      </c>
      <c r="I153" s="239"/>
      <c r="J153" s="241">
        <f>SUM(D153:H153)</f>
        <v>8</v>
      </c>
      <c r="K153" s="242"/>
    </row>
    <row r="154" spans="2:11" x14ac:dyDescent="0.25">
      <c r="B154" s="239">
        <v>10</v>
      </c>
      <c r="C154" s="240" t="s">
        <v>3883</v>
      </c>
      <c r="D154" s="239">
        <f>SUMPRODUCT(([1]Peta_Persatker!G2:G1510="PNS")*([1]Peta_Persatker!T2:T1510="D4 Radiodiagnostik dan Radioterapi"))</f>
        <v>0</v>
      </c>
      <c r="E154" s="239">
        <f>SUMPRODUCT(([1]Peta_Persatker!G2:G1510="CPNS")*([1]Peta_Persatker!T2:T1510="D4 Radiodiagnostik dan Radioterapi"))</f>
        <v>0</v>
      </c>
      <c r="F154" s="239">
        <f>SUMPRODUCT(([1]Peta_Persatker!G2:G1510="PPPK")*([1]Peta_Persatker!T2:T1510="D4 Radiodiagnostik dan Radioterapi"))</f>
        <v>1</v>
      </c>
      <c r="G154" s="239">
        <f>SUMPRODUCT(([1]Peta_Persatker!G2:G1510="BLU TETAP")*([1]Peta_Persatker!T2:T1510="D4 Radiodiagnostik dan Radioterapi"))</f>
        <v>0</v>
      </c>
      <c r="H154" s="239">
        <f>SUMPRODUCT(([1]Peta_Persatker!G2:G1510="KONTRAK")*([1]Peta_Persatker!T2:T1510="D4 Radiodiagnostik dan Radioterapi"))</f>
        <v>0</v>
      </c>
      <c r="I154" s="239"/>
      <c r="J154" s="241">
        <f>SUM(D154:H154)</f>
        <v>1</v>
      </c>
      <c r="K154" s="242"/>
    </row>
    <row r="155" spans="2:11" x14ac:dyDescent="0.25">
      <c r="B155" s="239">
        <v>11</v>
      </c>
      <c r="C155" s="240" t="s">
        <v>2890</v>
      </c>
      <c r="D155" s="239">
        <f>SUMPRODUCT(([1]Peta_Persatker!G3:G1511="PNS")*([1]Peta_Persatker!T3:T1511="D4 Teknologi Laboratorium Medis"))</f>
        <v>0</v>
      </c>
      <c r="E155" s="239">
        <f>SUMPRODUCT(([1]Peta_Persatker!G3:G1511="CPNS")*([1]Peta_Persatker!T3:T1511="D4 Teknologi Laboratorium Medis"))</f>
        <v>7</v>
      </c>
      <c r="F155" s="239">
        <f>SUMPRODUCT(([1]Peta_Persatker!G3:G1511="PPPK")*([1]Peta_Persatker!T3:T1511="D4 Teknologi Laboratorium Medis"))</f>
        <v>0</v>
      </c>
      <c r="G155" s="239">
        <f>SUMPRODUCT(([1]Peta_Persatker!G3:G1511="BLU TETAP")*([1]Peta_Persatker!T3:T1511="D4 Teknologi Laboratorium Medis"))</f>
        <v>0</v>
      </c>
      <c r="H155" s="239">
        <f>SUMPRODUCT(([1]Peta_Persatker!G3:G1511="KONTRAK")*([1]Peta_Persatker!T3:T1511="D4 Teknologi Laboratorium Medis"))</f>
        <v>0</v>
      </c>
      <c r="I155" s="239"/>
      <c r="J155" s="241">
        <f>SUM(D155:H155)</f>
        <v>7</v>
      </c>
      <c r="K155" s="242"/>
    </row>
    <row r="156" spans="2:11" x14ac:dyDescent="0.25">
      <c r="B156" s="239">
        <v>12</v>
      </c>
      <c r="C156" s="240" t="s">
        <v>3925</v>
      </c>
      <c r="D156" s="239">
        <f>SUMPRODUCT(([1]Peta_Persatker!G4:G1512="PNS")*([1]Peta_Persatker!T4:T1512="Sarjana Terapan Teknologi Radiologi Pencitraan"))</f>
        <v>0</v>
      </c>
      <c r="E156" s="239">
        <f>SUMPRODUCT(([1]Peta_Persatker!G4:G1512="CPNS")*([1]Peta_Persatker!T4:T1512="Sarjana Terapan Teknologi Radiologi Pencitraan"))</f>
        <v>4</v>
      </c>
      <c r="F156" s="239">
        <f>SUMPRODUCT(([1]Peta_Persatker!G4:G1512="PPPK")*([1]Peta_Persatker!T4:T1512="Sarjana Terapan Teknologi Radiologi Pencitraan"))</f>
        <v>0</v>
      </c>
      <c r="G156" s="239">
        <f>SUMPRODUCT(([1]Peta_Persatker!G4:G1512="BLU TETAP")*([1]Peta_Persatker!T4:T1512="Sarjana Terapan Teknologi Radiologi Pencitraan"))</f>
        <v>0</v>
      </c>
      <c r="H156" s="239">
        <f>SUMPRODUCT(([1]Peta_Persatker!G4:G1512="KONTRAK")*([1]Peta_Persatker!T4:T1512="Sarjana Terapan Teknologi Radiologi Pencitraan"))</f>
        <v>0</v>
      </c>
      <c r="I156" s="239"/>
      <c r="J156" s="241">
        <f>SUM(D156:H156)</f>
        <v>4</v>
      </c>
      <c r="K156" s="242"/>
    </row>
    <row r="157" spans="2:11" x14ac:dyDescent="0.25">
      <c r="B157" s="239">
        <v>13</v>
      </c>
      <c r="C157" s="240" t="s">
        <v>2792</v>
      </c>
      <c r="D157" s="239">
        <f>SUMPRODUCT(([1]Peta_Persatker!G2:G1510="PNS")*([1]Peta_Persatker!T2:T1510="D3 Analis Kesehatan"))</f>
        <v>13</v>
      </c>
      <c r="E157" s="239">
        <f>SUMPRODUCT(([1]Peta_Persatker!G2:G1510="CPNS")*([1]Peta_Persatker!T2:T1510="D3 Analis Kesehatan"))</f>
        <v>0</v>
      </c>
      <c r="F157" s="239">
        <f>SUMPRODUCT(([1]Peta_Persatker!G2:G1510="PPPK")*([1]Peta_Persatker!T2:T1510="D3 Analis Kesehatan"))</f>
        <v>8</v>
      </c>
      <c r="G157" s="239">
        <f>SUMPRODUCT(([1]Peta_Persatker!G2:G1510="BLU TETAP")*([1]Peta_Persatker!T2:T1510="D3 Analis Kesehatan"))</f>
        <v>0</v>
      </c>
      <c r="H157" s="239">
        <f>SUMPRODUCT(([1]Peta_Persatker!G2:G1510="KONTRAK")*([1]Peta_Persatker!T2:T1510="D3 Analis Kesehatan"))</f>
        <v>0</v>
      </c>
      <c r="I157" s="239"/>
      <c r="J157" s="241">
        <f t="shared" si="9"/>
        <v>21</v>
      </c>
      <c r="K157" s="242"/>
    </row>
    <row r="158" spans="2:11" x14ac:dyDescent="0.25">
      <c r="B158" s="239">
        <v>14</v>
      </c>
      <c r="C158" s="240" t="s">
        <v>1246</v>
      </c>
      <c r="D158" s="239">
        <f>SUMPRODUCT(([1]Peta_Persatker!G2:G1510="PNS")*([1]Peta_Persatker!T2:T1510="D3 Kesehatan Gigi"))</f>
        <v>1</v>
      </c>
      <c r="E158" s="239">
        <f>SUMPRODUCT(([1]Peta_Persatker!G2:G1510="CPNS")*([1]Peta_Persatker!T2:T1510="D3 Kesehatan Gigi"))</f>
        <v>0</v>
      </c>
      <c r="F158" s="239">
        <f>SUMPRODUCT(([1]Peta_Persatker!G2:G1510="PPPK")*([1]Peta_Persatker!T2:T1510="D3 Kesehatan Gigi"))</f>
        <v>2</v>
      </c>
      <c r="G158" s="239">
        <f>SUMPRODUCT(([1]Peta_Persatker!G2:G1510="BLU TETAP")*([1]Peta_Persatker!T2:T1510="D3 Kesehatan Gigi"))</f>
        <v>0</v>
      </c>
      <c r="H158" s="239">
        <f>SUMPRODUCT(([1]Peta_Persatker!G2:G1510="KONTRAK")*([1]Peta_Persatker!T2:T1510="D3 Kesehatan Gigi"))</f>
        <v>0</v>
      </c>
      <c r="I158" s="239"/>
      <c r="J158" s="241">
        <f t="shared" si="9"/>
        <v>3</v>
      </c>
      <c r="K158" s="23"/>
    </row>
    <row r="159" spans="2:11" x14ac:dyDescent="0.25">
      <c r="B159" s="239">
        <v>15</v>
      </c>
      <c r="C159" s="240" t="s">
        <v>5451</v>
      </c>
      <c r="D159" s="239">
        <f>SUMPRODUCT(([1]Peta_Persatker!G3:G1510="PNS")*([1]Peta_Persatker!T3:T1510="D3 Refraksi Optisi"))</f>
        <v>0</v>
      </c>
      <c r="E159" s="239">
        <f>SUMPRODUCT(([1]Peta_Persatker!G3:G1510="CPNS")*([1]Peta_Persatker!T3:T1510="D3 Refraksi Optisi"))</f>
        <v>0</v>
      </c>
      <c r="F159" s="239">
        <f>SUMPRODUCT(([1]Peta_Persatker!G3:G1510="PPPK")*([1]Peta_Persatker!T3:T1510="D3 Refraksi Optisi"))</f>
        <v>0</v>
      </c>
      <c r="G159" s="239">
        <f>SUMPRODUCT(([1]Peta_Persatker!G3:G1510="BLU TETAP")*([1]Peta_Persatker!T3:T1510="D3 Refraksi Optisi"))</f>
        <v>0</v>
      </c>
      <c r="H159" s="239">
        <f>SUMPRODUCT(([1]Peta_Persatker!G3:G1510="KONTRAK")*([1]Peta_Persatker!T3:T1510="D3 Refraksi Optisi"))</f>
        <v>0</v>
      </c>
      <c r="I159" s="239"/>
      <c r="J159" s="241">
        <f>SUM(D159:H159)</f>
        <v>0</v>
      </c>
      <c r="K159" s="15"/>
    </row>
    <row r="160" spans="2:11" x14ac:dyDescent="0.25">
      <c r="B160" s="239">
        <v>16</v>
      </c>
      <c r="C160" s="240" t="s">
        <v>5010</v>
      </c>
      <c r="D160" s="239">
        <f>SUMPRODUCT(([1]Peta_Persatker!G2:G1510="PNS")*([1]Peta_Persatker!T2:T1510="D3 MARM"))</f>
        <v>0</v>
      </c>
      <c r="E160" s="239">
        <f>SUMPRODUCT(([1]Peta_Persatker!G2:G1510="CPNS")*([1]Peta_Persatker!T2:T1510="D3 MARM"))</f>
        <v>0</v>
      </c>
      <c r="F160" s="239">
        <f>SUMPRODUCT(([1]Peta_Persatker!G2:G1510="PPPK")*([1]Peta_Persatker!T2:T1510="D3 MARM"))</f>
        <v>1</v>
      </c>
      <c r="G160" s="239">
        <f>SUMPRODUCT(([1]Peta_Persatker!G2:G1510="BLU TETAP")*([1]Peta_Persatker!T2:T1510="D3 MARM"))</f>
        <v>0</v>
      </c>
      <c r="H160" s="239">
        <f>SUMPRODUCT(([1]Peta_Persatker!G2:G1510="KONTRAK")*([1]Peta_Persatker!T2:T1510="D3 MARM"))</f>
        <v>0</v>
      </c>
      <c r="I160" s="239"/>
      <c r="J160" s="241">
        <f t="shared" si="9"/>
        <v>1</v>
      </c>
      <c r="K160" s="242"/>
    </row>
    <row r="161" spans="2:11" x14ac:dyDescent="0.25">
      <c r="B161" s="239">
        <v>17</v>
      </c>
      <c r="C161" s="240" t="s">
        <v>1126</v>
      </c>
      <c r="D161" s="239">
        <f>SUMPRODUCT(([1]Peta_Persatker!G2:G1510="PNS")*([1]Peta_Persatker!T2:T1510="D3 Radiodiagnostik"))</f>
        <v>7</v>
      </c>
      <c r="E161" s="239">
        <f>SUMPRODUCT(([1]Peta_Persatker!G2:G1510="CPNS")*([1]Peta_Persatker!T2:T1510="D3 Radiodiagnostik"))</f>
        <v>0</v>
      </c>
      <c r="F161" s="239">
        <f>SUMPRODUCT(([1]Peta_Persatker!G2:G1510="PPPK")*([1]Peta_Persatker!T2:T1510="D3 Radiodiagnostik"))</f>
        <v>3</v>
      </c>
      <c r="G161" s="239">
        <f>SUMPRODUCT(([1]Peta_Persatker!G2:G1510="BLU TETAP")*([1]Peta_Persatker!T2:T1510="D3 Radiodiagnostik"))</f>
        <v>0</v>
      </c>
      <c r="H161" s="239">
        <f>SUMPRODUCT(([1]Peta_Persatker!G2:G1510="KONTRAK")*([1]Peta_Persatker!T2:T1510="D3 Radiodiagnostik"))</f>
        <v>0</v>
      </c>
      <c r="I161" s="239"/>
      <c r="J161" s="241">
        <f t="shared" si="9"/>
        <v>10</v>
      </c>
      <c r="K161" s="242"/>
    </row>
    <row r="162" spans="2:11" x14ac:dyDescent="0.25">
      <c r="B162" s="239">
        <v>18</v>
      </c>
      <c r="C162" s="240" t="s">
        <v>4920</v>
      </c>
      <c r="D162" s="239">
        <f>SUMPRODUCT(([1]Peta_Persatker!G2:G1510="PNS")*([1]Peta_Persatker!T2:T1510="D3 Rekam Medik"))</f>
        <v>14</v>
      </c>
      <c r="E162" s="239">
        <f>SUMPRODUCT(([1]Peta_Persatker!G2:G1510="CPNS")*([1]Peta_Persatker!T2:T1510="D3 Rekam Medik"))</f>
        <v>0</v>
      </c>
      <c r="F162" s="239">
        <f>SUMPRODUCT(([1]Peta_Persatker!G2:G1510="PPPK")*([1]Peta_Persatker!T2:T1510="D3 Rekam Medik"))</f>
        <v>13</v>
      </c>
      <c r="G162" s="239">
        <f>SUMPRODUCT(([1]Peta_Persatker!G2:G1510="BLU TETAP")*([1]Peta_Persatker!T2:T1510="D3 Rekam Medik"))</f>
        <v>1</v>
      </c>
      <c r="H162" s="239">
        <f>SUMPRODUCT(([1]Peta_Persatker!G2:G1510="KONTRAK")*([1]Peta_Persatker!T2:T1510="D3 Rekam Medik"))</f>
        <v>0</v>
      </c>
      <c r="I162" s="239"/>
      <c r="J162" s="241">
        <f t="shared" si="9"/>
        <v>28</v>
      </c>
      <c r="K162" s="242"/>
    </row>
    <row r="163" spans="2:11" x14ac:dyDescent="0.25">
      <c r="B163" s="239">
        <v>19</v>
      </c>
      <c r="C163" s="240" t="s">
        <v>5452</v>
      </c>
      <c r="D163" s="239">
        <f>SUMPRODUCT(([1]Peta_Persatker!G2:G1510="PNS")*([1]Peta_Persatker!T2:T1510="D3 Teknik Radiologi"))</f>
        <v>0</v>
      </c>
      <c r="E163" s="239">
        <f>SUMPRODUCT(([1]Peta_Persatker!G2:G1510="CPNS")*([1]Peta_Persatker!T2:T1510="D3 Teknik Radiologi"))</f>
        <v>0</v>
      </c>
      <c r="F163" s="239">
        <f>SUMPRODUCT(([1]Peta_Persatker!G2:G1510="PPPK")*([1]Peta_Persatker!T2:T1510="D3 Teknik Radiologi"))</f>
        <v>0</v>
      </c>
      <c r="G163" s="239">
        <f>SUMPRODUCT(([1]Peta_Persatker!G2:G1510="BLU TETAP")*([1]Peta_Persatker!T2:T1510="D3 Teknik Radiologi"))</f>
        <v>0</v>
      </c>
      <c r="H163" s="239">
        <f>SUMPRODUCT(([1]Peta_Persatker!G2:G1510="KONTRAK")*([1]Peta_Persatker!T2:T1510="D3 Teknik Radiologi"))</f>
        <v>0</v>
      </c>
      <c r="I163" s="239"/>
      <c r="J163" s="241">
        <f t="shared" si="9"/>
        <v>0</v>
      </c>
      <c r="K163" s="242"/>
    </row>
    <row r="164" spans="2:11" x14ac:dyDescent="0.25">
      <c r="B164" s="239">
        <v>20</v>
      </c>
      <c r="C164" s="240" t="s">
        <v>5156</v>
      </c>
      <c r="D164" s="239">
        <f>SUMPRODUCT(([1]Peta_Persatker!G2:G1510="PNS")*([1]Peta_Persatker!T2:T1510="ATEM"))</f>
        <v>3</v>
      </c>
      <c r="E164" s="239">
        <f>SUMPRODUCT(([1]Peta_Persatker!G2:G1510="CPNS")*([1]Peta_Persatker!T2:T1510="ATEM"))</f>
        <v>0</v>
      </c>
      <c r="F164" s="239">
        <f>SUMPRODUCT(([1]Peta_Persatker!G2:G1510="PPPK")*([1]Peta_Persatker!T2:T1510="ATEM"))</f>
        <v>0</v>
      </c>
      <c r="G164" s="239">
        <f>SUMPRODUCT(([1]Peta_Persatker!G2:G1510="BLU TETAP")*([1]Peta_Persatker!T2:T1510="ATEM"))</f>
        <v>0</v>
      </c>
      <c r="H164" s="239">
        <f>SUMPRODUCT(([1]Peta_Persatker!G2:G1510="KONTRAK")*([1]Peta_Persatker!T2:T1510="ATEM"))</f>
        <v>0</v>
      </c>
      <c r="I164" s="239"/>
      <c r="J164" s="241">
        <f t="shared" si="9"/>
        <v>3</v>
      </c>
      <c r="K164" s="242"/>
    </row>
    <row r="165" spans="2:11" x14ac:dyDescent="0.25">
      <c r="B165" s="239">
        <v>21</v>
      </c>
      <c r="C165" s="240" t="s">
        <v>1233</v>
      </c>
      <c r="D165" s="239">
        <f>SUMPRODUCT(([1]Peta_Persatker!G2:G1510="PNS")*([1]Peta_Persatker!T2:T1510="AKG"))</f>
        <v>1</v>
      </c>
      <c r="E165" s="239">
        <f>SUMPRODUCT(([1]Peta_Persatker!G2:G1510="CPNS")*([1]Peta_Persatker!T2:T1510="AKG"))</f>
        <v>0</v>
      </c>
      <c r="F165" s="239">
        <f>SUMPRODUCT(([1]Peta_Persatker!G2:G1510="PPPK")*([1]Peta_Persatker!T2:T1510="AKG"))</f>
        <v>0</v>
      </c>
      <c r="G165" s="239">
        <f>SUMPRODUCT(([1]Peta_Persatker!G2:G1510="BLU TETAP")*([1]Peta_Persatker!T2:T1510="AKG"))</f>
        <v>0</v>
      </c>
      <c r="H165" s="239">
        <f>SUMPRODUCT(([1]Peta_Persatker!G2:G1510="KONTRAK")*([1]Peta_Persatker!T2:T1510="AKG"))</f>
        <v>0</v>
      </c>
      <c r="I165" s="239"/>
      <c r="J165" s="241">
        <f t="shared" si="9"/>
        <v>1</v>
      </c>
      <c r="K165" s="242"/>
    </row>
    <row r="166" spans="2:11" x14ac:dyDescent="0.25">
      <c r="B166" s="239">
        <v>22</v>
      </c>
      <c r="C166" s="240" t="s">
        <v>1191</v>
      </c>
      <c r="D166" s="239">
        <f>SUMPRODUCT(([1]Peta_Persatker!G2:G1510="PNS")*([1]Peta_Persatker!T2:T1510="ATG"))</f>
        <v>1</v>
      </c>
      <c r="E166" s="239">
        <f>SUMPRODUCT(([1]Peta_Persatker!G2:G1510="CPNS")*([1]Peta_Persatker!T2:T1510="ATG"))</f>
        <v>0</v>
      </c>
      <c r="F166" s="239">
        <f>SUMPRODUCT(([1]Peta_Persatker!G2:G1510="PPPK")*([1]Peta_Persatker!T2:T1510="ATG"))</f>
        <v>0</v>
      </c>
      <c r="G166" s="239">
        <f>SUMPRODUCT(([1]Peta_Persatker!G2:G1510="BLU TETAP")*([1]Peta_Persatker!T2:T1510="ATG"))</f>
        <v>0</v>
      </c>
      <c r="H166" s="239">
        <f>SUMPRODUCT(([1]Peta_Persatker!G2:G1510="KONTRAK")*([1]Peta_Persatker!T2:T1510="ATG"))</f>
        <v>0</v>
      </c>
      <c r="I166" s="239"/>
      <c r="J166" s="241">
        <f t="shared" si="9"/>
        <v>1</v>
      </c>
      <c r="K166" s="242"/>
    </row>
    <row r="167" spans="2:11" x14ac:dyDescent="0.25">
      <c r="B167" s="239">
        <v>23</v>
      </c>
      <c r="C167" s="240" t="s">
        <v>5453</v>
      </c>
      <c r="D167" s="239">
        <f>SUMPRODUCT(([1]Peta_Persatker!G2:G1510="PNS")*([1]Peta_Persatker!T2:T1510="ATRO"))</f>
        <v>0</v>
      </c>
      <c r="E167" s="239">
        <f>SUMPRODUCT(([1]Peta_Persatker!G2:G1510="CPNS")*([1]Peta_Persatker!T2:T1510="ATRO"))</f>
        <v>0</v>
      </c>
      <c r="F167" s="239">
        <f>SUMPRODUCT(([1]Peta_Persatker!G2:G1510="PPPK")*([1]Peta_Persatker!T2:T1510="ATRO"))</f>
        <v>0</v>
      </c>
      <c r="G167" s="239">
        <f>SUMPRODUCT(([1]Peta_Persatker!G2:G1510="BLU TETAP")*([1]Peta_Persatker!T2:T1510="ATRO"))</f>
        <v>0</v>
      </c>
      <c r="H167" s="239">
        <f>SUMPRODUCT(([1]Peta_Persatker!G2:G1510="KONTRAK")*([1]Peta_Persatker!T2:T1510="ATRO"))</f>
        <v>0</v>
      </c>
      <c r="I167" s="239"/>
      <c r="J167" s="241">
        <f t="shared" si="9"/>
        <v>0</v>
      </c>
      <c r="K167" s="242"/>
    </row>
    <row r="168" spans="2:11" x14ac:dyDescent="0.25">
      <c r="B168" s="239">
        <v>24</v>
      </c>
      <c r="C168" s="240" t="s">
        <v>3816</v>
      </c>
      <c r="D168" s="239">
        <f>SUMPRODUCT(([1]Peta_Persatker!G2:G1510="PNS")*([1]Peta_Persatker!T2:T1510="Akademi Teknik Rontgen"))</f>
        <v>1</v>
      </c>
      <c r="E168" s="239">
        <f>SUMPRODUCT(([1]Peta_Persatker!G2:G1510="CPNS")*([1]Peta_Persatker!T2:T1510="Akademi Teknik Rontgen"))</f>
        <v>0</v>
      </c>
      <c r="F168" s="239">
        <f>SUMPRODUCT(([1]Peta_Persatker!G2:G1510="PPPK")*([1]Peta_Persatker!T2:T1510="Akademi Teknik Rontgen"))</f>
        <v>1</v>
      </c>
      <c r="G168" s="239">
        <f>SUMPRODUCT(([1]Peta_Persatker!G2:G1510="BLU TETAP")*([1]Peta_Persatker!T2:T1510="Akademi Teknik Rontgen"))</f>
        <v>0</v>
      </c>
      <c r="H168" s="239">
        <f>SUMPRODUCT(([1]Peta_Persatker!G2:G1510="KONTRAK")*([1]Peta_Persatker!T2:T1510="Akademi Teknik Rontgen"))</f>
        <v>0</v>
      </c>
      <c r="I168" s="239"/>
      <c r="J168" s="241">
        <f t="shared" si="9"/>
        <v>2</v>
      </c>
      <c r="K168" s="242"/>
    </row>
    <row r="169" spans="2:11" x14ac:dyDescent="0.25">
      <c r="B169" s="239">
        <v>25</v>
      </c>
      <c r="C169" s="245" t="s">
        <v>5454</v>
      </c>
      <c r="D169" s="246">
        <f>SUMPRODUCT(([1]Peta_Persatker!G2:G1510="PNS")*([1]Peta_Persatker!T2:T1510="D1 Teknologi Transfusi Darah"))</f>
        <v>0</v>
      </c>
      <c r="E169" s="246">
        <f>SUMPRODUCT(([1]Peta_Persatker!G2:G1510="CPNS")*([1]Peta_Persatker!T2:T1510="D1 Teknologi Transfusi Darah"))</f>
        <v>0</v>
      </c>
      <c r="F169" s="246">
        <f>SUMPRODUCT(([1]Peta_Persatker!G2:G1510="PPPK")*([1]Peta_Persatker!T2:T1510="D1 Teknologi Transfusi Darah"))</f>
        <v>0</v>
      </c>
      <c r="G169" s="246">
        <f>SUMPRODUCT(([1]Peta_Persatker!G2:G1510="BLU TETAP")*([1]Peta_Persatker!T2:T1510="D1 Teknologi Transfusi Darah"))</f>
        <v>0</v>
      </c>
      <c r="H169" s="246">
        <f>SUMPRODUCT(([1]Peta_Persatker!G2:G1510="KONTRAK")*([1]Peta_Persatker!T2:T1510="D1 Teknologi Transfusi Darah"))</f>
        <v>0</v>
      </c>
      <c r="I169" s="246"/>
      <c r="J169" s="241">
        <f t="shared" si="9"/>
        <v>0</v>
      </c>
      <c r="K169" s="242"/>
    </row>
    <row r="170" spans="2:11" x14ac:dyDescent="0.25">
      <c r="B170" s="239">
        <v>26</v>
      </c>
      <c r="C170" s="245" t="s">
        <v>5455</v>
      </c>
      <c r="D170" s="246">
        <f>SUMPRODUCT(([1]Peta_Persatker!G2:G1510="PNS")*([1]Peta_Persatker!T2:T1510="D3 Teknologi Transfusi Darah"))</f>
        <v>0</v>
      </c>
      <c r="E170" s="246">
        <f>SUMPRODUCT(([1]Peta_Persatker!G2:G1510="CPNS")*([1]Peta_Persatker!T2:T1510="D3 Teknologi Transfusi Darah"))</f>
        <v>1</v>
      </c>
      <c r="F170" s="246">
        <f>SUMPRODUCT(([1]Peta_Persatker!G2:G1510="PPPK")*([1]Peta_Persatker!T2:T1510="D3 Teknologi Transfusi Darah"))</f>
        <v>2</v>
      </c>
      <c r="G170" s="246">
        <f>SUMPRODUCT(([1]Peta_Persatker!G2:G1510="BLU TETAP")*([1]Peta_Persatker!T2:T1510="D3 Teknologi Transfusi Darah"))</f>
        <v>0</v>
      </c>
      <c r="H170" s="246">
        <f>SUMPRODUCT(([1]Peta_Persatker!G2:G1510="KONTRAK")*([1]Peta_Persatker!T2:T1510="D3 Teknologi Transfusi Darah"))</f>
        <v>0</v>
      </c>
      <c r="I170" s="246"/>
      <c r="J170" s="241">
        <f t="shared" si="9"/>
        <v>3</v>
      </c>
      <c r="K170" s="242"/>
    </row>
    <row r="171" spans="2:11" x14ac:dyDescent="0.25">
      <c r="B171" s="239">
        <v>27</v>
      </c>
      <c r="C171" s="245" t="s">
        <v>2983</v>
      </c>
      <c r="D171" s="246">
        <f>SUMPRODUCT(([1]Peta_Persatker!G3:G1510="PNS")*([1]Peta_Persatker!T3:T1510="D3 Teknologi Bank Darah"))</f>
        <v>0</v>
      </c>
      <c r="E171" s="246">
        <f>SUMPRODUCT(([1]Peta_Persatker!G3:G1510="CPNS")*([1]Peta_Persatker!T3:T1510="D3 Teknologi Bank Darah"))</f>
        <v>2</v>
      </c>
      <c r="F171" s="246">
        <f>SUMPRODUCT(([1]Peta_Persatker!G3:G1510="PPPK")*([1]Peta_Persatker!T3:T1510="D3 Teknologi Bank Darah"))</f>
        <v>2</v>
      </c>
      <c r="G171" s="246">
        <f>SUMPRODUCT(([1]Peta_Persatker!G3:G1510="BLU TETAP")*([1]Peta_Persatker!T3:T1510="D3 Teknologi Bank Darah"))</f>
        <v>0</v>
      </c>
      <c r="H171" s="246">
        <f>SUMPRODUCT(([1]Peta_Persatker!G3:G1510="KONTRAK")*([1]Peta_Persatker!T3:T1510="D3 Teknologi Bank Darah"))</f>
        <v>0</v>
      </c>
      <c r="I171" s="246"/>
      <c r="J171" s="241">
        <f t="shared" si="9"/>
        <v>4</v>
      </c>
      <c r="K171" s="242"/>
    </row>
    <row r="172" spans="2:11" x14ac:dyDescent="0.25">
      <c r="B172" s="239">
        <v>28</v>
      </c>
      <c r="C172" s="245" t="s">
        <v>5456</v>
      </c>
      <c r="D172" s="246">
        <f>SUMPRODUCT(([1]Peta_Persatker!G4:G1511="PNS")*([1]Peta_Persatker!T4:T1511="D3 Teknik Radiodiagnostik Dan Radioterapi"))</f>
        <v>2</v>
      </c>
      <c r="E172" s="246">
        <f>SUMPRODUCT(([1]Peta_Persatker!G4:G1511="CPNS")*([1]Peta_Persatker!T4:T1511="D3 Teknik Radiodiagnostik Dan Radioterapi"))</f>
        <v>0</v>
      </c>
      <c r="F172" s="246">
        <f>SUMPRODUCT(([1]Peta_Persatker!G4:G1511="PPPK")*([1]Peta_Persatker!T4:T1511="D3 Teknik Radiodiagnostik Dan Radioterapi"))</f>
        <v>0</v>
      </c>
      <c r="G172" s="246">
        <f>SUMPRODUCT(([1]Peta_Persatker!G4:G1511="BLU TETAP")*([1]Peta_Persatker!T4:T1511="D3 Teknik Radiodiagnostik Dan Radioterapi"))</f>
        <v>0</v>
      </c>
      <c r="H172" s="246">
        <f>SUMPRODUCT(([1]Peta_Persatker!G4:G1511="KONTRAK")*([1]Peta_Persatker!T4:T1511="D3 Teknik Radiodiagnostik Dan Radioterapi"))</f>
        <v>0</v>
      </c>
      <c r="I172" s="246"/>
      <c r="J172" s="241">
        <f>SUM(D172:H172)</f>
        <v>2</v>
      </c>
      <c r="K172" s="242"/>
    </row>
    <row r="173" spans="2:11" x14ac:dyDescent="0.25">
      <c r="B173" s="239">
        <v>29</v>
      </c>
      <c r="C173" s="245" t="s">
        <v>2867</v>
      </c>
      <c r="D173" s="246">
        <f>SUMPRODUCT(([1]Peta_Persatker!G5:G1512="PNS")*([1]Peta_Persatker!T5:T1512="D3 Teknologi Laboratorium Medis"))</f>
        <v>1</v>
      </c>
      <c r="E173" s="246">
        <f>SUMPRODUCT(([1]Peta_Persatker!G5:G1512="CPNS")*([1]Peta_Persatker!T5:T1512="D3 Teknologi Laboratorium Medis"))</f>
        <v>0</v>
      </c>
      <c r="F173" s="246">
        <f>SUMPRODUCT(([1]Peta_Persatker!G5:G1512="PPPK")*([1]Peta_Persatker!T5:T1512="D3 Teknologi Laboratorium Medis"))</f>
        <v>0</v>
      </c>
      <c r="G173" s="246">
        <f>SUMPRODUCT(([1]Peta_Persatker!G5:G1512="BLU TETAP")*([1]Peta_Persatker!T5:T1512="D3 Teknologi Laboratorium Medis"))</f>
        <v>0</v>
      </c>
      <c r="H173" s="246">
        <f>SUMPRODUCT(([1]Peta_Persatker!G5:G1512="KONTRAK")*([1]Peta_Persatker!T5:T1512="D3 Teknologi Laboratorium Medis"))</f>
        <v>0</v>
      </c>
      <c r="I173" s="246"/>
      <c r="J173" s="241">
        <f>SUM(D173:H173)</f>
        <v>1</v>
      </c>
      <c r="K173" s="242"/>
    </row>
    <row r="174" spans="2:11" x14ac:dyDescent="0.25">
      <c r="B174" s="239">
        <v>30</v>
      </c>
      <c r="C174" s="245" t="s">
        <v>1207</v>
      </c>
      <c r="D174" s="246">
        <f>SUMPRODUCT(([1]Peta_Persatker!G2:G1510="PNS")*([1]Peta_Persatker!T2:T1510="SPTG"))</f>
        <v>1</v>
      </c>
      <c r="E174" s="246">
        <f>SUMPRODUCT(([1]Peta_Persatker!G2:G1510="CPNS")*([1]Peta_Persatker!T2:T1510="SPTG"))</f>
        <v>0</v>
      </c>
      <c r="F174" s="246">
        <f>SUMPRODUCT(([1]Peta_Persatker!G2:G1510="PPPK")*([1]Peta_Persatker!T2:T1510="SPTG"))</f>
        <v>0</v>
      </c>
      <c r="G174" s="246">
        <f>SUMPRODUCT(([1]Peta_Persatker!G2:G1510="BLU TETAP")*([1]Peta_Persatker!T2:T1510="SPTG"))</f>
        <v>0</v>
      </c>
      <c r="H174" s="246">
        <f>SUMPRODUCT(([1]Peta_Persatker!G2:G1510="KONTRAK")*([1]Peta_Persatker!T2:T1510="SPTG"))</f>
        <v>0</v>
      </c>
      <c r="I174" s="246"/>
      <c r="J174" s="241">
        <f t="shared" si="9"/>
        <v>1</v>
      </c>
      <c r="K174" s="242"/>
    </row>
    <row r="175" spans="2:11" ht="15.75" thickBot="1" x14ac:dyDescent="0.3">
      <c r="B175" s="241"/>
      <c r="C175" s="241" t="s">
        <v>5429</v>
      </c>
      <c r="D175" s="241">
        <f>SUM(D145:D174)</f>
        <v>66</v>
      </c>
      <c r="E175" s="241">
        <f>SUM(E145:E174)</f>
        <v>16</v>
      </c>
      <c r="F175" s="241">
        <f>SUM(F145:F174)</f>
        <v>34</v>
      </c>
      <c r="G175" s="241">
        <f>SUM(G145:G174)</f>
        <v>1</v>
      </c>
      <c r="H175" s="241">
        <f>SUM(H145:H174)</f>
        <v>6</v>
      </c>
      <c r="I175" s="241"/>
      <c r="J175" s="241">
        <f>SUM(D175:H175)</f>
        <v>123</v>
      </c>
      <c r="K175" s="242"/>
    </row>
    <row r="176" spans="2:11" s="223" customFormat="1" x14ac:dyDescent="0.25">
      <c r="B176" s="226" t="s">
        <v>5412</v>
      </c>
      <c r="C176" s="226" t="s">
        <v>5413</v>
      </c>
      <c r="D176" s="226" t="s">
        <v>41</v>
      </c>
      <c r="E176" s="226" t="s">
        <v>192</v>
      </c>
      <c r="F176" s="247" t="s">
        <v>238</v>
      </c>
      <c r="G176" s="227" t="s">
        <v>66</v>
      </c>
      <c r="H176" s="226" t="s">
        <v>1063</v>
      </c>
      <c r="I176" s="226"/>
      <c r="J176" s="226" t="s">
        <v>5409</v>
      </c>
      <c r="K176" s="242"/>
    </row>
    <row r="177" spans="2:11" x14ac:dyDescent="0.25">
      <c r="B177" s="229" t="s">
        <v>5457</v>
      </c>
      <c r="C177" s="230" t="s">
        <v>5458</v>
      </c>
      <c r="D177" s="231"/>
      <c r="E177" s="231"/>
      <c r="F177" s="231"/>
      <c r="G177" s="231"/>
      <c r="H177" s="231"/>
      <c r="I177" s="231"/>
      <c r="J177" s="231"/>
      <c r="K177" s="228"/>
    </row>
    <row r="178" spans="2:11" x14ac:dyDescent="0.25">
      <c r="B178" s="239">
        <v>1</v>
      </c>
      <c r="C178" s="240" t="s">
        <v>5459</v>
      </c>
      <c r="D178" s="239">
        <f>SUMPRODUCT(([1]Peta_Persatker!G2:G1510="PNS")*([1]Peta_Persatker!T2:T1510="MMR"))</f>
        <v>0</v>
      </c>
      <c r="E178" s="239">
        <f>SUMPRODUCT(([1]Peta_Persatker!G2:G1510="CPNS")*([1]Peta_Persatker!T2:T1510="MMR"))</f>
        <v>0</v>
      </c>
      <c r="F178" s="239">
        <f>SUMPRODUCT(([1]Peta_Persatker!G2:G1510="PPPK")*([1]Peta_Persatker!T2:T1510="MMR"))</f>
        <v>0</v>
      </c>
      <c r="G178" s="239">
        <f>SUMPRODUCT(([1]Peta_Persatker!G2:G1510="BLU TETAP")*([1]Peta_Persatker!T2:T1510="MMR"))</f>
        <v>0</v>
      </c>
      <c r="H178" s="239">
        <f>SUMPRODUCT(([1]Peta_Persatker!G2:G1510="KONTRAK")*([1]Peta_Persatker!T2:T1510="MMR"))</f>
        <v>0</v>
      </c>
      <c r="I178" s="239"/>
      <c r="J178" s="241">
        <f>SUM(D178:H178)</f>
        <v>0</v>
      </c>
      <c r="K178" s="232"/>
    </row>
    <row r="179" spans="2:11" x14ac:dyDescent="0.25">
      <c r="B179" s="239">
        <v>2</v>
      </c>
      <c r="C179" s="240" t="s">
        <v>2922</v>
      </c>
      <c r="D179" s="239">
        <f>SUMPRODUCT(([1]Peta_Persatker!G2:G1510="PNS")*([1]Peta_Persatker!T2:T1510="S2 Magister Kesehatan"))</f>
        <v>1</v>
      </c>
      <c r="E179" s="239">
        <f>SUMPRODUCT(([1]Peta_Persatker!G2:G1510="CPNS")*([1]Peta_Persatker!T2:T1510="S2 Magister Kesehatan"))</f>
        <v>0</v>
      </c>
      <c r="F179" s="239">
        <f>SUMPRODUCT(([1]Peta_Persatker!G2:G1510="PPPK")*([1]Peta_Persatker!T2:T1510="S2 Magister Kesehatan"))</f>
        <v>0</v>
      </c>
      <c r="G179" s="239">
        <f>SUMPRODUCT(([1]Peta_Persatker!G2:G1510="BLU TETAP")*([1]Peta_Persatker!T2:T1510="S2 Magister Kesehatan"))</f>
        <v>0</v>
      </c>
      <c r="H179" s="239">
        <f>SUMPRODUCT(([1]Peta_Persatker!G2:G1510="KONTRAK")*([1]Peta_Persatker!T2:T1510="S2 Magister Kesehatan"))</f>
        <v>0</v>
      </c>
      <c r="I179" s="239"/>
      <c r="J179" s="241">
        <f t="shared" ref="J179:J251" si="10">SUM(D179:H179)</f>
        <v>1</v>
      </c>
      <c r="K179" s="242"/>
    </row>
    <row r="180" spans="2:11" x14ac:dyDescent="0.25">
      <c r="B180" s="239">
        <v>3</v>
      </c>
      <c r="C180" s="240" t="s">
        <v>170</v>
      </c>
      <c r="D180" s="239">
        <f>SUMPRODUCT(([1]Peta_Persatker!G2:G1510="PNS")*([1]Peta_Persatker!T2:T1510="S2 Magister Manajemen"))</f>
        <v>6</v>
      </c>
      <c r="E180" s="239">
        <f>SUMPRODUCT(([1]Peta_Persatker!G2:G1510="CPNS")*([1]Peta_Persatker!T2:T1510="S2 Magister Manajemen"))</f>
        <v>0</v>
      </c>
      <c r="F180" s="239">
        <f>SUMPRODUCT(([1]Peta_Persatker!G2:G1510="PPPK")*([1]Peta_Persatker!T2:T1510="S2 Magister Manajemen"))</f>
        <v>0</v>
      </c>
      <c r="G180" s="239">
        <f>SUMPRODUCT(([1]Peta_Persatker!G2:G1510="BLU TETAP")*([1]Peta_Persatker!T2:T1510="S2 Magister Manajemen"))</f>
        <v>0</v>
      </c>
      <c r="H180" s="239">
        <f>SUMPRODUCT(([1]Peta_Persatker!G2:G1510="KONTRAK")*([1]Peta_Persatker!T2:T1510="S2 Magister Manajemen"))</f>
        <v>0</v>
      </c>
      <c r="I180" s="239"/>
      <c r="J180" s="241">
        <f t="shared" si="10"/>
        <v>6</v>
      </c>
      <c r="K180" s="242"/>
    </row>
    <row r="181" spans="2:11" x14ac:dyDescent="0.25">
      <c r="B181" s="239">
        <v>4</v>
      </c>
      <c r="C181" s="240" t="s">
        <v>75</v>
      </c>
      <c r="D181" s="239">
        <f>SUMPRODUCT(([1]Peta_Persatker!G2:G1510="PNS")*([1]Peta_Persatker!T2:T1510="S2 Ekonomi Pembangunan"))</f>
        <v>1</v>
      </c>
      <c r="E181" s="239">
        <f>SUMPRODUCT(([1]Peta_Persatker!G2:G1510="CPNS")*([1]Peta_Persatker!T2:T1510="S2 Ekonomi Pembangunan"))</f>
        <v>0</v>
      </c>
      <c r="F181" s="239">
        <f>SUMPRODUCT(([1]Peta_Persatker!G2:G1510="PPPK")*([1]Peta_Persatker!T2:T1510="S2 Ekonomi Pembangunan"))</f>
        <v>0</v>
      </c>
      <c r="G181" s="239">
        <f>SUMPRODUCT(([1]Peta_Persatker!G2:G1510="BLU TETAP")*([1]Peta_Persatker!T2:T1510="S2 Ekonomi Pembangunan"))</f>
        <v>0</v>
      </c>
      <c r="H181" s="239">
        <f>SUMPRODUCT(([1]Peta_Persatker!G2:G1510="KONTRAK")*([1]Peta_Persatker!T2:T1510="S2 Ekonomi Pembangunan"))</f>
        <v>0</v>
      </c>
      <c r="I181" s="239"/>
      <c r="J181" s="241">
        <f t="shared" si="10"/>
        <v>1</v>
      </c>
      <c r="K181" s="242"/>
    </row>
    <row r="182" spans="2:11" x14ac:dyDescent="0.25">
      <c r="B182" s="239">
        <v>5</v>
      </c>
      <c r="C182" s="240" t="s">
        <v>4807</v>
      </c>
      <c r="D182" s="239">
        <f>SUMPRODUCT(([1]Peta_Persatker!G2:G1510="PNS")*([1]Peta_Persatker!T2:T1510="S2 Hukum"))</f>
        <v>2</v>
      </c>
      <c r="E182" s="239">
        <f>SUMPRODUCT(([1]Peta_Persatker!G2:G1510="CPNS")*([1]Peta_Persatker!T2:T1510="S2 Hukum"))</f>
        <v>0</v>
      </c>
      <c r="F182" s="239">
        <f>SUMPRODUCT(([1]Peta_Persatker!G2:G1510="PPPK")*([1]Peta_Persatker!T2:T1510="S2 Hukum"))</f>
        <v>0</v>
      </c>
      <c r="G182" s="239">
        <f>SUMPRODUCT(([1]Peta_Persatker!G2:G1510="BLU TETAP")*([1]Peta_Persatker!T2:T1510="S2 Hukum"))</f>
        <v>0</v>
      </c>
      <c r="H182" s="239">
        <f>SUMPRODUCT(([1]Peta_Persatker!G2:G1510="KONTRAK")*([1]Peta_Persatker!T2:T1510="S2 Hukum"))</f>
        <v>0</v>
      </c>
      <c r="I182" s="239"/>
      <c r="J182" s="241">
        <f>SUM(D182:H182)</f>
        <v>2</v>
      </c>
      <c r="K182" s="242"/>
    </row>
    <row r="183" spans="2:11" x14ac:dyDescent="0.25">
      <c r="B183" s="239">
        <v>6</v>
      </c>
      <c r="C183" s="240" t="s">
        <v>5460</v>
      </c>
      <c r="D183" s="239">
        <f>SUMPRODUCT(([1]Peta_Persatker!G2:G1510="PNS")*([1]Peta_Persatker!T2:T1510="S2 Ilmu Manajemen"))</f>
        <v>0</v>
      </c>
      <c r="E183" s="239">
        <f>SUMPRODUCT(([1]Peta_Persatker!G3:G1510="CPNS")*([1]Peta_Persatker!T3:T1510="S2 Ilmu Manajemen"))</f>
        <v>0</v>
      </c>
      <c r="F183" s="239">
        <f>SUMPRODUCT(([1]Peta_Persatker!G3:G1510="PPPK")*([1]Peta_Persatker!T3:T1510="S2 Ilmu Manajemen"))</f>
        <v>0</v>
      </c>
      <c r="G183" s="239">
        <f>SUMPRODUCT(([1]Peta_Persatker!G3:G1510="BLU TETAP")*([1]Peta_Persatker!T3:T1510="S2 Ilmu Manajemen"))</f>
        <v>0</v>
      </c>
      <c r="H183" s="239">
        <f>SUMPRODUCT(([1]Peta_Persatker!G3:G1510="KONTRAK")*([1]Peta_Persatker!T3:T1510="S2 Ilmu Manajemen"))</f>
        <v>0</v>
      </c>
      <c r="I183" s="239"/>
      <c r="J183" s="241">
        <f>SUM(D183:H183)</f>
        <v>0</v>
      </c>
      <c r="K183" s="242"/>
    </row>
    <row r="184" spans="2:11" x14ac:dyDescent="0.25">
      <c r="B184" s="239">
        <v>7</v>
      </c>
      <c r="C184" s="240" t="s">
        <v>4109</v>
      </c>
      <c r="D184" s="239">
        <f>SUMPRODUCT(([1]Peta_Persatker!G2:G1510="PNS")*([1]Peta_Persatker!T2:T1510="S1 Agama Islam"))</f>
        <v>0</v>
      </c>
      <c r="E184" s="239">
        <f>SUMPRODUCT(([1]Peta_Persatker!G2:G1510="CPNS")*([1]Peta_Persatker!T2:T1510="S1 Agama Islam"))</f>
        <v>0</v>
      </c>
      <c r="F184" s="239">
        <f>SUMPRODUCT(([1]Peta_Persatker!G2:G1510="PPPK")*([1]Peta_Persatker!T2:T1510="S1 Agama Islam"))</f>
        <v>0</v>
      </c>
      <c r="G184" s="239">
        <f>SUMPRODUCT(([1]Peta_Persatker!G2:G1510="BLU TETAP")*([1]Peta_Persatker!T2:T1510="S1 Agama Islam"))</f>
        <v>1</v>
      </c>
      <c r="H184" s="239">
        <f>SUMPRODUCT(([1]Peta_Persatker!G2:G1510="KONTRAK")*([1]Peta_Persatker!T2:T1510="S1 Agama Islam"))</f>
        <v>0</v>
      </c>
      <c r="I184" s="239"/>
      <c r="J184" s="241">
        <f>SUM(D184:H184)</f>
        <v>1</v>
      </c>
      <c r="K184" s="242"/>
    </row>
    <row r="185" spans="2:11" x14ac:dyDescent="0.25">
      <c r="B185" s="239">
        <v>8</v>
      </c>
      <c r="C185" s="240" t="s">
        <v>5207</v>
      </c>
      <c r="D185" s="239">
        <f>SUMPRODUCT(([1]Peta_Persatker!G2:G1510="PNS")*([1]Peta_Persatker!T2:T1510="S1 Teknik Sipil"))</f>
        <v>0</v>
      </c>
      <c r="E185" s="239">
        <f>SUMPRODUCT(([1]Peta_Persatker!G2:G1510="CPNS")*([1]Peta_Persatker!T2:T1510="S1 Teknik Sipil"))</f>
        <v>0</v>
      </c>
      <c r="F185" s="239">
        <f>SUMPRODUCT(([1]Peta_Persatker!G2:G1510="PPPK")*([1]Peta_Persatker!T2:T1510="S1 Teknik Sipil"))</f>
        <v>0</v>
      </c>
      <c r="G185" s="239">
        <f>SUMPRODUCT(([1]Peta_Persatker!G2:G1510="BLU TETAP")*([1]Peta_Persatker!T2:T1510="S1 Teknik Sipil"))</f>
        <v>1</v>
      </c>
      <c r="H185" s="239">
        <f>SUMPRODUCT(([1]Peta_Persatker!G2:G1510="KONTRAK")*([1]Peta_Persatker!T2:T1510="S1 Teknik Sipil"))</f>
        <v>0</v>
      </c>
      <c r="I185" s="239"/>
      <c r="J185" s="241">
        <f>SUM(D185:H185)</f>
        <v>1</v>
      </c>
      <c r="K185" s="242"/>
    </row>
    <row r="186" spans="2:11" x14ac:dyDescent="0.25">
      <c r="B186" s="239">
        <v>9</v>
      </c>
      <c r="C186" s="240" t="s">
        <v>202</v>
      </c>
      <c r="D186" s="239">
        <f>SUMPRODUCT(([1]Peta_Persatker!G2:G1510="PNS")*([1]Peta_Persatker!T2:T1510="S1 Akuntansi"))</f>
        <v>12</v>
      </c>
      <c r="E186" s="239">
        <f>SUMPRODUCT(([1]Peta_Persatker!G2:G1510="CPNS")*([1]Peta_Persatker!T2:T1510="S1 Akuntansi"))</f>
        <v>2</v>
      </c>
      <c r="F186" s="239">
        <f>SUMPRODUCT(([1]Peta_Persatker!G2:G1510="PPPK")*([1]Peta_Persatker!T2:T1510="S1 Akuntansi"))</f>
        <v>1</v>
      </c>
      <c r="G186" s="239">
        <f>SUMPRODUCT(([1]Peta_Persatker!G2:G1510="BLU TETAP")*([1]Peta_Persatker!T2:T1510="S1 Akuntansi"))</f>
        <v>5</v>
      </c>
      <c r="H186" s="239">
        <f>SUMPRODUCT(([1]Peta_Persatker!G2:G1510="KONTRAK")*([1]Peta_Persatker!T2:T1510="S1 Akuntansi"))</f>
        <v>6</v>
      </c>
      <c r="I186" s="239"/>
      <c r="J186" s="241">
        <f t="shared" si="10"/>
        <v>26</v>
      </c>
      <c r="K186" s="242"/>
    </row>
    <row r="187" spans="2:11" x14ac:dyDescent="0.25">
      <c r="B187" s="239">
        <v>10</v>
      </c>
      <c r="C187" s="240" t="s">
        <v>4795</v>
      </c>
      <c r="D187" s="239">
        <f>SUMPRODUCT(([1]Peta_Persatker!G2:G1510="PNS")*([1]Peta_Persatker!T2:T1510="S1 Hukum"))</f>
        <v>3</v>
      </c>
      <c r="E187" s="239">
        <f>SUMPRODUCT(([1]Peta_Persatker!G2:G1510="CPNS")*([1]Peta_Persatker!T2:T1510="S1 Hukum"))</f>
        <v>1</v>
      </c>
      <c r="F187" s="239">
        <f>SUMPRODUCT(([1]Peta_Persatker!G2:G1510="PPPK")*([1]Peta_Persatker!T2:T1510="S1 Hukum"))</f>
        <v>1</v>
      </c>
      <c r="G187" s="239">
        <f>SUMPRODUCT(([1]Peta_Persatker!G2:G1510="BLU TETAP")*([1]Peta_Persatker!T2:T1510="S1 Hukum"))</f>
        <v>1</v>
      </c>
      <c r="H187" s="239">
        <f>SUMPRODUCT(([1]Peta_Persatker!G2:G1510="KONTRAK")*([1]Peta_Persatker!T2:T1510="S1 Hukum"))</f>
        <v>0</v>
      </c>
      <c r="I187" s="239"/>
      <c r="J187" s="241">
        <f t="shared" si="10"/>
        <v>6</v>
      </c>
      <c r="K187" s="242"/>
    </row>
    <row r="188" spans="2:11" x14ac:dyDescent="0.25">
      <c r="B188" s="239">
        <v>11</v>
      </c>
      <c r="C188" s="240" t="s">
        <v>5461</v>
      </c>
      <c r="D188" s="239">
        <f>SUMPRODUCT(([1]Peta_Persatker!G2:G1510="PNS")*([1]Peta_Persatker!T2:T1510="S1 Ilmu Hukum"))</f>
        <v>0</v>
      </c>
      <c r="E188" s="239">
        <f>SUMPRODUCT(([1]Peta_Persatker!G2:G1510="CPNS")*([1]Peta_Persatker!T2:T1510="S1 Ilmu Hukum"))</f>
        <v>0</v>
      </c>
      <c r="F188" s="239">
        <f>SUMPRODUCT(([1]Peta_Persatker!G2:G1510="PPPK")*([1]Peta_Persatker!T2:T1510="S1 Ilmu Hukum"))</f>
        <v>0</v>
      </c>
      <c r="G188" s="239">
        <f>SUMPRODUCT(([1]Peta_Persatker!G2:G1510="BLU TETAP")*([1]Peta_Persatker!T2:T1510="S1 Ilmu Hukum"))</f>
        <v>0</v>
      </c>
      <c r="H188" s="239">
        <f>SUMPRODUCT(([1]Peta_Persatker!G2:G1510="KONTRAK")*([1]Peta_Persatker!T2:T1510="S1 Ilmu Hukum"))</f>
        <v>0</v>
      </c>
      <c r="I188" s="239"/>
      <c r="J188" s="241">
        <f t="shared" si="10"/>
        <v>0</v>
      </c>
      <c r="K188" s="242"/>
    </row>
    <row r="189" spans="2:11" x14ac:dyDescent="0.25">
      <c r="B189" s="239">
        <v>12</v>
      </c>
      <c r="C189" s="240" t="s">
        <v>4047</v>
      </c>
      <c r="D189" s="239">
        <f>SUMPRODUCT(([1]Peta_Persatker!G2:G1510="PNS")*([1]Peta_Persatker!T2:T1510="S1 Kom Masyarakat"))</f>
        <v>1</v>
      </c>
      <c r="E189" s="239">
        <f>SUMPRODUCT(([1]Peta_Persatker!G2:G1510="CPNS")*([1]Peta_Persatker!T2:T1510="S1 Kom Masyarakat"))</f>
        <v>0</v>
      </c>
      <c r="F189" s="239">
        <f>SUMPRODUCT(([1]Peta_Persatker!G2:G1510="PPPK")*([1]Peta_Persatker!T2:T1510="S1 Kom Masyarakat"))</f>
        <v>0</v>
      </c>
      <c r="G189" s="239">
        <f>SUMPRODUCT(([1]Peta_Persatker!G2:G1510="BLU TETAP")*([1]Peta_Persatker!T2:T1510="S1 Kom Masyarakat"))</f>
        <v>0</v>
      </c>
      <c r="H189" s="239">
        <f>SUMPRODUCT(([1]Peta_Persatker!G2:G1510="KONTRAK")*([1]Peta_Persatker!T2:T1510="S1 Kom Masyarakat"))</f>
        <v>0</v>
      </c>
      <c r="I189" s="239"/>
      <c r="J189" s="241">
        <f t="shared" si="10"/>
        <v>1</v>
      </c>
      <c r="K189" s="242"/>
    </row>
    <row r="190" spans="2:11" x14ac:dyDescent="0.25">
      <c r="B190" s="239">
        <v>13</v>
      </c>
      <c r="C190" s="240" t="s">
        <v>299</v>
      </c>
      <c r="D190" s="239">
        <f>SUMPRODUCT(([1]Peta_Persatker!G2:G1510="PNS")*([1]Peta_Persatker!T2:T1510="S1 Sistem Informasi"))</f>
        <v>0</v>
      </c>
      <c r="E190" s="239">
        <f>SUMPRODUCT(([1]Peta_Persatker!G2:G1510="CPNS")*([1]Peta_Persatker!T2:T1510="S1 Sistem Informasi"))</f>
        <v>0</v>
      </c>
      <c r="F190" s="239">
        <f>SUMPRODUCT(([1]Peta_Persatker!G2:G1510="PPPK")*([1]Peta_Persatker!T2:T1510="S1 Sistem Informasi"))</f>
        <v>2</v>
      </c>
      <c r="G190" s="239">
        <f>SUMPRODUCT(([1]Peta_Persatker!G2:G1510="BLU TETAP")*([1]Peta_Persatker!T2:T1510="S1 Sistem Informasi"))</f>
        <v>4</v>
      </c>
      <c r="H190" s="239">
        <f>SUMPRODUCT(([1]Peta_Persatker!G2:G1510="KONTRAK")*([1]Peta_Persatker!T2:T1510="S1 Sistem Informasi"))</f>
        <v>0</v>
      </c>
      <c r="I190" s="239"/>
      <c r="J190" s="241">
        <f t="shared" si="10"/>
        <v>6</v>
      </c>
      <c r="K190" s="242"/>
    </row>
    <row r="191" spans="2:11" x14ac:dyDescent="0.25">
      <c r="B191" s="239">
        <v>14</v>
      </c>
      <c r="C191" s="240" t="s">
        <v>4809</v>
      </c>
      <c r="D191" s="239">
        <f>SUMPRODUCT(([1]Peta_Persatker!G2:G1510="PNS")*([1]Peta_Persatker!T2:T1510="S1 Sos"))</f>
        <v>1</v>
      </c>
      <c r="E191" s="239">
        <f>SUMPRODUCT(([1]Peta_Persatker!G2:G1510="CPNS")*([1]Peta_Persatker!T2:T1510="S1 Sos"))</f>
        <v>0</v>
      </c>
      <c r="F191" s="239">
        <f>SUMPRODUCT(([1]Peta_Persatker!G2:G1510="PPPK")*([1]Peta_Persatker!T2:T1510="S1 Sos"))</f>
        <v>0</v>
      </c>
      <c r="G191" s="239">
        <f>SUMPRODUCT(([1]Peta_Persatker!G2:G1510="BLU TETAP")*([1]Peta_Persatker!T2:T1510="S1 Sos"))</f>
        <v>0</v>
      </c>
      <c r="H191" s="239">
        <f>SUMPRODUCT(([1]Peta_Persatker!G2:G1510="KONTRAK")*([1]Peta_Persatker!T2:T1510="S1 Sos"))</f>
        <v>0</v>
      </c>
      <c r="I191" s="239"/>
      <c r="J191" s="241">
        <f t="shared" si="10"/>
        <v>1</v>
      </c>
      <c r="K191" s="242"/>
    </row>
    <row r="192" spans="2:11" x14ac:dyDescent="0.25">
      <c r="B192" s="239">
        <v>15</v>
      </c>
      <c r="C192" s="240" t="s">
        <v>5145</v>
      </c>
      <c r="D192" s="239">
        <f>SUMPRODUCT(([1]Peta_Persatker!G2:G1510="PNS")*([1]Peta_Persatker!T2:T1510="S1 Teknik Elektro"))</f>
        <v>1</v>
      </c>
      <c r="E192" s="239">
        <f>SUMPRODUCT(([1]Peta_Persatker!G2:G1510="CPNS")*([1]Peta_Persatker!T2:T1510="S1 Teknik Elektro"))</f>
        <v>0</v>
      </c>
      <c r="F192" s="239">
        <f>SUMPRODUCT(([1]Peta_Persatker!G2:G1510="PPPK")*([1]Peta_Persatker!T2:T1510="S1 Teknik Elektro"))</f>
        <v>0</v>
      </c>
      <c r="G192" s="239">
        <f>SUMPRODUCT(([1]Peta_Persatker!G2:G1510="BLU TETAP")*([1]Peta_Persatker!T2:T1510="S1 Teknik Elektro"))</f>
        <v>5</v>
      </c>
      <c r="H192" s="239">
        <f>SUMPRODUCT(([1]Peta_Persatker!G2:G1510="KONTRAK")*([1]Peta_Persatker!T2:T1510="S1 Teknik Elektro"))</f>
        <v>0</v>
      </c>
      <c r="I192" s="239"/>
      <c r="J192" s="241">
        <f t="shared" si="10"/>
        <v>6</v>
      </c>
      <c r="K192" s="242"/>
    </row>
    <row r="193" spans="2:11" x14ac:dyDescent="0.25">
      <c r="B193" s="239">
        <v>16</v>
      </c>
      <c r="C193" s="240" t="s">
        <v>2916</v>
      </c>
      <c r="D193" s="239">
        <f>SUMPRODUCT(([1]Peta_Persatker!G2:G1510="PNS")*([1]Peta_Persatker!T2:T1510="S1 Teknik Informatika"))</f>
        <v>6</v>
      </c>
      <c r="E193" s="239">
        <f>SUMPRODUCT(([1]Peta_Persatker!G2:G1510="CPNS")*([1]Peta_Persatker!T2:T1510="S1 Teknik Informatika"))</f>
        <v>1</v>
      </c>
      <c r="F193" s="239">
        <f>SUMPRODUCT(([1]Peta_Persatker!G2:G1510="PPPK")*([1]Peta_Persatker!T2:T1510="S1 Teknik Informatika"))</f>
        <v>6</v>
      </c>
      <c r="G193" s="239">
        <f>SUMPRODUCT(([1]Peta_Persatker!G2:G1510="BLU TETAP")*([1]Peta_Persatker!T2:T1510="S1 Teknik Informatika"))</f>
        <v>0</v>
      </c>
      <c r="H193" s="239">
        <f>SUMPRODUCT(([1]Peta_Persatker!G2:G1510="KONTRAK")*([1]Peta_Persatker!T2:T1510="S1 Teknik Informatika"))</f>
        <v>4</v>
      </c>
      <c r="I193" s="239"/>
      <c r="J193" s="241">
        <f t="shared" si="10"/>
        <v>17</v>
      </c>
      <c r="K193" s="242"/>
    </row>
    <row r="194" spans="2:11" x14ac:dyDescent="0.25">
      <c r="B194" s="239">
        <v>17</v>
      </c>
      <c r="C194" s="240" t="s">
        <v>5462</v>
      </c>
      <c r="D194" s="239">
        <f>SUMPRODUCT(([1]Peta_Persatker!G3:G1510="PNS")*([1]Peta_Persatker!T3:T1510="S1 Sistem Informatika"))</f>
        <v>0</v>
      </c>
      <c r="E194" s="239">
        <f>SUMPRODUCT(([1]Peta_Persatker!G3:G1510="CPNS")*([1]Peta_Persatker!T3:T1510="S1 Sistem Informatika"))</f>
        <v>0</v>
      </c>
      <c r="F194" s="239">
        <f>SUMPRODUCT(([1]Peta_Persatker!G3:G1510="PPPK")*([1]Peta_Persatker!T3:T1510="S1 Sistem Informatika"))</f>
        <v>0</v>
      </c>
      <c r="G194" s="239">
        <f>SUMPRODUCT(([1]Peta_Persatker!G3:G1510="BLU TETAP")*([1]Peta_Persatker!T3:T1510="S1 Sistem Informatika"))</f>
        <v>0</v>
      </c>
      <c r="H194" s="239">
        <f>SUMPRODUCT(([1]Peta_Persatker!G3:G1510="KONTRAK")*([1]Peta_Persatker!T3:T1510="S1 Sistem Informatika"))</f>
        <v>0</v>
      </c>
      <c r="I194" s="239"/>
      <c r="J194" s="241">
        <f>SUM(D194:H194)</f>
        <v>0</v>
      </c>
      <c r="K194" s="242"/>
    </row>
    <row r="195" spans="2:11" x14ac:dyDescent="0.25">
      <c r="B195" s="239">
        <v>18</v>
      </c>
      <c r="C195" s="240" t="s">
        <v>5463</v>
      </c>
      <c r="D195" s="239">
        <f>SUMPRODUCT(([1]Peta_Persatker!G4:G1511="PNS")*([1]Peta_Persatker!T4:T1511="S1 Informatika"))</f>
        <v>0</v>
      </c>
      <c r="E195" s="239">
        <f>SUMPRODUCT(([1]Peta_Persatker!G4:G1511="CPNS")*([1]Peta_Persatker!T4:T1511="S1 Informatika"))</f>
        <v>0</v>
      </c>
      <c r="F195" s="239">
        <f>SUMPRODUCT(([1]Peta_Persatker!G4:G1511="PPPK")*([1]Peta_Persatker!T4:T1511="S1 Informatika"))</f>
        <v>0</v>
      </c>
      <c r="G195" s="239">
        <f>SUMPRODUCT(([1]Peta_Persatker!G4:G1511="BLU TETAP")*([1]Peta_Persatker!T4:T1511="S1 Informatika"))</f>
        <v>0</v>
      </c>
      <c r="H195" s="239">
        <f>SUMPRODUCT(([1]Peta_Persatker!G4:G1511="KONTRAK")*([1]Peta_Persatker!T4:T1511="S1 Informatika"))</f>
        <v>0</v>
      </c>
      <c r="I195" s="239"/>
      <c r="J195" s="241">
        <f>SUM(D195:H195)</f>
        <v>0</v>
      </c>
      <c r="K195" s="242"/>
    </row>
    <row r="196" spans="2:11" x14ac:dyDescent="0.25">
      <c r="B196" s="239">
        <v>19</v>
      </c>
      <c r="C196" s="240" t="s">
        <v>5464</v>
      </c>
      <c r="D196" s="239">
        <f>SUMPRODUCT(([1]Peta_Persatker!G5:G1512="PNS")*([1]Peta_Persatker!T5:T1512="S1 Pendidikan Informatika"))</f>
        <v>0</v>
      </c>
      <c r="E196" s="239">
        <f>SUMPRODUCT(([1]Peta_Persatker!G5:G1512="CPNS")*([1]Peta_Persatker!T5:T1512="S1 Pendidikan Informatika"))</f>
        <v>0</v>
      </c>
      <c r="F196" s="239">
        <f>SUMPRODUCT(([1]Peta_Persatker!G5:G1512="PPPK")*([1]Peta_Persatker!T5:T1512="S1 Pendidikan Informatika"))</f>
        <v>0</v>
      </c>
      <c r="G196" s="239">
        <f>SUMPRODUCT(([1]Peta_Persatker!G5:G1512="BLU TETAP")*([1]Peta_Persatker!T5:T1512="S1 Pendidikan Informatika"))</f>
        <v>0</v>
      </c>
      <c r="H196" s="239">
        <f>SUMPRODUCT(([1]Peta_Persatker!G5:G1512="KONTRAK")*([1]Peta_Persatker!T5:T1512="S1 Pendidikan Informatika"))</f>
        <v>0</v>
      </c>
      <c r="I196" s="239"/>
      <c r="J196" s="241">
        <f>SUM(D196:H196)</f>
        <v>0</v>
      </c>
      <c r="K196" s="242"/>
    </row>
    <row r="197" spans="2:11" x14ac:dyDescent="0.25">
      <c r="B197" s="239">
        <v>20</v>
      </c>
      <c r="C197" s="240" t="s">
        <v>5198</v>
      </c>
      <c r="D197" s="239">
        <f>SUMPRODUCT(([1]Peta_Persatker!G2:G1510="PNS")*([1]Peta_Persatker!T2:T1510="S1 Teknik Mesin"))</f>
        <v>0</v>
      </c>
      <c r="E197" s="239">
        <f>SUMPRODUCT(([1]Peta_Persatker!G2:G1510="CPNS")*([1]Peta_Persatker!T2:T1510="S1 Teknik Mesin"))</f>
        <v>0</v>
      </c>
      <c r="F197" s="239">
        <f>SUMPRODUCT(([1]Peta_Persatker!G2:G1510="PPPK")*([1]Peta_Persatker!T2:T1510="S1 Teknik Mesin"))</f>
        <v>0</v>
      </c>
      <c r="G197" s="239">
        <f>SUMPRODUCT(([1]Peta_Persatker!G2:G1510="BLU TETAP")*([1]Peta_Persatker!T2:T1510="S1 Teknik Mesin"))</f>
        <v>1</v>
      </c>
      <c r="H197" s="239">
        <f>SUMPRODUCT(([1]Peta_Persatker!G2:G1510="KONTRAK")*([1]Peta_Persatker!T2:T1510="S1 Teknik Mesin"))</f>
        <v>0</v>
      </c>
      <c r="I197" s="239"/>
      <c r="J197" s="241">
        <f t="shared" si="10"/>
        <v>1</v>
      </c>
      <c r="K197" s="242"/>
    </row>
    <row r="198" spans="2:11" x14ac:dyDescent="0.25">
      <c r="B198" s="239">
        <v>21</v>
      </c>
      <c r="C198" s="240" t="s">
        <v>5208</v>
      </c>
      <c r="D198" s="239">
        <f>SUMPRODUCT(([1]Peta_Persatker!G2:G1510="PNS")*([1]Peta_Persatker!T2:T1510="S1 Teknik Arsitektur"))</f>
        <v>0</v>
      </c>
      <c r="E198" s="239">
        <f>SUMPRODUCT(([1]Peta_Persatker!G2:G1510="CPNS")*([1]Peta_Persatker!T2:T1510="S1 Teknik Arsitektur"))</f>
        <v>0</v>
      </c>
      <c r="F198" s="239">
        <f>SUMPRODUCT(([1]Peta_Persatker!G2:G1510="PPPK")*([1]Peta_Persatker!T2:T1510="S1 Teknik Arsitektur"))</f>
        <v>0</v>
      </c>
      <c r="G198" s="239">
        <f>SUMPRODUCT(([1]Peta_Persatker!G2:G1510="BLU TETAP")*([1]Peta_Persatker!T2:T1510="S1 Teknik Arsitektur"))</f>
        <v>1</v>
      </c>
      <c r="H198" s="239">
        <f>SUMPRODUCT(([1]Peta_Persatker!G2:G1510="KONTRAK")*([1]Peta_Persatker!T2:T1510="S1 Teknik Arsitektur"))</f>
        <v>0</v>
      </c>
      <c r="I198" s="239"/>
      <c r="J198" s="241">
        <f t="shared" si="10"/>
        <v>1</v>
      </c>
      <c r="K198" s="242"/>
    </row>
    <row r="199" spans="2:11" x14ac:dyDescent="0.25">
      <c r="B199" s="239">
        <v>22</v>
      </c>
      <c r="C199" s="240" t="s">
        <v>5243</v>
      </c>
      <c r="D199" s="239">
        <f>SUMPRODUCT(([1]Peta_Persatker!G2:G1510="PNS")*([1]Peta_Persatker!T2:T1510="S1 Komputer"))</f>
        <v>1</v>
      </c>
      <c r="E199" s="239">
        <f>SUMPRODUCT(([1]Peta_Persatker!G2:G1510="CPNS")*([1]Peta_Persatker!T2:T1510="S1 Komputer"))</f>
        <v>0</v>
      </c>
      <c r="F199" s="239">
        <f>SUMPRODUCT(([1]Peta_Persatker!G2:G1510="PPPK")*([1]Peta_Persatker!T2:T1510="S1 Komputer"))</f>
        <v>1</v>
      </c>
      <c r="G199" s="239">
        <f>SUMPRODUCT(([1]Peta_Persatker!G2:G1510="BLU TETAP")*([1]Peta_Persatker!T2:T1510="S1 Komputer"))</f>
        <v>0</v>
      </c>
      <c r="H199" s="239">
        <f>SUMPRODUCT(([1]Peta_Persatker!G2:G1510="KONTRAK")*([1]Peta_Persatker!T2:T1510="S1 Komputer"))</f>
        <v>0</v>
      </c>
      <c r="I199" s="239"/>
      <c r="J199" s="241">
        <f t="shared" si="10"/>
        <v>2</v>
      </c>
      <c r="K199" s="242"/>
    </row>
    <row r="200" spans="2:11" x14ac:dyDescent="0.25">
      <c r="B200" s="239">
        <v>23</v>
      </c>
      <c r="C200" s="240" t="s">
        <v>5355</v>
      </c>
      <c r="D200" s="239">
        <f>SUMPRODUCT(([1]Peta_Persatker!G2:G1510="PNS")*([1]Peta_Persatker!T2:T1510="S1 Administrasi Negara"))</f>
        <v>0</v>
      </c>
      <c r="E200" s="239">
        <f>SUMPRODUCT(([1]Peta_Persatker!G2:G1510="CPNS")*([1]Peta_Persatker!T2:T1510="S1 Administrasi Negara"))</f>
        <v>1</v>
      </c>
      <c r="F200" s="239">
        <f>SUMPRODUCT(([1]Peta_Persatker!G2:G1510="PPPK")*([1]Peta_Persatker!T2:T1510="S1 Administrasi Negara"))</f>
        <v>0</v>
      </c>
      <c r="G200" s="239">
        <f>SUMPRODUCT(([1]Peta_Persatker!G2:G1510="BLU TETAP")*([1]Peta_Persatker!T2:T1510="S1 Administrasi Negara"))</f>
        <v>0</v>
      </c>
      <c r="H200" s="239">
        <f>SUMPRODUCT(([1]Peta_Persatker!G2:G1510="KONTRAK")*([1]Peta_Persatker!T2:T1510="S1 Administrasi Negara"))</f>
        <v>0</v>
      </c>
      <c r="I200" s="239"/>
      <c r="J200" s="241">
        <f t="shared" si="10"/>
        <v>1</v>
      </c>
      <c r="K200" s="242"/>
    </row>
    <row r="201" spans="2:11" x14ac:dyDescent="0.25">
      <c r="B201" s="239">
        <v>24</v>
      </c>
      <c r="C201" s="240" t="s">
        <v>140</v>
      </c>
      <c r="D201" s="239">
        <f>SUMPRODUCT(([1]Peta_Persatker!G2:G1510="PNS")*([1]Peta_Persatker!T2:T1510="S1 Ekonomi Akuntansi"))</f>
        <v>11</v>
      </c>
      <c r="E201" s="239">
        <f>SUMPRODUCT(([1]Peta_Persatker!G2:G1510="CPNS")*([1]Peta_Persatker!T2:T1510="S1 Ekonomi Akuntansi"))</f>
        <v>0</v>
      </c>
      <c r="F201" s="239">
        <f>SUMPRODUCT(([1]Peta_Persatker!G2:G1510="PPPK")*([1]Peta_Persatker!T2:T1510="S1 Ekonomi Akuntansi"))</f>
        <v>2</v>
      </c>
      <c r="G201" s="239">
        <f>SUMPRODUCT(([1]Peta_Persatker!G2:G1510="BLU TETAP")*([1]Peta_Persatker!T2:T1510="S1 Ekonomi Akuntansi"))</f>
        <v>5</v>
      </c>
      <c r="H201" s="239">
        <f>SUMPRODUCT(([1]Peta_Persatker!G2:G1510="KONTRAK")*([1]Peta_Persatker!T2:T1510="S1 Ekonomi Akuntansi"))</f>
        <v>0</v>
      </c>
      <c r="I201" s="239"/>
      <c r="J201" s="241">
        <f t="shared" si="10"/>
        <v>18</v>
      </c>
      <c r="K201" s="242"/>
    </row>
    <row r="202" spans="2:11" x14ac:dyDescent="0.25">
      <c r="B202" s="239">
        <v>25</v>
      </c>
      <c r="C202" s="240" t="s">
        <v>1391</v>
      </c>
      <c r="D202" s="239">
        <f>SUMPRODUCT(([1]Peta_Persatker!G2:G1510="PNS")*([1]Peta_Persatker!T2:T1510="S1 Ekonomi Manajemen"))</f>
        <v>7</v>
      </c>
      <c r="E202" s="239">
        <f>SUMPRODUCT(([1]Peta_Persatker!G2:G1510="CPNS")*([1]Peta_Persatker!T2:T1510="S1 Ekonomi Manajemen"))</f>
        <v>0</v>
      </c>
      <c r="F202" s="239">
        <f>SUMPRODUCT(([1]Peta_Persatker!G2:G1510="PPPK")*([1]Peta_Persatker!T2:T1510="S1 Ekonomi Manajemen"))</f>
        <v>1</v>
      </c>
      <c r="G202" s="239">
        <f>SUMPRODUCT(([1]Peta_Persatker!G2:G1510="BLU TETAP")*([1]Peta_Persatker!T2:T1510="S1 Ekonomi Manajemen"))</f>
        <v>1</v>
      </c>
      <c r="H202" s="239">
        <f>SUMPRODUCT(([1]Peta_Persatker!G2:G1510="KONTRAK")*([1]Peta_Persatker!T2:T1510="S1 Ekonomi Manajemen"))</f>
        <v>1</v>
      </c>
      <c r="I202" s="239"/>
      <c r="J202" s="241">
        <f t="shared" si="10"/>
        <v>10</v>
      </c>
      <c r="K202" s="242"/>
    </row>
    <row r="203" spans="2:11" x14ac:dyDescent="0.25">
      <c r="B203" s="239">
        <v>26</v>
      </c>
      <c r="C203" s="240" t="s">
        <v>5368</v>
      </c>
      <c r="D203" s="239">
        <f>SUMPRODUCT(([1]Peta_Persatker!G2:G1510="PNS")*([1]Peta_Persatker!T2:T1510="S1 Manajemen Pendidikan"))</f>
        <v>0</v>
      </c>
      <c r="E203" s="239">
        <f>SUMPRODUCT(([1]Peta_Persatker!G2:G1510="CPNS")*([1]Peta_Persatker!T2:T1510="S1 Manajemen Pendidikan"))</f>
        <v>0</v>
      </c>
      <c r="F203" s="239">
        <f>SUMPRODUCT(([1]Peta_Persatker!G2:G1510="PPPK")*([1]Peta_Persatker!T2:T1510="S1 Manajemen Pendidikan"))</f>
        <v>1</v>
      </c>
      <c r="G203" s="239">
        <f>SUMPRODUCT(([1]Peta_Persatker!G2:G1510="BLU TETAP")*([1]Peta_Persatker!T2:T1510="S1 Manajemen Pendidikan"))</f>
        <v>0</v>
      </c>
      <c r="H203" s="239">
        <f>SUMPRODUCT(([1]Peta_Persatker!G2:G1510="KONTRAK")*([1]Peta_Persatker!T2:T1510="S1 Manajemen Pendidikan"))</f>
        <v>0</v>
      </c>
      <c r="I203" s="239"/>
      <c r="J203" s="241">
        <f t="shared" si="10"/>
        <v>1</v>
      </c>
      <c r="K203" s="242"/>
    </row>
    <row r="204" spans="2:11" x14ac:dyDescent="0.25">
      <c r="B204" s="239">
        <v>27</v>
      </c>
      <c r="C204" s="240" t="s">
        <v>251</v>
      </c>
      <c r="D204" s="239">
        <f>SUMPRODUCT(([1]Peta_Persatker!G3:G1510="PNS")*([1]Peta_Persatker!T3:T1510="S1 Manajemen"))</f>
        <v>1</v>
      </c>
      <c r="E204" s="239">
        <f>SUMPRODUCT(([1]Peta_Persatker!G3:G1510="CPNS")*([1]Peta_Persatker!T3:T1510="S1 Manajemen"))</f>
        <v>1</v>
      </c>
      <c r="F204" s="239">
        <f>SUMPRODUCT(([1]Peta_Persatker!G3:G1510="PPPK")*([1]Peta_Persatker!T3:T1510="S1 Manajemen"))</f>
        <v>0</v>
      </c>
      <c r="G204" s="239">
        <f>SUMPRODUCT(([1]Peta_Persatker!G3:G1510="BLU TETAP")*([1]Peta_Persatker!T3:T1510="S1 Manajemen"))</f>
        <v>0</v>
      </c>
      <c r="H204" s="239">
        <f>SUMPRODUCT(([1]Peta_Persatker!G3:G1510="KONTRAK")*([1]Peta_Persatker!T3:T1510="S1 Manajemen"))</f>
        <v>7</v>
      </c>
      <c r="I204" s="239"/>
      <c r="J204" s="241">
        <f t="shared" si="10"/>
        <v>9</v>
      </c>
      <c r="K204" s="242"/>
    </row>
    <row r="205" spans="2:11" x14ac:dyDescent="0.25">
      <c r="B205" s="239">
        <v>28</v>
      </c>
      <c r="C205" s="240" t="s">
        <v>4764</v>
      </c>
      <c r="D205" s="239">
        <f>SUMPRODUCT(([1]Peta_Persatker!G2:G1510="PNS")*([1]Peta_Persatker!T2:T1510="S1 Ilmu Komunikasi"))</f>
        <v>0</v>
      </c>
      <c r="E205" s="239">
        <f>SUMPRODUCT(([1]Peta_Persatker!G2:G1510="CPNS")*([1]Peta_Persatker!T2:T1510="S1 Ilmu Komunikasi"))</f>
        <v>0</v>
      </c>
      <c r="F205" s="239">
        <f>SUMPRODUCT(([1]Peta_Persatker!G2:G1510="PPPK")*([1]Peta_Persatker!T2:T1510="S1 Ilmu Komunikasi"))</f>
        <v>0</v>
      </c>
      <c r="G205" s="239">
        <f>SUMPRODUCT(([1]Peta_Persatker!G2:G1510="BLU TETAP")*([1]Peta_Persatker!T2:T1510="S1 Ilmu Komunikasi"))</f>
        <v>1</v>
      </c>
      <c r="H205" s="239">
        <f>SUMPRODUCT(([1]Peta_Persatker!G2:G1510="KONTRAK")*([1]Peta_Persatker!T2:T1510="S1 Ilmu Komunikasi"))</f>
        <v>0</v>
      </c>
      <c r="I205" s="239"/>
      <c r="J205" s="241">
        <f t="shared" si="10"/>
        <v>1</v>
      </c>
      <c r="K205" s="242"/>
    </row>
    <row r="206" spans="2:11" x14ac:dyDescent="0.25">
      <c r="B206" s="239">
        <v>29</v>
      </c>
      <c r="C206" s="240" t="s">
        <v>2572</v>
      </c>
      <c r="D206" s="239">
        <f>SUMPRODUCT(([1]Peta_Persatker!G3:G1510="PNS")*([1]Peta_Persatker!T3:T1510="S1 Hospitality"))</f>
        <v>0</v>
      </c>
      <c r="E206" s="239">
        <f>SUMPRODUCT(([1]Peta_Persatker!G3:G1510="CPNS")*([1]Peta_Persatker!T3:T1510="S1 Hospitality"))</f>
        <v>0</v>
      </c>
      <c r="F206" s="239">
        <f>SUMPRODUCT(([1]Peta_Persatker!G3:G1510="PPPK")*([1]Peta_Persatker!T3:T1510="S1 Hospitality"))</f>
        <v>0</v>
      </c>
      <c r="G206" s="239">
        <f>SUMPRODUCT(([1]Peta_Persatker!G3:G1510="BLU TETAP")*([1]Peta_Persatker!T3:T1510="S1 Hospitality"))</f>
        <v>0</v>
      </c>
      <c r="H206" s="239">
        <f>SUMPRODUCT(([1]Peta_Persatker!G3:G1510="KONTRAK")*([1]Peta_Persatker!T3:T1510="S1 Hospitality"))</f>
        <v>1</v>
      </c>
      <c r="I206" s="239"/>
      <c r="J206" s="241">
        <f t="shared" si="10"/>
        <v>1</v>
      </c>
      <c r="K206" s="242"/>
    </row>
    <row r="207" spans="2:11" x14ac:dyDescent="0.25">
      <c r="B207" s="239">
        <v>30</v>
      </c>
      <c r="C207" s="240" t="s">
        <v>1067</v>
      </c>
      <c r="D207" s="239">
        <f>SUMPRODUCT(([1]Peta_Persatker!G4:G1511="PNS")*([1]Peta_Persatker!T4:T1511="S1 Administrasi Publik"))</f>
        <v>1</v>
      </c>
      <c r="E207" s="239">
        <f>SUMPRODUCT(([1]Peta_Persatker!G4:G1511="CPNS")*([1]Peta_Persatker!T4:T1511="S1 Administrasi Publik"))</f>
        <v>0</v>
      </c>
      <c r="F207" s="239">
        <f>SUMPRODUCT(([1]Peta_Persatker!G4:G1511="PPPK")*([1]Peta_Persatker!T4:T1511="S1 Administrasi Publik"))</f>
        <v>0</v>
      </c>
      <c r="G207" s="239">
        <f>SUMPRODUCT(([1]Peta_Persatker!G4:G1511="BLU TETAP")*([1]Peta_Persatker!T4:T1511="S1 Administrasi Publik"))</f>
        <v>0</v>
      </c>
      <c r="H207" s="239">
        <f>SUMPRODUCT(([1]Peta_Persatker!G4:G1511="KONTRAK")*([1]Peta_Persatker!T4:T1511="S1 Administrasi Publik"))</f>
        <v>2</v>
      </c>
      <c r="I207" s="239"/>
      <c r="J207" s="241">
        <f t="shared" si="10"/>
        <v>3</v>
      </c>
      <c r="K207" s="242"/>
    </row>
    <row r="208" spans="2:11" x14ac:dyDescent="0.25">
      <c r="B208" s="239">
        <v>31</v>
      </c>
      <c r="C208" s="240" t="s">
        <v>1377</v>
      </c>
      <c r="D208" s="239">
        <f>SUMPRODUCT(([1]Peta_Persatker!G5:G1512="PNS")*([1]Peta_Persatker!T5:T1512="S1 Kesejahteraan Sosial"))</f>
        <v>0</v>
      </c>
      <c r="E208" s="239">
        <f>SUMPRODUCT(([1]Peta_Persatker!G5:G1512="CPNS")*([1]Peta_Persatker!T5:T1512="S1 Kesejahteraan Sosial"))</f>
        <v>1</v>
      </c>
      <c r="F208" s="239">
        <f>SUMPRODUCT(([1]Peta_Persatker!G5:G1512="PPPK")*([1]Peta_Persatker!T5:T1512="S1 Kesejahteraan Sosial"))</f>
        <v>0</v>
      </c>
      <c r="G208" s="239">
        <f>SUMPRODUCT(([1]Peta_Persatker!G5:G1512="BLU TETAP")*([1]Peta_Persatker!T5:T1512="S1 Kesejahteraan Sosial"))</f>
        <v>0</v>
      </c>
      <c r="H208" s="239">
        <f>SUMPRODUCT(([1]Peta_Persatker!G5:G1512="KONTRAK")*([1]Peta_Persatker!T5:T1512="S1 Kesejahteraan Sosial"))</f>
        <v>0</v>
      </c>
      <c r="I208" s="239"/>
      <c r="J208" s="241">
        <f>SUM(D208:H208)</f>
        <v>1</v>
      </c>
      <c r="K208" s="242"/>
    </row>
    <row r="209" spans="2:11" x14ac:dyDescent="0.25">
      <c r="B209" s="239">
        <v>32</v>
      </c>
      <c r="C209" s="240" t="s">
        <v>5394</v>
      </c>
      <c r="D209" s="239">
        <f>SUMPRODUCT(([1]Peta_Persatker!G6:G1513="PNS")*([1]Peta_Persatker!T6:T1513="S1 Ilmu Perpustakaan"))</f>
        <v>0</v>
      </c>
      <c r="E209" s="239">
        <f>SUMPRODUCT(([1]Peta_Persatker!G6:G1513="CPNS")*([1]Peta_Persatker!T6:T1513="S1 Ilmu Perpustakaan"))</f>
        <v>1</v>
      </c>
      <c r="F209" s="239">
        <f>SUMPRODUCT(([1]Peta_Persatker!G6:G1513="PPPK")*([1]Peta_Persatker!T6:T1513="S1 Ilmu Perpustakaan"))</f>
        <v>0</v>
      </c>
      <c r="G209" s="239">
        <f>SUMPRODUCT(([1]Peta_Persatker!G6:G1513="BLU TETAP")*([1]Peta_Persatker!T6:T1513="S1 Ilmu Perpustakaan"))</f>
        <v>0</v>
      </c>
      <c r="H209" s="239">
        <f>SUMPRODUCT(([1]Peta_Persatker!G6:G1513="KONTRAK")*([1]Peta_Persatker!T6:T1513="S1 Ilmu Perpustakaan"))</f>
        <v>0</v>
      </c>
      <c r="I209" s="239"/>
      <c r="J209" s="241">
        <f>SUM(D209:H209)</f>
        <v>1</v>
      </c>
      <c r="K209" s="242"/>
    </row>
    <row r="210" spans="2:11" x14ac:dyDescent="0.25">
      <c r="B210" s="239">
        <v>33</v>
      </c>
      <c r="C210" s="240" t="s">
        <v>5266</v>
      </c>
      <c r="D210" s="239">
        <f>SUMPRODUCT(([1]Peta_Persatker!G2:G1510="PNS")*([1]Peta_Persatker!T2:T1510="D4 Keselamatan Kesehatan Kerja"))</f>
        <v>0</v>
      </c>
      <c r="E210" s="239">
        <f>SUMPRODUCT(([1]Peta_Persatker!G2:G1510="CPNS")*([1]Peta_Persatker!T2:T1510="D4 Keselamatan Kesehatan Kerja"))</f>
        <v>0</v>
      </c>
      <c r="F210" s="239">
        <f>SUMPRODUCT(([1]Peta_Persatker!G2:G1510="PPPK")*([1]Peta_Persatker!T2:T1510="D4 Keselamatan Kesehatan Kerja"))</f>
        <v>1</v>
      </c>
      <c r="G210" s="239">
        <f>SUMPRODUCT(([1]Peta_Persatker!G2:G1510="BLU TETAP")*([1]Peta_Persatker!T2:T1510="D4 Keselamatan Kesehatan Kerja"))</f>
        <v>0</v>
      </c>
      <c r="H210" s="239">
        <f>SUMPRODUCT(([1]Peta_Persatker!G2:G1510="KONTRAK")*([1]Peta_Persatker!T2:T1510="D4 Keselamatan Kesehatan Kerja"))</f>
        <v>0</v>
      </c>
      <c r="I210" s="239"/>
      <c r="J210" s="241">
        <f t="shared" si="10"/>
        <v>1</v>
      </c>
      <c r="K210" s="242"/>
    </row>
    <row r="211" spans="2:11" x14ac:dyDescent="0.25">
      <c r="B211" s="239">
        <v>34</v>
      </c>
      <c r="C211" s="240" t="s">
        <v>1140</v>
      </c>
      <c r="D211" s="239">
        <f>SUMPRODUCT(([1]Peta_Persatker!G1:G1510="PNS")*([1]Peta_Persatker!T1:T1510="D4 Teknik Elektromedik"))</f>
        <v>0</v>
      </c>
      <c r="E211" s="239">
        <f>SUMPRODUCT(([1]Peta_Persatker!G1:G1510="CPNS")*([1]Peta_Persatker!T1:T1510="D4 Teknik Elektromedik"))</f>
        <v>0</v>
      </c>
      <c r="F211" s="239">
        <f>SUMPRODUCT(([1]Peta_Persatker!G1:G1510="PPPK")*([1]Peta_Persatker!T1:T1510="D4 Teknik Elektromedik"))</f>
        <v>2</v>
      </c>
      <c r="G211" s="239">
        <f>SUMPRODUCT(([1]Peta_Persatker!G1:G1510="BLU TETAP")*([1]Peta_Persatker!T1:T1510="D4 Teknik Elektromedik"))</f>
        <v>0</v>
      </c>
      <c r="H211" s="239">
        <f>SUMPRODUCT(([1]Peta_Persatker!G1:G1510="KONTRAK")*([1]Peta_Persatker!T1:T1510="D4 Teknik Elektromedik"))</f>
        <v>0</v>
      </c>
      <c r="I211" s="239"/>
      <c r="J211" s="241">
        <f>SUM(D211:H211)</f>
        <v>2</v>
      </c>
      <c r="K211" s="242"/>
    </row>
    <row r="212" spans="2:11" x14ac:dyDescent="0.25">
      <c r="B212" s="239">
        <v>35</v>
      </c>
      <c r="C212" s="240" t="s">
        <v>4855</v>
      </c>
      <c r="D212" s="239">
        <f>SUMPRODUCT(([1]Peta_Persatker!G2:G1511="PNS")*([1]Peta_Persatker!T2:T1511="D4 Kearsipan"))</f>
        <v>0</v>
      </c>
      <c r="E212" s="239">
        <f>SUMPRODUCT(([1]Peta_Persatker!G2:G1511="CPNS")*([1]Peta_Persatker!T2:T1511="D4 Kearsipan"))</f>
        <v>1</v>
      </c>
      <c r="F212" s="239">
        <f>SUMPRODUCT(([1]Peta_Persatker!G2:G1511="PPPK")*([1]Peta_Persatker!T2:T1511="D4 Kearsipan"))</f>
        <v>0</v>
      </c>
      <c r="G212" s="239">
        <f>SUMPRODUCT(([1]Peta_Persatker!G2:G1511="BLU TETAP")*([1]Peta_Persatker!T2:T1511="D4 Kearsipan"))</f>
        <v>0</v>
      </c>
      <c r="H212" s="239">
        <f>SUMPRODUCT(([1]Peta_Persatker!G2:G1511="KONTRAK")*([1]Peta_Persatker!T2:T1511="D4 Kearsipan"))</f>
        <v>0</v>
      </c>
      <c r="I212" s="239"/>
      <c r="J212" s="241">
        <f>SUM(D212:H212)</f>
        <v>1</v>
      </c>
      <c r="K212" s="242"/>
    </row>
    <row r="213" spans="2:11" x14ac:dyDescent="0.25">
      <c r="B213" s="239">
        <v>36</v>
      </c>
      <c r="C213" s="240" t="s">
        <v>196</v>
      </c>
      <c r="D213" s="239">
        <f>SUMPRODUCT(([1]Peta_Persatker!G3:G1512="PNS")*([1]Peta_Persatker!T3:T1512="D4 Akuntansi"))</f>
        <v>0</v>
      </c>
      <c r="E213" s="239">
        <f>SUMPRODUCT(([1]Peta_Persatker!G3:G1512="CPNS")*([1]Peta_Persatker!T3:T1512="D4 Akuntansi"))</f>
        <v>1</v>
      </c>
      <c r="F213" s="239">
        <f>SUMPRODUCT(([1]Peta_Persatker!G3:G1512="PPPK")*([1]Peta_Persatker!T3:T1512="D4 Akuntansi"))</f>
        <v>0</v>
      </c>
      <c r="G213" s="239">
        <f>SUMPRODUCT(([1]Peta_Persatker!G3:G1512="BLU TETAP")*([1]Peta_Persatker!T3:T1512="D4 Akuntansi"))</f>
        <v>0</v>
      </c>
      <c r="H213" s="239">
        <f>SUMPRODUCT(([1]Peta_Persatker!G3:G1512="KONTRAK")*([1]Peta_Persatker!T3:T1512="D4 Akuntansi"))</f>
        <v>0</v>
      </c>
      <c r="I213" s="239"/>
      <c r="J213" s="241">
        <f>SUM(D213:H213)</f>
        <v>1</v>
      </c>
      <c r="K213" s="242"/>
    </row>
    <row r="214" spans="2:11" x14ac:dyDescent="0.25">
      <c r="B214" s="239">
        <v>37</v>
      </c>
      <c r="C214" s="240" t="s">
        <v>5180</v>
      </c>
      <c r="D214" s="239">
        <f>SUMPRODUCT(([1]Peta_Persatker!G2:G1510="PNS")*([1]Peta_Persatker!T2:T1510="D3 Teknik Elektromedik"))</f>
        <v>3</v>
      </c>
      <c r="E214" s="239">
        <f>SUMPRODUCT(([1]Peta_Persatker!G2:G1510="CPNS")*([1]Peta_Persatker!T2:T1510="D3 Teknik Elektromedik"))</f>
        <v>0</v>
      </c>
      <c r="F214" s="239">
        <f>SUMPRODUCT(([1]Peta_Persatker!G2:G1510="PPPK")*([1]Peta_Persatker!T2:T1510="D3 Teknik Elektromedik"))</f>
        <v>1</v>
      </c>
      <c r="G214" s="239">
        <f>SUMPRODUCT(([1]Peta_Persatker!G2:G1510="BLU TETAP")*([1]Peta_Persatker!T2:T1510="D3 Teknik Elektromedik"))</f>
        <v>0</v>
      </c>
      <c r="H214" s="239">
        <f>SUMPRODUCT(([1]Peta_Persatker!G2:G1510="KONTRAK")*([1]Peta_Persatker!T2:T1510="D3 Teknik Elektromedik"))</f>
        <v>0</v>
      </c>
      <c r="I214" s="239"/>
      <c r="J214" s="241">
        <f t="shared" si="10"/>
        <v>4</v>
      </c>
      <c r="K214" s="242"/>
    </row>
    <row r="215" spans="2:11" x14ac:dyDescent="0.25">
      <c r="B215" s="239">
        <v>38</v>
      </c>
      <c r="C215" s="240" t="s">
        <v>5465</v>
      </c>
      <c r="D215" s="239">
        <f>SUMPRODUCT(([1]Peta_Persatker!G2:G1510="PNS")*([1]Peta_Persatker!T2:T1510="D3 Teknik Elektronika"))</f>
        <v>0</v>
      </c>
      <c r="E215" s="239">
        <f>SUMPRODUCT(([1]Peta_Persatker!G2:G1510="CPNS")*([1]Peta_Persatker!T2:T1510="D3 Teknik Elektronika"))</f>
        <v>0</v>
      </c>
      <c r="F215" s="239">
        <f>SUMPRODUCT(([1]Peta_Persatker!G2:G1510="PPPK")*([1]Peta_Persatker!T2:T1510="D3 Teknik Elektronika"))</f>
        <v>0</v>
      </c>
      <c r="G215" s="239">
        <f>SUMPRODUCT(([1]Peta_Persatker!G2:G1510="BLU TETAP")*([1]Peta_Persatker!T2:T1510="D3 Teknik Elektronika"))</f>
        <v>0</v>
      </c>
      <c r="H215" s="239">
        <f>SUMPRODUCT(([1]Peta_Persatker!G2:G1510="KONTRAK")*([1]Peta_Persatker!T2:T1510="D3 Teknik Elektronika"))</f>
        <v>2</v>
      </c>
      <c r="I215" s="239"/>
      <c r="J215" s="241">
        <f t="shared" si="10"/>
        <v>2</v>
      </c>
      <c r="K215" s="242"/>
    </row>
    <row r="216" spans="2:11" x14ac:dyDescent="0.25">
      <c r="B216" s="239">
        <v>39</v>
      </c>
      <c r="C216" s="240" t="s">
        <v>5390</v>
      </c>
      <c r="D216" s="239">
        <f>SUMPRODUCT(([1]Peta_Persatker!G2:G1510="PNS")*([1]Peta_Persatker!T2:T1510="D3 Arsiparis"))</f>
        <v>0</v>
      </c>
      <c r="E216" s="239">
        <f>SUMPRODUCT(([1]Peta_Persatker!G2:G1510="CPNS")*([1]Peta_Persatker!T2:T1510="D3 Arsiparis"))</f>
        <v>0</v>
      </c>
      <c r="F216" s="239">
        <f>SUMPRODUCT(([1]Peta_Persatker!G2:G1510="PPPK")*([1]Peta_Persatker!T2:T1510="D3 Arsiparis"))</f>
        <v>1</v>
      </c>
      <c r="G216" s="239">
        <f>SUMPRODUCT(([1]Peta_Persatker!G2:G1510="BLU TETAP")*([1]Peta_Persatker!T2:T1510="D3 Arsiparis"))</f>
        <v>0</v>
      </c>
      <c r="H216" s="239">
        <f>SUMPRODUCT(([1]Peta_Persatker!G2:G1510="KONTRAK")*([1]Peta_Persatker!T2:T1510="D3 Arsiparis"))</f>
        <v>0</v>
      </c>
      <c r="I216" s="239"/>
      <c r="J216" s="241">
        <f t="shared" si="10"/>
        <v>1</v>
      </c>
      <c r="K216" s="242"/>
    </row>
    <row r="217" spans="2:11" x14ac:dyDescent="0.25">
      <c r="B217" s="239">
        <v>40</v>
      </c>
      <c r="C217" s="240" t="s">
        <v>296</v>
      </c>
      <c r="D217" s="239">
        <f>SUMPRODUCT(([1]Peta_Persatker!G2:G1510="PNS")*([1]Peta_Persatker!T2:T1510="D3 Akuntansi"))</f>
        <v>6</v>
      </c>
      <c r="E217" s="239">
        <f>SUMPRODUCT(([1]Peta_Persatker!G2:G1510="CPNS")*([1]Peta_Persatker!T2:T1510="D3 Akuntansi"))</f>
        <v>2</v>
      </c>
      <c r="F217" s="239">
        <f>SUMPRODUCT(([1]Peta_Persatker!G2:G1510="PPPK")*([1]Peta_Persatker!T2:T1510="D3 Akuntansi"))</f>
        <v>0</v>
      </c>
      <c r="G217" s="239">
        <f>SUMPRODUCT(([1]Peta_Persatker!G2:G1510="BLU TETAP")*([1]Peta_Persatker!T2:T1510="D3 Akuntansi"))</f>
        <v>11</v>
      </c>
      <c r="H217" s="239">
        <f>SUMPRODUCT(([1]Peta_Persatker!G2:G1510="KONTRAK")*([1]Peta_Persatker!T2:T1510="D3 Akuntansi"))</f>
        <v>0</v>
      </c>
      <c r="I217" s="239"/>
      <c r="J217" s="241">
        <f t="shared" si="10"/>
        <v>19</v>
      </c>
      <c r="K217" s="242"/>
    </row>
    <row r="218" spans="2:11" x14ac:dyDescent="0.25">
      <c r="B218" s="239">
        <v>41</v>
      </c>
      <c r="C218" s="240" t="s">
        <v>4774</v>
      </c>
      <c r="D218" s="239">
        <f>SUMPRODUCT(([1]Peta_Persatker!G2:G1510="PNS")*([1]Peta_Persatker!T2:T1510="D3 Hubungan Masyarakat"))</f>
        <v>0</v>
      </c>
      <c r="E218" s="239">
        <f>SUMPRODUCT(([1]Peta_Persatker!G2:G1510="CPNS")*([1]Peta_Persatker!T2:T1510="D3 Hubungan Masyarakat"))</f>
        <v>0</v>
      </c>
      <c r="F218" s="239">
        <f>SUMPRODUCT(([1]Peta_Persatker!G2:G1510="PPPK")*([1]Peta_Persatker!T2:T1510="D3 Hubungan Masyarakat"))</f>
        <v>0</v>
      </c>
      <c r="G218" s="239">
        <f>SUMPRODUCT(([1]Peta_Persatker!G2:G1510="BLU TETAP")*([1]Peta_Persatker!T2:T1510="D3 Hubungan Masyarakat"))</f>
        <v>2</v>
      </c>
      <c r="H218" s="239">
        <f>SUMPRODUCT(([1]Peta_Persatker!G2:G1510="KONTRAK")*([1]Peta_Persatker!T2:T1510="D3 Hubungan Masyarakat"))</f>
        <v>2</v>
      </c>
      <c r="I218" s="239"/>
      <c r="J218" s="241">
        <f t="shared" si="10"/>
        <v>4</v>
      </c>
      <c r="K218" s="242"/>
    </row>
    <row r="219" spans="2:11" x14ac:dyDescent="0.25">
      <c r="B219" s="239">
        <v>42</v>
      </c>
      <c r="C219" s="240" t="s">
        <v>2869</v>
      </c>
      <c r="D219" s="239">
        <f>SUMPRODUCT(([1]Peta_Persatker!G2:G1510="PNS")*([1]Peta_Persatker!T2:T1510="D3 Manaj. Informatika Perbankan"))</f>
        <v>0</v>
      </c>
      <c r="E219" s="239">
        <f>SUMPRODUCT(([1]Peta_Persatker!G2:G1510="CPNS")*([1]Peta_Persatker!T2:T1510="D3 Manaj. Informatika Perbankan"))</f>
        <v>0</v>
      </c>
      <c r="F219" s="239">
        <f>SUMPRODUCT(([1]Peta_Persatker!G2:G1510="PPPK")*([1]Peta_Persatker!T2:T1510="D3 Manaj. Informatika Perbankan"))</f>
        <v>1</v>
      </c>
      <c r="G219" s="239">
        <f>SUMPRODUCT(([1]Peta_Persatker!G2:G1510="BLU TETAP")*([1]Peta_Persatker!T2:T1510="D3 Manaj. Informatika Perbankan"))</f>
        <v>1</v>
      </c>
      <c r="H219" s="239">
        <f>SUMPRODUCT(([1]Peta_Persatker!G2:G1510="KONTRAK")*([1]Peta_Persatker!T2:T1510="D3 Manaj. Informatika Perbankan"))</f>
        <v>0</v>
      </c>
      <c r="I219" s="239"/>
      <c r="J219" s="241">
        <f t="shared" si="10"/>
        <v>2</v>
      </c>
      <c r="K219" s="242"/>
    </row>
    <row r="220" spans="2:11" x14ac:dyDescent="0.25">
      <c r="B220" s="239">
        <v>43</v>
      </c>
      <c r="C220" s="240" t="s">
        <v>290</v>
      </c>
      <c r="D220" s="239">
        <f>SUMPRODUCT(([1]Peta_Persatker!G2:G1510="PNS")*([1]Peta_Persatker!T2:T1510="D3 Manajemen Informatika"))</f>
        <v>1</v>
      </c>
      <c r="E220" s="239">
        <f>SUMPRODUCT(([1]Peta_Persatker!G2:G1510="CPNS")*([1]Peta_Persatker!T2:T1510="D3 Manajemen Informatika"))</f>
        <v>0</v>
      </c>
      <c r="F220" s="239">
        <f>SUMPRODUCT(([1]Peta_Persatker!G2:G1510="PPPK")*([1]Peta_Persatker!T2:T1510="D3 Manajemen Informatika"))</f>
        <v>1</v>
      </c>
      <c r="G220" s="239">
        <f>SUMPRODUCT(([1]Peta_Persatker!G2:G1510="BLU TETAP")*([1]Peta_Persatker!T2:T1510="D3 Manajemen Informatika"))</f>
        <v>3</v>
      </c>
      <c r="H220" s="239">
        <f>SUMPRODUCT(([1]Peta_Persatker!G2:G1510="KONTRAK")*([1]Peta_Persatker!T2:T1510="D3 Manajemen Informatika"))</f>
        <v>0</v>
      </c>
      <c r="I220" s="239"/>
      <c r="J220" s="241">
        <f t="shared" si="10"/>
        <v>5</v>
      </c>
      <c r="K220" s="242"/>
    </row>
    <row r="221" spans="2:11" x14ac:dyDescent="0.25">
      <c r="B221" s="239">
        <v>44</v>
      </c>
      <c r="C221" s="240" t="s">
        <v>5344</v>
      </c>
      <c r="D221" s="239">
        <f>SUMPRODUCT(([1]Peta_Persatker!G2:G1510="PNS")*([1]Peta_Persatker!T2:T1510="D3 Manajemen Perusahaan"))</f>
        <v>0</v>
      </c>
      <c r="E221" s="239">
        <f>SUMPRODUCT(([1]Peta_Persatker!G2:G1510="CPNS")*([1]Peta_Persatker!T2:T1510="D3 Manajemen Perusahaan"))</f>
        <v>0</v>
      </c>
      <c r="F221" s="239">
        <f>SUMPRODUCT(([1]Peta_Persatker!G2:G1510="PPPK")*([1]Peta_Persatker!T2:T1510="D3 Manajemen Perusahaan"))</f>
        <v>0</v>
      </c>
      <c r="G221" s="239">
        <f>SUMPRODUCT(([1]Peta_Persatker!G2:G1510="BLU TETAP")*([1]Peta_Persatker!T2:T1510="D3 Manajemen Perusahaan"))</f>
        <v>1</v>
      </c>
      <c r="H221" s="239">
        <f>SUMPRODUCT(([1]Peta_Persatker!G2:G1510="KONTRAK")*([1]Peta_Persatker!T2:T1510="D3 Manajemen Perusahaan"))</f>
        <v>0</v>
      </c>
      <c r="I221" s="239"/>
      <c r="J221" s="241">
        <f t="shared" si="10"/>
        <v>1</v>
      </c>
      <c r="K221" s="242"/>
    </row>
    <row r="222" spans="2:11" x14ac:dyDescent="0.25">
      <c r="B222" s="239">
        <v>45</v>
      </c>
      <c r="C222" s="240" t="s">
        <v>5406</v>
      </c>
      <c r="D222" s="239">
        <f>SUMPRODUCT(([1]Peta_Persatker!G2:G1510="PNS")*([1]Peta_Persatker!T2:T1510="D3 Manajemen Administrasi"))</f>
        <v>0</v>
      </c>
      <c r="E222" s="239">
        <f>SUMPRODUCT(([1]Peta_Persatker!G3:G1510="CPNS")*([1]Peta_Persatker!T3:T1510="D3 Manajemen Administrasi"))</f>
        <v>0</v>
      </c>
      <c r="F222" s="239">
        <f>SUMPRODUCT(([1]Peta_Persatker!G3:G1510="PPPK")*([1]Peta_Persatker!T3:T1510="D3 Manajemen Administrasi"))</f>
        <v>0</v>
      </c>
      <c r="G222" s="239">
        <f>SUMPRODUCT(([1]Peta_Persatker!G3:G1510="BLU TETAP")*([1]Peta_Persatker!T3:T1510="D3 Manajemen Administrasi"))</f>
        <v>0</v>
      </c>
      <c r="H222" s="239">
        <f>SUMPRODUCT(([1]Peta_Persatker!G3:G1510="KONTRAK")*([1]Peta_Persatker!T3:T1510="D3 Manajemen Administrasi"))</f>
        <v>1</v>
      </c>
      <c r="I222" s="239"/>
      <c r="J222" s="241">
        <f t="shared" si="10"/>
        <v>1</v>
      </c>
      <c r="K222" s="242"/>
    </row>
    <row r="223" spans="2:11" x14ac:dyDescent="0.25">
      <c r="B223" s="239">
        <v>46</v>
      </c>
      <c r="C223" s="240" t="s">
        <v>4768</v>
      </c>
      <c r="D223" s="239">
        <f>SUMPRODUCT(([1]Peta_Persatker!G2:G1510="PNS")*([1]Peta_Persatker!T2:T1510="D3 MARS"))</f>
        <v>0</v>
      </c>
      <c r="E223" s="239">
        <f>SUMPRODUCT(([1]Peta_Persatker!G2:G1510="CPNS")*([1]Peta_Persatker!T2:T1510="D3 MARS"))</f>
        <v>0</v>
      </c>
      <c r="F223" s="239">
        <f>SUMPRODUCT(([1]Peta_Persatker!G2:G1510="PPPK")*([1]Peta_Persatker!T2:T1510="D3 MARS"))</f>
        <v>0</v>
      </c>
      <c r="G223" s="239">
        <f>SUMPRODUCT(([1]Peta_Persatker!G2:G1510="BLU TETAP")*([1]Peta_Persatker!T2:T1510="D3 MARS"))</f>
        <v>3</v>
      </c>
      <c r="H223" s="239">
        <f>SUMPRODUCT(([1]Peta_Persatker!G2:G1510="KONTRAK")*([1]Peta_Persatker!T2:T1510="D3 MARS"))</f>
        <v>0</v>
      </c>
      <c r="I223" s="239"/>
      <c r="J223" s="241">
        <f t="shared" si="10"/>
        <v>3</v>
      </c>
      <c r="K223" s="242"/>
    </row>
    <row r="224" spans="2:11" x14ac:dyDescent="0.25">
      <c r="B224" s="239">
        <v>47</v>
      </c>
      <c r="C224" s="240" t="s">
        <v>230</v>
      </c>
      <c r="D224" s="239">
        <f>SUMPRODUCT(([1]Peta_Persatker!G2:G1510="PNS")*([1]Peta_Persatker!T2:T1510="D3 Perpustakaan"))</f>
        <v>2</v>
      </c>
      <c r="E224" s="239">
        <f>SUMPRODUCT(([1]Peta_Persatker!G2:G1510="CPNS")*([1]Peta_Persatker!T2:T1510="D3 Perpustakaan"))</f>
        <v>0</v>
      </c>
      <c r="F224" s="239">
        <f>SUMPRODUCT(([1]Peta_Persatker!G2:G1510="PPPK")*([1]Peta_Persatker!T2:T1510="D3 Perpustakaan"))</f>
        <v>0</v>
      </c>
      <c r="G224" s="239">
        <f>SUMPRODUCT(([1]Peta_Persatker!G2:G1510="BLU TETAP")*([1]Peta_Persatker!T2:T1510="D3 Perpustakaan"))</f>
        <v>0</v>
      </c>
      <c r="H224" s="239">
        <f>SUMPRODUCT(([1]Peta_Persatker!G2:G1510="KONTRAK")*([1]Peta_Persatker!T2:T1510="D3 Perpustakaan"))</f>
        <v>0</v>
      </c>
      <c r="I224" s="239"/>
      <c r="J224" s="241">
        <f t="shared" si="10"/>
        <v>2</v>
      </c>
      <c r="K224" s="242"/>
    </row>
    <row r="225" spans="2:11" x14ac:dyDescent="0.25">
      <c r="B225" s="239">
        <v>48</v>
      </c>
      <c r="C225" s="240" t="s">
        <v>4751</v>
      </c>
      <c r="D225" s="239">
        <f>SUMPRODUCT(([1]Peta_Persatker!G2:G1510="PNS")*([1]Peta_Persatker!T2:T1510="D3 Sekretaris"))</f>
        <v>0</v>
      </c>
      <c r="E225" s="239">
        <f>SUMPRODUCT(([1]Peta_Persatker!G2:G1510="CPNS")*([1]Peta_Persatker!T2:T1510="D3 Sekretaris"))</f>
        <v>0</v>
      </c>
      <c r="F225" s="239">
        <f>SUMPRODUCT(([1]Peta_Persatker!G2:G1510="PPPK")*([1]Peta_Persatker!T2:T1510="D3 Sekretaris"))</f>
        <v>1</v>
      </c>
      <c r="G225" s="239">
        <f>SUMPRODUCT(([1]Peta_Persatker!G2:G1510="BLU TETAP")*([1]Peta_Persatker!T2:T1510="D3 Sekretaris"))</f>
        <v>0</v>
      </c>
      <c r="H225" s="239">
        <f>SUMPRODUCT(([1]Peta_Persatker!G2:G1510="KONTRAK")*([1]Peta_Persatker!T2:T1510="D3 Sekretaris"))</f>
        <v>1</v>
      </c>
      <c r="I225" s="239"/>
      <c r="J225" s="241">
        <f t="shared" si="10"/>
        <v>2</v>
      </c>
      <c r="K225" s="242"/>
    </row>
    <row r="226" spans="2:11" x14ac:dyDescent="0.25">
      <c r="B226" s="239">
        <v>49</v>
      </c>
      <c r="C226" s="240" t="s">
        <v>293</v>
      </c>
      <c r="D226" s="239">
        <f>SUMPRODUCT(([1]Peta_Persatker!G2:G1510="PNS")*([1]Peta_Persatker!T2:T1510="D3 Teknik Informatika"))</f>
        <v>0</v>
      </c>
      <c r="E226" s="239">
        <f>SUMPRODUCT(([1]Peta_Persatker!G2:G1510="CPNS")*([1]Peta_Persatker!T2:T1510="D3 Teknik Informatika"))</f>
        <v>1</v>
      </c>
      <c r="F226" s="239">
        <f>SUMPRODUCT(([1]Peta_Persatker!G2:G1510="PPPK")*([1]Peta_Persatker!T2:T1510="D3 Teknik Informatika"))</f>
        <v>0</v>
      </c>
      <c r="G226" s="239">
        <f>SUMPRODUCT(([1]Peta_Persatker!G2:G1510="BLU TETAP")*([1]Peta_Persatker!T2:T1510="D3 Teknik Informatika"))</f>
        <v>2</v>
      </c>
      <c r="H226" s="239">
        <f>SUMPRODUCT(([1]Peta_Persatker!G2:G1510="KONTRAK")*([1]Peta_Persatker!T2:T1510="D3 Teknik Informatika"))</f>
        <v>0</v>
      </c>
      <c r="I226" s="239"/>
      <c r="J226" s="241">
        <f t="shared" si="10"/>
        <v>3</v>
      </c>
      <c r="K226" s="242"/>
    </row>
    <row r="227" spans="2:11" x14ac:dyDescent="0.25">
      <c r="B227" s="239">
        <v>50</v>
      </c>
      <c r="C227" s="240" t="s">
        <v>4745</v>
      </c>
      <c r="D227" s="239">
        <f>SUMPRODUCT(([1]Peta_Persatker!G2:G1510="PNS")*([1]Peta_Persatker!T2:T1510="D3 Teknik Komputer"))</f>
        <v>2</v>
      </c>
      <c r="E227" s="239">
        <f>SUMPRODUCT(([1]Peta_Persatker!G2:G1510="CPNS")*([1]Peta_Persatker!T2:T1510="D3 Teknik Komputer"))</f>
        <v>0</v>
      </c>
      <c r="F227" s="239">
        <f>SUMPRODUCT(([1]Peta_Persatker!G2:G1510="PPPK")*([1]Peta_Persatker!T2:T1510="D3 Teknik Komputer"))</f>
        <v>0</v>
      </c>
      <c r="G227" s="239">
        <f>SUMPRODUCT(([1]Peta_Persatker!G2:G1510="BLU TETAP")*([1]Peta_Persatker!T2:T1510="D3 Teknik Komputer"))</f>
        <v>0</v>
      </c>
      <c r="H227" s="239">
        <f>SUMPRODUCT(([1]Peta_Persatker!G2:G1510="KONTRAK")*([1]Peta_Persatker!T2:T1510="D3 Teknik Komputer"))</f>
        <v>0</v>
      </c>
      <c r="I227" s="239"/>
      <c r="J227" s="241">
        <f t="shared" si="10"/>
        <v>2</v>
      </c>
      <c r="K227" s="242"/>
    </row>
    <row r="228" spans="2:11" x14ac:dyDescent="0.25">
      <c r="B228" s="239">
        <v>51</v>
      </c>
      <c r="C228" s="240" t="s">
        <v>1080</v>
      </c>
      <c r="D228" s="239">
        <f>SUMPRODUCT(([1]Peta_Persatker!G2:G1510="PNS")*([1]Peta_Persatker!T2:T1510="D3 Komputer"))</f>
        <v>2</v>
      </c>
      <c r="E228" s="239">
        <f>SUMPRODUCT(([1]Peta_Persatker!G2:G1510="CPNS")*([1]Peta_Persatker!T2:T1510="D3 Komputer"))</f>
        <v>0</v>
      </c>
      <c r="F228" s="239">
        <f>SUMPRODUCT(([1]Peta_Persatker!G2:G1510="PPPK")*([1]Peta_Persatker!T2:T1510="D3 Komputer"))</f>
        <v>11</v>
      </c>
      <c r="G228" s="239">
        <f>SUMPRODUCT(([1]Peta_Persatker!G2:G1510="BLU TETAP")*([1]Peta_Persatker!T2:T1510="D3 Komputer"))</f>
        <v>0</v>
      </c>
      <c r="H228" s="239">
        <f>SUMPRODUCT(([1]Peta_Persatker!G2:G1510="KONTRAK")*([1]Peta_Persatker!T2:T1510="D3 Komputer"))</f>
        <v>0</v>
      </c>
      <c r="I228" s="239"/>
      <c r="J228" s="241">
        <f t="shared" si="10"/>
        <v>13</v>
      </c>
      <c r="K228" s="242"/>
    </row>
    <row r="229" spans="2:11" x14ac:dyDescent="0.25">
      <c r="B229" s="239">
        <v>52</v>
      </c>
      <c r="C229" s="240" t="s">
        <v>1355</v>
      </c>
      <c r="D229" s="239">
        <f>SUMPRODUCT(([1]Peta_Persatker!G2:G1510="PNS")*([1]Peta_Persatker!T2:T1510="D3 Sistem Informasi"))</f>
        <v>0</v>
      </c>
      <c r="E229" s="239">
        <f>SUMPRODUCT(([1]Peta_Persatker!G2:G1510="CPNS")*([1]Peta_Persatker!T2:T1510="D3 Sistem Informasi"))</f>
        <v>0</v>
      </c>
      <c r="F229" s="239">
        <f>SUMPRODUCT(([1]Peta_Persatker!G2:G1510="PPPK")*([1]Peta_Persatker!T2:T1510="D3 Sistem Informasi"))</f>
        <v>0</v>
      </c>
      <c r="G229" s="239">
        <f>SUMPRODUCT(([1]Peta_Persatker!G2:G1510="BLU TETAP")*([1]Peta_Persatker!T2:T1510="D3 Sistem Informasi"))</f>
        <v>0</v>
      </c>
      <c r="H229" s="239">
        <f>SUMPRODUCT(([1]Peta_Persatker!G2:G1510="KONTRAK")*([1]Peta_Persatker!T2:T1510="D3 Sistem Informasi"))</f>
        <v>9</v>
      </c>
      <c r="I229" s="239"/>
      <c r="J229" s="241">
        <f t="shared" si="10"/>
        <v>9</v>
      </c>
      <c r="K229" s="242"/>
    </row>
    <row r="230" spans="2:11" x14ac:dyDescent="0.25">
      <c r="B230" s="239">
        <v>53</v>
      </c>
      <c r="C230" s="240" t="s">
        <v>5175</v>
      </c>
      <c r="D230" s="239">
        <f>SUMPRODUCT(([1]Peta_Persatker!G2:G1510="PNS")*([1]Peta_Persatker!T2:T1510="D3 Teknik Listrik"))</f>
        <v>1</v>
      </c>
      <c r="E230" s="239">
        <f>SUMPRODUCT(([1]Peta_Persatker!G2:G1510="CPNS")*([1]Peta_Persatker!T2:T1510="D3 Teknik Listrik"))</f>
        <v>0</v>
      </c>
      <c r="F230" s="239">
        <f>SUMPRODUCT(([1]Peta_Persatker!G2:G1510="PPPK")*([1]Peta_Persatker!T2:T1510="D3 Teknik Listrik"))</f>
        <v>0</v>
      </c>
      <c r="G230" s="239">
        <f>SUMPRODUCT(([1]Peta_Persatker!G2:G1510="BLU TETAP")*([1]Peta_Persatker!T2:T1510="D3 Teknik Listrik"))</f>
        <v>0</v>
      </c>
      <c r="H230" s="239">
        <f>SUMPRODUCT(([1]Peta_Persatker!G2:G1510="KONTRAK")*([1]Peta_Persatker!T2:T1510="D3 Teknik Listrik"))</f>
        <v>0</v>
      </c>
      <c r="I230" s="239"/>
      <c r="J230" s="241">
        <f t="shared" si="10"/>
        <v>1</v>
      </c>
      <c r="K230" s="242"/>
    </row>
    <row r="231" spans="2:11" x14ac:dyDescent="0.25">
      <c r="B231" s="239">
        <v>54</v>
      </c>
      <c r="C231" s="240" t="s">
        <v>5202</v>
      </c>
      <c r="D231" s="239">
        <f>SUMPRODUCT(([1]Peta_Persatker!G2:G1510="PNS")*([1]Peta_Persatker!T2:T1510="D3 Teknik Mesin"))</f>
        <v>0</v>
      </c>
      <c r="E231" s="239">
        <f>SUMPRODUCT(([1]Peta_Persatker!G2:G1510="CPNS")*([1]Peta_Persatker!T2:T1510="D3 Teknik Mesin"))</f>
        <v>0</v>
      </c>
      <c r="F231" s="239">
        <f>SUMPRODUCT(([1]Peta_Persatker!G2:G1510="PPPK")*([1]Peta_Persatker!T2:T1510="D3 Teknik Mesin"))</f>
        <v>0</v>
      </c>
      <c r="G231" s="239">
        <f>SUMPRODUCT(([1]Peta_Persatker!G2:G1510="BLU TETAP")*([1]Peta_Persatker!T2:T1510="D3 Teknik Mesin"))</f>
        <v>1</v>
      </c>
      <c r="H231" s="239">
        <f>SUMPRODUCT(([1]Peta_Persatker!G2:G1510="KONTRAK")*([1]Peta_Persatker!T2:T1510="D3 Teknik Mesin"))</f>
        <v>2</v>
      </c>
      <c r="I231" s="239"/>
      <c r="J231" s="241">
        <f t="shared" si="10"/>
        <v>3</v>
      </c>
      <c r="K231" s="242"/>
    </row>
    <row r="232" spans="2:11" x14ac:dyDescent="0.25">
      <c r="B232" s="239">
        <v>55</v>
      </c>
      <c r="C232" s="240" t="s">
        <v>286</v>
      </c>
      <c r="D232" s="239">
        <f>SUMPRODUCT(([1]Peta_Persatker!G2:G1510="PNS")*([1]Peta_Persatker!T2:T1510="D3 Teknik Sipil"))</f>
        <v>1</v>
      </c>
      <c r="E232" s="239">
        <f>SUMPRODUCT(([1]Peta_Persatker!G2:G1510="CPNS")*([1]Peta_Persatker!T2:T1510="D3 Teknik Sipil"))</f>
        <v>0</v>
      </c>
      <c r="F232" s="239">
        <f>SUMPRODUCT(([1]Peta_Persatker!G2:G1510="PPPK")*([1]Peta_Persatker!T2:T1510="D3 Teknik Sipil"))</f>
        <v>0</v>
      </c>
      <c r="G232" s="239">
        <f>SUMPRODUCT(([1]Peta_Persatker!G2:G1510="BLU TETAP")*([1]Peta_Persatker!T2:T1510="D3 Teknik Sipil"))</f>
        <v>1</v>
      </c>
      <c r="H232" s="239">
        <f>SUMPRODUCT(([1]Peta_Persatker!G2:G1510="KONTRAK")*([1]Peta_Persatker!T2:T1510="D3 Teknik Sipil"))</f>
        <v>0</v>
      </c>
      <c r="I232" s="239"/>
      <c r="J232" s="241">
        <f t="shared" si="10"/>
        <v>2</v>
      </c>
      <c r="K232" s="242"/>
    </row>
    <row r="233" spans="2:11" x14ac:dyDescent="0.25">
      <c r="B233" s="239">
        <v>56</v>
      </c>
      <c r="C233" s="240" t="s">
        <v>4670</v>
      </c>
      <c r="D233" s="239">
        <f>SUMPRODUCT(([1]Peta_Persatker!G2:G1510="PNS")*([1]Peta_Persatker!T2:T1510="D3 Perpajakan"))</f>
        <v>0</v>
      </c>
      <c r="E233" s="239">
        <f>SUMPRODUCT(([1]Peta_Persatker!G2:G1510="CPNS")*([1]Peta_Persatker!T2:T1510="D3 Perpajakan"))</f>
        <v>0</v>
      </c>
      <c r="F233" s="239">
        <f>SUMPRODUCT(([1]Peta_Persatker!G2:G1510="PPPK")*([1]Peta_Persatker!T2:T1510="D3 Perpajakan"))</f>
        <v>0</v>
      </c>
      <c r="G233" s="239">
        <f>SUMPRODUCT(([1]Peta_Persatker!G2:G1510="BLU TETAP")*([1]Peta_Persatker!T2:T1510="D3 Perpajakan"))</f>
        <v>1</v>
      </c>
      <c r="H233" s="239">
        <f>SUMPRODUCT(([1]Peta_Persatker!G2:G1510="KONTRAK")*([1]Peta_Persatker!T2:T1510="D3 Perpajakan"))</f>
        <v>0</v>
      </c>
      <c r="I233" s="239"/>
      <c r="J233" s="241">
        <f t="shared" si="10"/>
        <v>1</v>
      </c>
      <c r="K233" s="242"/>
    </row>
    <row r="234" spans="2:11" x14ac:dyDescent="0.25">
      <c r="B234" s="239">
        <v>57</v>
      </c>
      <c r="C234" s="240" t="s">
        <v>4569</v>
      </c>
      <c r="D234" s="239">
        <f>SUMPRODUCT(([1]Peta_Persatker!G2:G1510="PNS")*([1]Peta_Persatker!T2:T1510="D3 Teknik Boga"))</f>
        <v>0</v>
      </c>
      <c r="E234" s="239">
        <f>SUMPRODUCT(([1]Peta_Persatker!G2:G1510="CPNS")*([1]Peta_Persatker!T2:T1510="D3 Teknik Boga"))</f>
        <v>0</v>
      </c>
      <c r="F234" s="239">
        <f>SUMPRODUCT(([1]Peta_Persatker!G2:G1510="PPPK")*([1]Peta_Persatker!T2:T1510="D3 Teknik Boga"))</f>
        <v>0</v>
      </c>
      <c r="G234" s="239">
        <f>SUMPRODUCT(([1]Peta_Persatker!G2:G1510="BLU TETAP")*([1]Peta_Persatker!T2:T1510="D3 Teknik Boga"))</f>
        <v>1</v>
      </c>
      <c r="H234" s="239">
        <f>SUMPRODUCT(([1]Peta_Persatker!G2:G1510="KONTRAK")*([1]Peta_Persatker!T2:T1510="D3 Teknik Boga"))</f>
        <v>0</v>
      </c>
      <c r="I234" s="239"/>
      <c r="J234" s="241">
        <f t="shared" si="10"/>
        <v>1</v>
      </c>
      <c r="K234" s="242"/>
    </row>
    <row r="235" spans="2:11" x14ac:dyDescent="0.25">
      <c r="B235" s="239">
        <v>58</v>
      </c>
      <c r="C235" s="240" t="s">
        <v>2575</v>
      </c>
      <c r="D235" s="239">
        <f>SUMPRODUCT(([1]Peta_Persatker!G2:G1510="PNS")*([1]Peta_Persatker!T2:T1510="D3 Seni Kuliner"))</f>
        <v>0</v>
      </c>
      <c r="E235" s="239">
        <f>SUMPRODUCT(([1]Peta_Persatker!G2:G1510="CPNS")*([1]Peta_Persatker!T2:T1510="D3 Seni Kuliner"))</f>
        <v>0</v>
      </c>
      <c r="F235" s="239">
        <f>SUMPRODUCT(([1]Peta_Persatker!G2:G1510="PPPK")*([1]Peta_Persatker!T2:T1510="D3 Seni Kuliner"))</f>
        <v>0</v>
      </c>
      <c r="G235" s="239">
        <f>SUMPRODUCT(([1]Peta_Persatker!G2:G1510="BLU Tetap")*([1]Peta_Persatker!T2:T1510="D3 Seni Kuliner"))</f>
        <v>0</v>
      </c>
      <c r="H235" s="239">
        <f>SUMPRODUCT(([1]Peta_Persatker!G2:G1510="Kontrak")*([1]Peta_Persatker!T2:T1510="D3 Seni Kuliner"))</f>
        <v>11</v>
      </c>
      <c r="I235" s="239"/>
      <c r="J235" s="241">
        <f t="shared" si="10"/>
        <v>11</v>
      </c>
      <c r="K235" s="242"/>
    </row>
    <row r="236" spans="2:11" x14ac:dyDescent="0.25">
      <c r="B236" s="239">
        <v>59</v>
      </c>
      <c r="C236" s="240" t="s">
        <v>1068</v>
      </c>
      <c r="D236" s="239">
        <f>SUMPRODUCT(([1]Peta_Persatker!G2:G1510="PNS")*([1]Peta_Persatker!T2:T1510="D3 Administrasi Publik"))</f>
        <v>0</v>
      </c>
      <c r="E236" s="239">
        <f>SUMPRODUCT(([1]Peta_Persatker!G2:G1510="CPNS")*([1]Peta_Persatker!T2:T1510="D3 Administrasi Publik"))</f>
        <v>0</v>
      </c>
      <c r="F236" s="239">
        <f>SUMPRODUCT(([1]Peta_Persatker!G2:G1510="PPPK")*([1]Peta_Persatker!T2:T1510="D3 Administrasi Publik"))</f>
        <v>0</v>
      </c>
      <c r="G236" s="239">
        <f>SUMPRODUCT(([1]Peta_Persatker!G2:G1510="BLU Tetap")*([1]Peta_Persatker!T2:T1510="D3 Administrasi Publik"))</f>
        <v>0</v>
      </c>
      <c r="H236" s="239">
        <f>SUMPRODUCT(([1]Peta_Persatker!G2:G1510="KONTRAK")*([1]Peta_Persatker!T2:T1510="D3 Administrasi Publik"))</f>
        <v>11</v>
      </c>
      <c r="I236" s="239"/>
      <c r="J236" s="241">
        <f t="shared" si="10"/>
        <v>11</v>
      </c>
      <c r="K236" s="242"/>
    </row>
    <row r="237" spans="2:11" x14ac:dyDescent="0.25">
      <c r="B237" s="239">
        <v>60</v>
      </c>
      <c r="C237" s="240" t="s">
        <v>5466</v>
      </c>
      <c r="D237" s="239">
        <f>SUMPRODUCT(([1]Peta_Persatker!G3:G1510="PNS")*([1]Peta_Persatker!T3:T1510="D3 Administrasi Negara"))</f>
        <v>0</v>
      </c>
      <c r="E237" s="239">
        <f>SUMPRODUCT(([1]Peta_Persatker!G3:G1510="CPNS")*([1]Peta_Persatker!T3:T1510="D3 Administrasi Negara"))</f>
        <v>0</v>
      </c>
      <c r="F237" s="239">
        <f>SUMPRODUCT(([1]Peta_Persatker!G3:G1510="PPPK")*([1]Peta_Persatker!T3:T1510="D3 Administrasi Negara"))</f>
        <v>0</v>
      </c>
      <c r="G237" s="239">
        <f>SUMPRODUCT(([1]Peta_Persatker!G3:G1510="BLU Tetap")*([1]Peta_Persatker!T3:T1510="D3 Administrasi Negara"))</f>
        <v>0</v>
      </c>
      <c r="H237" s="239">
        <f>SUMPRODUCT(([1]Peta_Persatker!G3:G1510="KONTRAK")*([1]Peta_Persatker!T3:T1510="D3 Administrasi Negara"))</f>
        <v>0</v>
      </c>
      <c r="I237" s="239"/>
      <c r="J237" s="241">
        <f t="shared" si="10"/>
        <v>0</v>
      </c>
      <c r="K237" s="242"/>
    </row>
    <row r="238" spans="2:11" x14ac:dyDescent="0.25">
      <c r="B238" s="239">
        <v>61</v>
      </c>
      <c r="C238" s="240" t="s">
        <v>5467</v>
      </c>
      <c r="D238" s="239">
        <f>SUMPRODUCT(([1]Peta_Persatker!G3:G1510="PNS")*([1]Peta_Persatker!T3:T1510="D3 Publik Relations (Hubungan Masyarakat)"))</f>
        <v>0</v>
      </c>
      <c r="E238" s="239">
        <f>SUMPRODUCT(([1]Peta_Persatker!G3:G1510="CPNS")*([1]Peta_Persatker!T3:T1510="D3 Publik Relations (Hubungan Masyarakat)"))</f>
        <v>0</v>
      </c>
      <c r="F238" s="239">
        <f>SUMPRODUCT(([1]Peta_Persatker!G3:G1510="PPPK")*([1]Peta_Persatker!T3:T1510="D3 Publik Relations (Hubungan Masyarakat)"))</f>
        <v>0</v>
      </c>
      <c r="G238" s="239">
        <f>SUMPRODUCT(([1]Peta_Persatker!G3:G1510="BLU Tetap")*([1]Peta_Persatker!T3:T1510="D3 Publik Relations (Hubungan Masyarakat)"))</f>
        <v>0</v>
      </c>
      <c r="H238" s="239">
        <f>SUMPRODUCT(([1]Peta_Persatker!G3:G1510="KONTRAK")*([1]Peta_Persatker!T3:T1510="D3 Publik Relations (Hubungan Masyarakat)"))</f>
        <v>0</v>
      </c>
      <c r="I238" s="239"/>
      <c r="J238" s="241">
        <f t="shared" si="10"/>
        <v>0</v>
      </c>
      <c r="K238" s="242"/>
    </row>
    <row r="239" spans="2:11" x14ac:dyDescent="0.25">
      <c r="B239" s="239">
        <v>62</v>
      </c>
      <c r="C239" s="240" t="s">
        <v>4893</v>
      </c>
      <c r="D239" s="239">
        <f>SUMPRODUCT(([1]Peta_Persatker!G5:G1512="PNS")*([1]Peta_Persatker!T5:T1512="D3 Desain Teknologi Sepatu/ Produk Kulit"))</f>
        <v>0</v>
      </c>
      <c r="E239" s="239">
        <f>SUMPRODUCT(([1]Peta_Persatker!G5:G1512="CPNS")*([1]Peta_Persatker!T5:T1512="D3 Desain Teknologi Sepatu/ Produk Kulit"))</f>
        <v>0</v>
      </c>
      <c r="F239" s="239">
        <f>SUMPRODUCT(([1]Peta_Persatker!G5:G1512="PPPK")*([1]Peta_Persatker!T5:T1512="D3 Desain Teknologi Sepatu/ Produk Kulit"))</f>
        <v>0</v>
      </c>
      <c r="G239" s="239">
        <f>SUMPRODUCT(([1]Peta_Persatker!G5:G1512="BLU Tetap")*([1]Peta_Persatker!T5:T1512="D3 Desain Teknologi Sepatu/ Produk Kulit"))</f>
        <v>0</v>
      </c>
      <c r="H239" s="239">
        <f>SUMPRODUCT(([1]Peta_Persatker!G5:G1512="Kontrak")*([1]Peta_Persatker!T5:T1512="D3 Desain Teknologi Sepatu/ Produk Kulit"))</f>
        <v>1</v>
      </c>
      <c r="I239" s="239"/>
      <c r="J239" s="241">
        <f t="shared" si="10"/>
        <v>1</v>
      </c>
      <c r="K239" s="242"/>
    </row>
    <row r="240" spans="2:11" x14ac:dyDescent="0.25">
      <c r="B240" s="239">
        <v>63</v>
      </c>
      <c r="C240" s="248" t="s">
        <v>5468</v>
      </c>
      <c r="D240" s="249">
        <f>SUMPRODUCT(([1]Peta_Persatker!G2:G1510="PNS")*([1]Peta_Persatker!T2:T1510="SMU"))</f>
        <v>0</v>
      </c>
      <c r="E240" s="249">
        <f>SUMPRODUCT(([1]Peta_Persatker!G2:G1510="CPNS")*([1]Peta_Persatker!T2:T1510="SMU"))</f>
        <v>0</v>
      </c>
      <c r="F240" s="249"/>
      <c r="G240" s="249">
        <f>SUMPRODUCT(([1]Peta_Persatker!G2:G1510="BLU TETAP")*([1]Peta_Persatker!T2:T1510="SMU"))</f>
        <v>0</v>
      </c>
      <c r="H240" s="249">
        <f>SUMPRODUCT(([1]Peta_Persatker!G2:G1510="KONTRAK")*([1]Peta_Persatker!T2:T1510="SMU"))</f>
        <v>0</v>
      </c>
      <c r="I240" s="249"/>
      <c r="J240" s="241">
        <f t="shared" si="10"/>
        <v>0</v>
      </c>
      <c r="K240" s="242"/>
    </row>
    <row r="241" spans="2:11" x14ac:dyDescent="0.25">
      <c r="B241" s="239">
        <v>64</v>
      </c>
      <c r="C241" s="248" t="s">
        <v>5469</v>
      </c>
      <c r="D241" s="249">
        <f>SUMPRODUCT(([1]Peta_Persatker!G2:G1510="PNS")*([1]Peta_Persatker!T2:T1510="SLTA"))</f>
        <v>0</v>
      </c>
      <c r="E241" s="249">
        <f>SUMPRODUCT(([1]Peta_Persatker!G2:G1510="CPNS")*([1]Peta_Persatker!T2:T1510="SLTA"))</f>
        <v>0</v>
      </c>
      <c r="F241" s="249"/>
      <c r="G241" s="249">
        <f>SUMPRODUCT(([1]Peta_Persatker!G2:G1510="BLU TETAP")*([1]Peta_Persatker!T2:T1510="SLTA"))</f>
        <v>0</v>
      </c>
      <c r="H241" s="249">
        <f>SUMPRODUCT(([1]Peta_Persatker!G2:G1510="KONTRAK")*([1]Peta_Persatker!T2:T1510="SLTA"))</f>
        <v>0</v>
      </c>
      <c r="I241" s="249"/>
      <c r="J241" s="241">
        <f t="shared" si="10"/>
        <v>0</v>
      </c>
      <c r="K241" s="242"/>
    </row>
    <row r="242" spans="2:11" x14ac:dyDescent="0.25">
      <c r="B242" s="239">
        <v>65</v>
      </c>
      <c r="C242" s="248" t="s">
        <v>1339</v>
      </c>
      <c r="D242" s="249">
        <f>SUMPRODUCT(([1]Peta_Persatker!G2:G1510="PNS")*([1]Peta_Persatker!T2:T1510="SMA"))</f>
        <v>24</v>
      </c>
      <c r="E242" s="249">
        <f>SUMPRODUCT(([1]Peta_Persatker!G2:G1510="CPNS")*([1]Peta_Persatker!T2:T1510="SMA"))</f>
        <v>0</v>
      </c>
      <c r="F242" s="249"/>
      <c r="G242" s="249">
        <f>SUMPRODUCT(([1]Peta_Persatker!G2:G1510="BLU TETAP")*([1]Peta_Persatker!T2:T1510="SMA"))</f>
        <v>0</v>
      </c>
      <c r="H242" s="249">
        <f>SUMPRODUCT(([1]Peta_Persatker!G2:G1510="KONTRAK")*([1]Peta_Persatker!T2:T1510="SMA"))</f>
        <v>0</v>
      </c>
      <c r="I242" s="249"/>
      <c r="J242" s="241">
        <f t="shared" si="10"/>
        <v>24</v>
      </c>
      <c r="K242" s="242"/>
    </row>
    <row r="243" spans="2:11" x14ac:dyDescent="0.25">
      <c r="B243" s="239">
        <v>66</v>
      </c>
      <c r="C243" s="248" t="s">
        <v>3023</v>
      </c>
      <c r="D243" s="249">
        <f>SUMPRODUCT(([1]Peta_Persatker!G2:G1510="PNS")*([1]Peta_Persatker!T2:T1510="SMEA"))</f>
        <v>7</v>
      </c>
      <c r="E243" s="249">
        <f>SUMPRODUCT(([1]Peta_Persatker!G2:G1510="CPNS")*([1]Peta_Persatker!T2:T1510="SMEA"))</f>
        <v>0</v>
      </c>
      <c r="F243" s="249"/>
      <c r="G243" s="249">
        <f>SUMPRODUCT(([1]Peta_Persatker!G2:G1510="BLU TETAP")*([1]Peta_Persatker!T2:T1510="SMEA"))</f>
        <v>0</v>
      </c>
      <c r="H243" s="249">
        <f>SUMPRODUCT(([1]Peta_Persatker!G2:G1510="KONTRAK")*([1]Peta_Persatker!T2:T1510="SMEA"))</f>
        <v>0</v>
      </c>
      <c r="I243" s="249"/>
      <c r="J243" s="241">
        <f t="shared" si="10"/>
        <v>7</v>
      </c>
      <c r="K243" s="242"/>
    </row>
    <row r="244" spans="2:11" x14ac:dyDescent="0.25">
      <c r="B244" s="239">
        <v>67</v>
      </c>
      <c r="C244" s="248" t="s">
        <v>4567</v>
      </c>
      <c r="D244" s="249">
        <f>SUMPRODUCT(([1]Peta_Persatker!G2:G1510="PNS")*([1]Peta_Persatker!T2:T1510="SMK"))</f>
        <v>1</v>
      </c>
      <c r="E244" s="249">
        <f>SUMPRODUCT(([1]Peta_Persatker!G2:G1510="CPNS")*([1]Peta_Persatker!T2:T1510="SMK"))</f>
        <v>0</v>
      </c>
      <c r="F244" s="249"/>
      <c r="G244" s="249">
        <f>SUMPRODUCT(([1]Peta_Persatker!G2:G1510="BLU TETAP")*([1]Peta_Persatker!T2:T1510="SMK"))</f>
        <v>0</v>
      </c>
      <c r="H244" s="249">
        <f>SUMPRODUCT(([1]Peta_Persatker!G2:G1510="KONTRAK")*([1]Peta_Persatker!T2:T1510="SMK"))</f>
        <v>0</v>
      </c>
      <c r="I244" s="249"/>
      <c r="J244" s="241">
        <f t="shared" si="10"/>
        <v>1</v>
      </c>
      <c r="K244" s="242"/>
    </row>
    <row r="245" spans="2:11" x14ac:dyDescent="0.25">
      <c r="B245" s="239">
        <v>68</v>
      </c>
      <c r="C245" s="248" t="s">
        <v>4578</v>
      </c>
      <c r="D245" s="249">
        <f>SUMPRODUCT(([1]Peta_Persatker!G2:G1510="PNS")*([1]Peta_Persatker!T2:T1510="SMKK"))</f>
        <v>1</v>
      </c>
      <c r="E245" s="249">
        <f>SUMPRODUCT(([1]Peta_Persatker!G2:G1510="CPNS")*([1]Peta_Persatker!T2:T1510="SMKK"))</f>
        <v>0</v>
      </c>
      <c r="F245" s="249"/>
      <c r="G245" s="249">
        <f>SUMPRODUCT(([1]Peta_Persatker!G2:G1510="BLU TETAP")*([1]Peta_Persatker!T2:T1510="SMKK"))</f>
        <v>0</v>
      </c>
      <c r="H245" s="249">
        <f>SUMPRODUCT(([1]Peta_Persatker!G2:G1510="KONTRAK")*([1]Peta_Persatker!T2:T1510="SMKK"))</f>
        <v>0</v>
      </c>
      <c r="I245" s="249"/>
      <c r="J245" s="241">
        <f t="shared" si="10"/>
        <v>1</v>
      </c>
      <c r="K245" s="242"/>
    </row>
    <row r="246" spans="2:11" x14ac:dyDescent="0.25">
      <c r="B246" s="239">
        <v>69</v>
      </c>
      <c r="C246" s="248" t="s">
        <v>4563</v>
      </c>
      <c r="D246" s="249">
        <f>SUMPRODUCT(([1]Peta_Persatker!G2:G1510="PNS")*([1]Peta_Persatker!T2:T1510="STM"))</f>
        <v>4</v>
      </c>
      <c r="E246" s="249">
        <f>SUMPRODUCT(([1]Peta_Persatker!G2:G1510="CPNS")*([1]Peta_Persatker!T2:T1510="STM"))</f>
        <v>0</v>
      </c>
      <c r="F246" s="249"/>
      <c r="G246" s="249">
        <f>SUMPRODUCT(([1]Peta_Persatker!G2:G1510="BLU TETAP")*([1]Peta_Persatker!T2:T1510="STM"))</f>
        <v>0</v>
      </c>
      <c r="H246" s="249">
        <f>SUMPRODUCT(([1]Peta_Persatker!G2:G1510="KONTRAK")*([1]Peta_Persatker!T2:T1510="STM"))</f>
        <v>0</v>
      </c>
      <c r="I246" s="249"/>
      <c r="J246" s="241">
        <f t="shared" si="10"/>
        <v>4</v>
      </c>
      <c r="K246" s="242"/>
    </row>
    <row r="247" spans="2:11" x14ac:dyDescent="0.25">
      <c r="B247" s="239">
        <v>70</v>
      </c>
      <c r="C247" s="248" t="s">
        <v>5470</v>
      </c>
      <c r="D247" s="249">
        <f>SUMPRODUCT(([1]Peta_Persatker!G2:G1510="PNS")*([1]Peta_Persatker!T2:T1510="SPG"))</f>
        <v>0</v>
      </c>
      <c r="E247" s="249">
        <f>SUMPRODUCT(([1]Peta_Persatker!G2:G1510="CPNS")*([1]Peta_Persatker!T2:T1510="SPG"))</f>
        <v>0</v>
      </c>
      <c r="F247" s="249"/>
      <c r="G247" s="249">
        <f>SUMPRODUCT(([1]Peta_Persatker!G2:G1510="BLU TETAP")*([1]Peta_Persatker!T2:T1510="SPG"))</f>
        <v>0</v>
      </c>
      <c r="H247" s="249">
        <f>SUMPRODUCT(([1]Peta_Persatker!G2:G1510="KONTRAK")*([1]Peta_Persatker!T2:T1510="SPG"))</f>
        <v>0</v>
      </c>
      <c r="I247" s="249"/>
      <c r="J247" s="241">
        <f t="shared" si="10"/>
        <v>0</v>
      </c>
      <c r="K247" s="242"/>
    </row>
    <row r="248" spans="2:11" x14ac:dyDescent="0.25">
      <c r="B248" s="239">
        <v>71</v>
      </c>
      <c r="C248" s="248" t="s">
        <v>4582</v>
      </c>
      <c r="D248" s="249">
        <f>SUMPRODUCT(([1]Peta_Persatker!G2:G1510="PNS")*([1]Peta_Persatker!T2:T1510="Paket C"))</f>
        <v>4</v>
      </c>
      <c r="E248" s="249">
        <f>SUMPRODUCT(([1]Peta_Persatker!G2:G1510="CPNS")*([1]Peta_Persatker!T2:T1510="Paket C"))</f>
        <v>0</v>
      </c>
      <c r="F248" s="249"/>
      <c r="G248" s="249">
        <f>SUMPRODUCT(([1]Peta_Persatker!G2:G1510="BLU TETAP")*([1]Peta_Persatker!T2:T1510="Paket C"))</f>
        <v>0</v>
      </c>
      <c r="H248" s="249">
        <f>SUMPRODUCT(([1]Peta_Persatker!G2:G1510="KONTRAK")*([1]Peta_Persatker!T2:T1510="Paket C"))</f>
        <v>0</v>
      </c>
      <c r="I248" s="249"/>
      <c r="J248" s="241">
        <f t="shared" si="10"/>
        <v>4</v>
      </c>
      <c r="K248" s="242"/>
    </row>
    <row r="249" spans="2:11" x14ac:dyDescent="0.25">
      <c r="B249" s="239">
        <v>72</v>
      </c>
      <c r="C249" s="245" t="s">
        <v>5471</v>
      </c>
      <c r="D249" s="246">
        <f>SUMPRODUCT(([1]Peta_Persatker!G2:G1510="PNS")*([1]Peta_Persatker!T2:T1510="ST"))</f>
        <v>0</v>
      </c>
      <c r="E249" s="246">
        <f>SUMPRODUCT(([1]Peta_Persatker!G2:G1510="CPNS")*([1]Peta_Persatker!T2:T1510="ST"))</f>
        <v>0</v>
      </c>
      <c r="F249" s="246"/>
      <c r="G249" s="246">
        <f>SUMPRODUCT(([1]Peta_Persatker!G2:G1510="BLU TETAP")*([1]Peta_Persatker!T2:T1510="ST"))</f>
        <v>0</v>
      </c>
      <c r="H249" s="246">
        <f>SUMPRODUCT(([1]Peta_Persatker!G2:G1510="KONTRAK")*([1]Peta_Persatker!T2:T1510="ST"))</f>
        <v>0</v>
      </c>
      <c r="I249" s="246"/>
      <c r="J249" s="241">
        <f t="shared" si="10"/>
        <v>0</v>
      </c>
      <c r="K249" s="242"/>
    </row>
    <row r="250" spans="2:11" x14ac:dyDescent="0.25">
      <c r="B250" s="239">
        <v>73</v>
      </c>
      <c r="C250" s="245" t="s">
        <v>5472</v>
      </c>
      <c r="D250" s="246">
        <f>SUMPRODUCT(([1]Peta_Persatker!G2:G1510="PNS")*([1]Peta_Persatker!T2:T1510="SMP"))</f>
        <v>0</v>
      </c>
      <c r="E250" s="246">
        <f>SUMPRODUCT(([1]Peta_Persatker!G2:G1510="CPNS")*([1]Peta_Persatker!T2:T1510="SMP"))</f>
        <v>0</v>
      </c>
      <c r="F250" s="246"/>
      <c r="G250" s="246">
        <f>SUMPRODUCT(([1]Peta_Persatker!G2:G1510="BLU TETAP")*([1]Peta_Persatker!T2:T1510="SMP"))</f>
        <v>0</v>
      </c>
      <c r="H250" s="246">
        <f>SUMPRODUCT(([1]Peta_Persatker!G2:G1510="KONTRAK")*([1]Peta_Persatker!T2:T1510="SMP"))</f>
        <v>0</v>
      </c>
      <c r="I250" s="246"/>
      <c r="J250" s="241">
        <f t="shared" si="10"/>
        <v>0</v>
      </c>
      <c r="K250" s="242"/>
    </row>
    <row r="251" spans="2:11" x14ac:dyDescent="0.25">
      <c r="B251" s="239">
        <v>74</v>
      </c>
      <c r="C251" s="245" t="s">
        <v>5473</v>
      </c>
      <c r="D251" s="246">
        <f>SUMPRODUCT(([1]Peta_Persatker!G2:G1510="PNS")*([1]Peta_Persatker!T2:T1510="SD"))</f>
        <v>0</v>
      </c>
      <c r="E251" s="246">
        <f>SUMPRODUCT(([1]Peta_Persatker!G2:G1510="CPNS")*([1]Peta_Persatker!T2:T1510="SD"))</f>
        <v>0</v>
      </c>
      <c r="F251" s="246"/>
      <c r="G251" s="246">
        <f>SUMPRODUCT(([1]Peta_Persatker!G2:G1510="BLU TETAP")*([1]Peta_Persatker!T2:T1510="SD"))</f>
        <v>0</v>
      </c>
      <c r="H251" s="246">
        <f>SUMPRODUCT(([1]Peta_Persatker!G2:G1510="KONTRAK")*([1]Peta_Persatker!T2:T1510="SD"))</f>
        <v>0</v>
      </c>
      <c r="I251" s="246"/>
      <c r="J251" s="241">
        <f t="shared" si="10"/>
        <v>0</v>
      </c>
      <c r="K251" s="242"/>
    </row>
    <row r="252" spans="2:11" x14ac:dyDescent="0.25">
      <c r="B252" s="241"/>
      <c r="C252" s="241" t="s">
        <v>5429</v>
      </c>
      <c r="D252" s="241">
        <f>SUM(D178:D251)</f>
        <v>114</v>
      </c>
      <c r="E252" s="241">
        <f>SUM(E178:E251)</f>
        <v>13</v>
      </c>
      <c r="F252" s="241">
        <f>SUM(F178:F251)</f>
        <v>34</v>
      </c>
      <c r="G252" s="241">
        <f>SUM(G178:G251)</f>
        <v>53</v>
      </c>
      <c r="H252" s="241">
        <f>SUM(H178:H251)</f>
        <v>61</v>
      </c>
      <c r="I252" s="241"/>
      <c r="J252" s="241">
        <f>SUM(D252:H252)</f>
        <v>275</v>
      </c>
      <c r="K252" s="242"/>
    </row>
    <row r="253" spans="2:11" x14ac:dyDescent="0.25">
      <c r="B253" s="250"/>
      <c r="C253" s="251" t="s">
        <v>5474</v>
      </c>
      <c r="D253" s="252">
        <f t="shared" ref="D253:I253" si="11">SUM(D252,D175,D143,D129,D122,D109,D98,D91,D82)</f>
        <v>687</v>
      </c>
      <c r="E253" s="252">
        <f t="shared" si="11"/>
        <v>100</v>
      </c>
      <c r="F253" s="252">
        <f t="shared" si="11"/>
        <v>265</v>
      </c>
      <c r="G253" s="252">
        <f t="shared" si="11"/>
        <v>68</v>
      </c>
      <c r="H253" s="252">
        <f t="shared" si="11"/>
        <v>157</v>
      </c>
      <c r="I253" s="252">
        <f t="shared" si="11"/>
        <v>9</v>
      </c>
      <c r="J253" s="252">
        <f>SUM(D253:I253)</f>
        <v>1286</v>
      </c>
      <c r="K253" s="242"/>
    </row>
    <row r="254" spans="2:11" x14ac:dyDescent="0.25">
      <c r="K254" s="253"/>
    </row>
    <row r="255" spans="2:11" x14ac:dyDescent="0.25">
      <c r="C255" s="8"/>
      <c r="D255" s="8"/>
      <c r="E255" s="8"/>
      <c r="F255" s="8"/>
      <c r="G255" s="254" t="str">
        <f>[1]Peta_Persatker!AD1512</f>
        <v>Klaten, September 2025</v>
      </c>
    </row>
    <row r="256" spans="2:11" x14ac:dyDescent="0.25">
      <c r="C256" s="15"/>
      <c r="D256" s="8"/>
      <c r="E256" s="8"/>
      <c r="F256" s="8"/>
      <c r="G256" s="254" t="str">
        <f>[1]Peta_Persatker!AD1513</f>
        <v>Manajer Organisasi dan SDM</v>
      </c>
    </row>
    <row r="257" spans="4:7" x14ac:dyDescent="0.25">
      <c r="D257" s="8"/>
      <c r="E257" s="8"/>
      <c r="F257" s="8"/>
      <c r="G257" s="255"/>
    </row>
    <row r="258" spans="4:7" x14ac:dyDescent="0.25">
      <c r="D258" s="8"/>
      <c r="E258" s="8"/>
      <c r="F258" s="8"/>
      <c r="G258" s="255"/>
    </row>
    <row r="259" spans="4:7" x14ac:dyDescent="0.25">
      <c r="D259" s="8"/>
      <c r="E259" s="8"/>
      <c r="F259" s="8"/>
      <c r="G259" s="255"/>
    </row>
    <row r="260" spans="4:7" x14ac:dyDescent="0.25">
      <c r="D260" s="8"/>
      <c r="E260" s="8"/>
      <c r="F260" s="8"/>
      <c r="G260" s="216" t="str">
        <f>[1]Peta_Persatker!AD1517</f>
        <v>Ropingah Apriliana, S.Kep.Ns</v>
      </c>
    </row>
    <row r="261" spans="4:7" x14ac:dyDescent="0.25">
      <c r="D261" s="8"/>
      <c r="E261" s="8"/>
      <c r="F261" s="8"/>
      <c r="G261" s="212" t="str">
        <f>[1]Peta_Persatker!AD1518</f>
        <v>NIP 197404091998032003</v>
      </c>
    </row>
  </sheetData>
  <mergeCells count="3">
    <mergeCell ref="B1:J1"/>
    <mergeCell ref="B2:J2"/>
    <mergeCell ref="B3:J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D721-FE7B-46F3-8243-14157EDDF26C}">
  <dimension ref="A1:K5"/>
  <sheetViews>
    <sheetView topLeftCell="C1" workbookViewId="0">
      <selection activeCell="B3" sqref="B3:K5"/>
    </sheetView>
  </sheetViews>
  <sheetFormatPr defaultRowHeight="15" x14ac:dyDescent="0.25"/>
  <cols>
    <col min="1" max="1" width="5.28515625" style="224" customWidth="1"/>
    <col min="2" max="2" width="27.7109375" customWidth="1"/>
    <col min="3" max="3" width="23" customWidth="1"/>
    <col min="4" max="4" width="19.28515625" customWidth="1"/>
    <col min="5" max="5" width="14.140625" bestFit="1" customWidth="1"/>
    <col min="6" max="6" width="19.28515625" customWidth="1"/>
    <col min="7" max="7" width="13.5703125" customWidth="1"/>
    <col min="8" max="8" width="19.140625" customWidth="1"/>
    <col min="9" max="9" width="15.140625" customWidth="1"/>
    <col min="10" max="11" width="19.85546875" customWidth="1"/>
  </cols>
  <sheetData>
    <row r="1" spans="1:11" x14ac:dyDescent="0.25">
      <c r="A1" s="326" t="s">
        <v>5475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</row>
    <row r="2" spans="1:11" ht="42.75" x14ac:dyDescent="0.25">
      <c r="A2" s="256" t="s">
        <v>5476</v>
      </c>
      <c r="B2" s="256" t="s">
        <v>5477</v>
      </c>
      <c r="C2" s="256" t="s">
        <v>5478</v>
      </c>
      <c r="D2" s="256" t="s">
        <v>4</v>
      </c>
      <c r="E2" s="256" t="s">
        <v>5</v>
      </c>
      <c r="F2" s="256" t="s">
        <v>18</v>
      </c>
      <c r="G2" s="256" t="s">
        <v>5479</v>
      </c>
      <c r="H2" s="256" t="s">
        <v>30</v>
      </c>
      <c r="I2" s="256" t="s">
        <v>5480</v>
      </c>
      <c r="J2" s="256" t="s">
        <v>5481</v>
      </c>
      <c r="K2" s="256" t="s">
        <v>5482</v>
      </c>
    </row>
    <row r="3" spans="1:11" ht="42.75" x14ac:dyDescent="0.25">
      <c r="A3" s="257">
        <v>1</v>
      </c>
      <c r="B3" s="258" t="s">
        <v>5483</v>
      </c>
      <c r="C3" s="259" t="s">
        <v>5484</v>
      </c>
      <c r="D3" s="259" t="s">
        <v>5485</v>
      </c>
      <c r="E3" s="259" t="s">
        <v>40</v>
      </c>
      <c r="F3" s="259" t="s">
        <v>5207</v>
      </c>
      <c r="G3" s="258" t="s">
        <v>5486</v>
      </c>
      <c r="H3" s="258" t="s">
        <v>5487</v>
      </c>
      <c r="I3" s="260">
        <v>45597</v>
      </c>
      <c r="J3" s="258" t="s">
        <v>5488</v>
      </c>
      <c r="K3" s="258"/>
    </row>
    <row r="4" spans="1:11" ht="28.5" x14ac:dyDescent="0.25">
      <c r="A4" s="257">
        <v>2</v>
      </c>
      <c r="B4" s="258" t="s">
        <v>5489</v>
      </c>
      <c r="C4" s="259" t="s">
        <v>5490</v>
      </c>
      <c r="D4" s="261" t="s">
        <v>5491</v>
      </c>
      <c r="E4" s="259" t="s">
        <v>40</v>
      </c>
      <c r="F4" s="259" t="s">
        <v>5208</v>
      </c>
      <c r="G4" s="258" t="s">
        <v>5492</v>
      </c>
      <c r="H4" s="258" t="s">
        <v>5493</v>
      </c>
      <c r="I4" s="260">
        <v>45627</v>
      </c>
      <c r="J4" s="260">
        <v>45657</v>
      </c>
      <c r="K4" s="258" t="s">
        <v>5494</v>
      </c>
    </row>
    <row r="5" spans="1:11" ht="42.75" x14ac:dyDescent="0.25">
      <c r="A5" s="257">
        <v>3</v>
      </c>
      <c r="B5" s="258" t="s">
        <v>5495</v>
      </c>
      <c r="C5" s="259" t="s">
        <v>5496</v>
      </c>
      <c r="D5" s="261" t="s">
        <v>5497</v>
      </c>
      <c r="E5" s="259" t="s">
        <v>40</v>
      </c>
      <c r="F5" s="259" t="s">
        <v>5208</v>
      </c>
      <c r="G5" s="258" t="s">
        <v>5498</v>
      </c>
      <c r="H5" s="258" t="s">
        <v>5493</v>
      </c>
      <c r="I5" s="260">
        <v>45689</v>
      </c>
      <c r="J5" s="260">
        <v>46022</v>
      </c>
      <c r="K5" s="258" t="s">
        <v>5499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A771-348C-4B02-BD83-536DCBDD4FED}">
  <dimension ref="A1:K9"/>
  <sheetViews>
    <sheetView workbookViewId="0">
      <selection activeCell="D9" sqref="D9"/>
    </sheetView>
  </sheetViews>
  <sheetFormatPr defaultRowHeight="15" x14ac:dyDescent="0.25"/>
  <cols>
    <col min="1" max="1" width="5.28515625" style="224" customWidth="1"/>
    <col min="2" max="2" width="27.7109375" customWidth="1"/>
    <col min="3" max="3" width="19.140625" customWidth="1"/>
    <col min="4" max="4" width="19.28515625" customWidth="1"/>
    <col min="5" max="5" width="10.28515625" customWidth="1"/>
    <col min="6" max="6" width="19.28515625" customWidth="1"/>
    <col min="7" max="7" width="18" customWidth="1"/>
    <col min="8" max="8" width="19.140625" customWidth="1"/>
    <col min="9" max="9" width="15.140625" customWidth="1"/>
    <col min="10" max="10" width="19.85546875" customWidth="1"/>
  </cols>
  <sheetData>
    <row r="1" spans="1:11" x14ac:dyDescent="0.25">
      <c r="A1" s="326" t="s">
        <v>5500</v>
      </c>
      <c r="B1" s="326"/>
      <c r="C1" s="326"/>
      <c r="D1" s="326"/>
      <c r="E1" s="326"/>
      <c r="F1" s="326"/>
      <c r="G1" s="326"/>
      <c r="H1" s="326"/>
      <c r="I1" s="326"/>
      <c r="J1" s="326"/>
    </row>
    <row r="2" spans="1:11" ht="42.75" x14ac:dyDescent="0.25">
      <c r="A2" s="256" t="s">
        <v>5412</v>
      </c>
      <c r="B2" s="256" t="s">
        <v>2</v>
      </c>
      <c r="C2" s="256" t="s">
        <v>5501</v>
      </c>
      <c r="D2" s="256" t="s">
        <v>4</v>
      </c>
      <c r="E2" s="256" t="s">
        <v>5</v>
      </c>
      <c r="F2" s="256" t="s">
        <v>18</v>
      </c>
      <c r="G2" s="256" t="s">
        <v>5502</v>
      </c>
      <c r="H2" s="256" t="s">
        <v>30</v>
      </c>
      <c r="I2" s="256" t="s">
        <v>5503</v>
      </c>
      <c r="J2" s="256" t="s">
        <v>5482</v>
      </c>
    </row>
    <row r="3" spans="1:11" ht="42.75" x14ac:dyDescent="0.25">
      <c r="A3" s="257">
        <v>1</v>
      </c>
      <c r="B3" s="258" t="s">
        <v>5504</v>
      </c>
      <c r="C3" s="259" t="s">
        <v>5505</v>
      </c>
      <c r="D3" s="259" t="s">
        <v>5506</v>
      </c>
      <c r="E3" s="262" t="s">
        <v>40</v>
      </c>
      <c r="F3" s="259" t="s">
        <v>5507</v>
      </c>
      <c r="G3" s="258" t="s">
        <v>5508</v>
      </c>
      <c r="H3" s="258" t="s">
        <v>693</v>
      </c>
      <c r="I3" s="260" t="s">
        <v>5509</v>
      </c>
      <c r="J3" s="258" t="s">
        <v>5510</v>
      </c>
    </row>
    <row r="4" spans="1:11" ht="42.75" x14ac:dyDescent="0.25">
      <c r="A4" s="257">
        <v>2</v>
      </c>
      <c r="B4" s="258" t="s">
        <v>5511</v>
      </c>
      <c r="C4" s="259" t="s">
        <v>5512</v>
      </c>
      <c r="D4" s="261" t="s">
        <v>5513</v>
      </c>
      <c r="E4" s="262" t="s">
        <v>40</v>
      </c>
      <c r="F4" s="259" t="s">
        <v>5514</v>
      </c>
      <c r="G4" s="258" t="s">
        <v>5515</v>
      </c>
      <c r="H4" s="258" t="s">
        <v>942</v>
      </c>
      <c r="I4" s="260" t="s">
        <v>5516</v>
      </c>
      <c r="J4" s="258" t="s">
        <v>5517</v>
      </c>
      <c r="K4" s="263" t="s">
        <v>5518</v>
      </c>
    </row>
    <row r="5" spans="1:11" ht="42.75" x14ac:dyDescent="0.25">
      <c r="A5" s="257">
        <v>3</v>
      </c>
      <c r="B5" s="258" t="s">
        <v>5519</v>
      </c>
      <c r="C5" s="259" t="s">
        <v>5520</v>
      </c>
      <c r="D5" s="261"/>
      <c r="E5" s="262" t="s">
        <v>56</v>
      </c>
      <c r="F5" s="259" t="s">
        <v>5447</v>
      </c>
      <c r="G5" s="258" t="s">
        <v>5521</v>
      </c>
      <c r="H5" s="258" t="s">
        <v>5522</v>
      </c>
      <c r="I5" s="260" t="s">
        <v>5509</v>
      </c>
      <c r="J5" s="258" t="s">
        <v>5510</v>
      </c>
    </row>
    <row r="6" spans="1:11" ht="42.75" x14ac:dyDescent="0.25">
      <c r="A6" s="257">
        <v>4</v>
      </c>
      <c r="B6" s="258" t="s">
        <v>5523</v>
      </c>
      <c r="C6" s="259" t="s">
        <v>5524</v>
      </c>
      <c r="D6" s="261" t="s">
        <v>5525</v>
      </c>
      <c r="E6" s="262" t="s">
        <v>40</v>
      </c>
      <c r="F6" s="259" t="s">
        <v>634</v>
      </c>
      <c r="G6" s="258" t="s">
        <v>5526</v>
      </c>
      <c r="H6" s="258" t="s">
        <v>5527</v>
      </c>
      <c r="I6" s="260" t="s">
        <v>5528</v>
      </c>
      <c r="J6" s="258" t="s">
        <v>5510</v>
      </c>
    </row>
    <row r="9" spans="1:11" x14ac:dyDescent="0.25">
      <c r="B9" s="198" t="s">
        <v>5666</v>
      </c>
      <c r="C9" s="288" t="s">
        <v>3872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PETA PEGAWAI</vt:lpstr>
      <vt:lpstr>PER PENDIDIKAN</vt:lpstr>
      <vt:lpstr>PKWT</vt:lpstr>
      <vt:lpstr>MITRA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SDM 1</dc:creator>
  <cp:lastModifiedBy>TU</cp:lastModifiedBy>
  <dcterms:created xsi:type="dcterms:W3CDTF">2025-09-01T08:42:38Z</dcterms:created>
  <dcterms:modified xsi:type="dcterms:W3CDTF">2025-10-31T00:52:46Z</dcterms:modified>
</cp:coreProperties>
</file>